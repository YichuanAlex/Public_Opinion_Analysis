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3月加热汇总" sheetId="2" r:id="rId5"/>
    <sheet name="4月加热汇总" sheetId="3" r:id="rId6"/>
    <sheet name="5月加热汇总" sheetId="4" r:id="rId7"/>
    <sheet name="6月加热汇总" sheetId="5" r:id="rId8"/>
    <sheet name="详细数据" sheetId="6" r:id="rId9"/>
    <sheet name="年度统计表" sheetId="7" r:id="rId10"/>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<sst xmlns="http://schemas.openxmlformats.org/spreadsheetml/2006/main" count="1845" uniqueCount="1845">
  <si>
    <t xml:space="preserve">  </t>
  </si>
  <si>
    <t xml:space="preserve">发布日期</t>
  </si>
  <si>
    <t xml:space="preserve">投放截止日期</t>
  </si>
  <si>
    <t xml:space="preserve">状态</t>
  </si>
  <si>
    <t xml:space="preserve">达人名称</t>
  </si>
  <si>
    <t xml:space="preserve">链接</t>
  </si>
  <si>
    <t/>
    <r>
      <rPr>
        <b val="true"/>
        <i val="false"/>
        <strike val="false"/>
        <sz val="10"/>
        <color rgb="FF000000"/>
      </rPr>
      <t xml:space="preserve">投放记录
</t>
    </r>
    <r>
      <rPr>
        <b val="true"/>
        <i val="false"/>
        <strike val="false"/>
        <sz val="9"/>
        <color rgb="FF8F959E"/>
      </rPr>
      <t>xx日投放xx元</t>
    </r>
  </si>
  <si>
    <t xml:space="preserve">标题</t>
  </si>
  <si>
    <t xml:space="preserve">投前互动量</t>
  </si>
  <si>
    <t xml:space="preserve">投放互动量</t>
  </si>
  <si>
    <t xml:space="preserve">总互动量</t>
  </si>
  <si>
    <t xml:space="preserve">总投放金额</t>
  </si>
  <si>
    <t/>
    <r>
      <rPr>
        <b val="true"/>
        <i val="false"/>
        <strike val="false"/>
        <sz val="10"/>
        <color rgb="FF000000"/>
      </rPr>
      <t xml:space="preserve">综合cpe
</t>
    </r>
    <r>
      <rPr>
        <b val="true"/>
        <i val="false"/>
        <strike val="false"/>
        <sz val="9"/>
        <color rgb="FF8F959E"/>
      </rPr>
      <t>*投入/笔记外层互动数据</t>
    </r>
  </si>
  <si>
    <t xml:space="preserve">一级分类</t>
  </si>
  <si>
    <t xml:space="preserve">二级分类</t>
  </si>
  <si>
    <t xml:space="preserve">备注</t>
  </si>
  <si>
    <t xml:space="preserve">最终互动量</t>
  </si>
  <si>
    <t xml:space="preserve">爆款定级</t>
  </si>
  <si>
    <t xml:space="preserve">汇总</t>
  </si>
  <si>
    <t xml:space="preserve">-</t>
  </si>
  <si>
    <t xml:space="preserve">投放完毕</t>
  </si>
  <si>
    <t xml:space="preserve">酸奶吐司</t>
  </si>
  <si>
    <t/>
    <r>
      <rPr>
        <u val="single"/>
        <color theme="10"/>
      </rPr>
      <t>https://www.douyin.com/video/7612207816275352497</t>
    </r>
  </si>
  <si>
    <t xml:space="preserve">2026/3/2投放500元 2026/3/3投放1000元2026/3/4投放500元2026/3/5投放500元2026/3/9投放500元</t>
  </si>
  <si>
    <t/>
    <r>
      <rPr/>
      <t>广州的滴滴车也太可爱了吧！坐得心情都美美的</t>
    </r>
    <r>
      <rPr>
        <u val="single"/>
        <color theme="10"/>
      </rPr>
      <t>#广州</t>
    </r>
    <r>
      <rPr/>
      <t xml:space="preserve"> </t>
    </r>
    <r>
      <rPr>
        <u val="single"/>
        <color theme="10"/>
      </rPr>
      <t>#广州滴滴</t>
    </r>
  </si>
  <si>
    <t xml:space="preserve">车内</t>
  </si>
  <si>
    <t xml:space="preserve">车内整洁</t>
  </si>
  <si>
    <t xml:space="preserve">尚雅求真</t>
  </si>
  <si>
    <t/>
    <r>
      <rPr>
        <u val="single"/>
        <color theme="10"/>
      </rPr>
      <t>https://www.douyin.com/video/7611743676641705295</t>
    </r>
  </si>
  <si>
    <t xml:space="preserve">2026/3/2投放500元 </t>
  </si>
  <si>
    <t xml:space="preserve">“滴滴”赞</t>
  </si>
  <si>
    <t xml:space="preserve">地广/活动</t>
  </si>
  <si>
    <t xml:space="preserve">品牌</t>
  </si>
  <si>
    <t xml:space="preserve">Mr钟又离</t>
  </si>
  <si>
    <t/>
    <r>
      <rPr>
        <u val="single"/>
        <color theme="10"/>
      </rPr>
      <t>https://www.douyin.com/video/7612244922887857787</t>
    </r>
  </si>
  <si>
    <t xml:space="preserve">2026/3/2投放500元 2026/3/3投放1000元</t>
  </si>
  <si>
    <t xml:space="preserve">太酷了 男滴滴司机的公主车： 啥样生活都是经营出来的不是吗#温暖治愈 #人间烟火#滴滴司机 #非标准人生#清醒的选负责到底</t>
  </si>
  <si>
    <t xml:space="preserve">特殊车型/车衣</t>
  </si>
  <si>
    <t xml:space="preserve">白开水泡茶</t>
  </si>
  <si>
    <t/>
    <r>
      <rPr>
        <u val="single"/>
        <color theme="10"/>
      </rPr>
      <t>https://www.douyin.com/note/7612110532075037129</t>
    </r>
  </si>
  <si>
    <t xml:space="preserve">武汉下雨天，我打了辆滴滴准备回学校。</t>
  </si>
  <si>
    <t xml:space="preserve">场景</t>
  </si>
  <si>
    <t xml:space="preserve">通勤上下班</t>
  </si>
  <si>
    <t xml:space="preserve">清风✨</t>
  </si>
  <si>
    <t/>
    <r>
      <rPr>
        <u val="single"/>
        <color theme="10"/>
      </rPr>
      <t>https://www.douyin.com/video/7612087271226903844</t>
    </r>
  </si>
  <si>
    <t/>
    <r>
      <rPr/>
      <t xml:space="preserve">小同志，磁场又弱了吧，是时候充电了 </t>
    </r>
    <r>
      <rPr>
        <u val="single"/>
        <color theme="10"/>
      </rPr>
      <t>#天安门</t>
    </r>
    <r>
      <rPr/>
      <t xml:space="preserve"> </t>
    </r>
    <r>
      <rPr>
        <u val="single"/>
        <color theme="10"/>
      </rPr>
      <t>#士兵突击</t>
    </r>
    <r>
      <rPr/>
      <t xml:space="preserve"> </t>
    </r>
    <r>
      <rPr>
        <u val="single"/>
        <color theme="10"/>
      </rPr>
      <t>#滴滴司机</t>
    </r>
    <r>
      <rPr/>
      <t xml:space="preserve"> 感谢北京的滴滴师傅，放慢车速让我们看天安门夜景</t>
    </r>
  </si>
  <si>
    <t xml:space="preserve">司机</t>
  </si>
  <si>
    <t xml:space="preserve">司机服务</t>
  </si>
  <si>
    <t xml:space="preserve">北辰</t>
  </si>
  <si>
    <t/>
    <r>
      <rPr>
        <u val="single"/>
        <color theme="10"/>
      </rPr>
      <t>https://www.douyin.com/note/7611832044951303909</t>
    </r>
  </si>
  <si>
    <t xml:space="preserve">第2集 | 爱心：爱的传递。这是我遇见的最暖心的滴滴司机师傅，太原的成师傅，</t>
  </si>
  <si>
    <t xml:space="preserve">司乘温暖</t>
  </si>
  <si>
    <t xml:space="preserve">一生有你</t>
  </si>
  <si>
    <t/>
    <r>
      <rPr>
        <u val="single"/>
        <color theme="10"/>
      </rPr>
      <t>https://www.douyin.com/note/7611432494563328113</t>
    </r>
  </si>
  <si>
    <t xml:space="preserve">2026/3/2投放500元 2026/3/3投放1000元2026/3/4投放500元</t>
  </si>
  <si>
    <t xml:space="preserve">人生第一次打到滴滴女司机，技术稳得一批，完全不输男司机👍</t>
  </si>
  <si>
    <t xml:space="preserve">女司机</t>
  </si>
  <si>
    <t xml:space="preserve">Saffron</t>
  </si>
  <si>
    <t/>
    <r>
      <rPr>
        <u val="single"/>
        <color theme="10"/>
      </rPr>
      <t>https://www.douyin.com/note/7611499522330631857</t>
    </r>
  </si>
  <si>
    <t xml:space="preserve">下班遇到了一位温暖的滴滴司机，椅背贴了一张纸条，口袋里放了两本小册子，两支笔和一面镜子</t>
  </si>
  <si>
    <t xml:space="preserve">司机自发装置</t>
  </si>
  <si>
    <t xml:space="preserve">康老师(武汉少儿阅读)</t>
  </si>
  <si>
    <t/>
    <r>
      <rPr>
        <u val="single"/>
        <color theme="10"/>
      </rPr>
      <t>https://www.douyin.com/video/7611192244423229139</t>
    </r>
  </si>
  <si>
    <t xml:space="preserve">武汉有滴滴公交啦！学名响应式公交</t>
  </si>
  <si>
    <t xml:space="preserve">产品力</t>
  </si>
  <si>
    <t xml:space="preserve">网约公交</t>
  </si>
  <si>
    <t xml:space="preserve">馬壹榴·我是眠眠呀</t>
  </si>
  <si>
    <t/>
    <r>
      <rPr>
        <u val="single"/>
        <color theme="10"/>
      </rPr>
      <t>https://www.douyin.com/video/7611742459936919402</t>
    </r>
  </si>
  <si>
    <t xml:space="preserve">2026/3/3投放500元</t>
  </si>
  <si>
    <t/>
    <r>
      <rPr/>
      <t>今天打车遇到一个很有童趣的师傅，哈哈！</t>
    </r>
    <r>
      <rPr>
        <u val="single"/>
        <color theme="10"/>
      </rPr>
      <t>#滴滴</t>
    </r>
    <r>
      <rPr/>
      <t xml:space="preserve"> </t>
    </r>
    <r>
      <rPr>
        <u val="single"/>
        <color theme="10"/>
      </rPr>
      <t>#滴滴司机</t>
    </r>
    <r>
      <rPr/>
      <t xml:space="preserve"> </t>
    </r>
    <r>
      <rPr>
        <u val="single"/>
        <color theme="10"/>
      </rPr>
      <t>#滴滴打车</t>
    </r>
  </si>
  <si>
    <t xml:space="preserve">司乘互动</t>
  </si>
  <si>
    <t xml:space="preserve">小红碎花裤衩儿</t>
  </si>
  <si>
    <t/>
    <r>
      <rPr>
        <u val="single"/>
        <color theme="10"/>
      </rPr>
      <t>https://www.douyin.com/video/7612686487277578602</t>
    </r>
  </si>
  <si>
    <t xml:space="preserve">2026/3/3投放500元2026/3/4投放500元</t>
  </si>
  <si>
    <t/>
    <r>
      <rPr/>
      <t xml:space="preserve">第30集 | 这马师傅上车给我俩整蒙了，太有活儿了，威海rapper </t>
    </r>
    <r>
      <rPr>
        <u val="single"/>
        <color theme="10"/>
      </rPr>
      <t>#威海旅游</t>
    </r>
    <r>
      <rPr/>
      <t xml:space="preserve"> </t>
    </r>
    <r>
      <rPr>
        <u val="single"/>
        <color theme="10"/>
      </rPr>
      <t>#滴滴司机</t>
    </r>
    <r>
      <rPr/>
      <t xml:space="preserve"> </t>
    </r>
    <r>
      <rPr>
        <u val="single"/>
        <color theme="10"/>
      </rPr>
      <t>#威海马大帅</t>
    </r>
    <r>
      <rPr/>
      <t xml:space="preserve"> </t>
    </r>
    <r>
      <rPr>
        <u val="single"/>
        <color theme="10"/>
      </rPr>
      <t>#加油奥利给</t>
    </r>
    <r>
      <rPr/>
      <t xml:space="preserve"> </t>
    </r>
    <r>
      <rPr>
        <u val="single"/>
        <color theme="10"/>
      </rPr>
      <t>#马年说马</t>
    </r>
  </si>
  <si>
    <t xml:space="preserve">一場、流★雨</t>
  </si>
  <si>
    <t/>
    <r>
      <rPr>
        <u val="single"/>
        <color theme="10"/>
      </rPr>
      <t>https://www.douyin.com/video/7612918993481033330</t>
    </r>
  </si>
  <si>
    <t xml:space="preserve">2026/3/4投放500元</t>
  </si>
  <si>
    <t xml:space="preserve">这辈子第一次坐RR，居然是在滴滴订单里😂😂</t>
  </si>
  <si>
    <t xml:space="preserve">专车/豪华车</t>
  </si>
  <si>
    <t xml:space="preserve">无法投放</t>
  </si>
  <si>
    <t xml:space="preserve">娜L.</t>
  </si>
  <si>
    <t/>
    <r>
      <rPr>
        <u val="single"/>
        <color theme="10"/>
      </rPr>
      <t>https://www.douyin.com/video/7612865593025511337</t>
    </r>
  </si>
  <si>
    <t/>
    <r>
      <rPr/>
      <t>这是一段很酷也非常有意义的事情！刚到北京那年，本想着去找一辆自行车夜骑天安门，搜索了附近离我们最近的自行车停放点，但是路程太远，最终还是没有夜骑上。后面就打了一辆滴滴车，司机师傅人超级好，首先问我们赶时间吗？然后就带我们绕路经过天安门，到了天安门车速给我们放慢啦，还往里开了一点，好让我们拍视频，还让我们多拍几个做纪念，因为不知道我们下一次来北京是什么时候啦。</t>
    </r>
    <r>
      <rPr>
        <u val="single"/>
        <color theme="10"/>
      </rPr>
      <t>#天安门夜景</t>
    </r>
    <r>
      <rPr/>
      <t xml:space="preserve"> </t>
    </r>
    <r>
      <rPr>
        <u val="single"/>
        <color theme="10"/>
      </rPr>
      <t>#人活着不就为了这几个瞬间</t>
    </r>
    <r>
      <rPr/>
      <t xml:space="preserve"> </t>
    </r>
    <r>
      <rPr>
        <u val="single"/>
        <color theme="10"/>
      </rPr>
      <t>#祖国万岁</t>
    </r>
    <r>
      <rPr/>
      <t xml:space="preserve"> </t>
    </r>
    <r>
      <rPr>
        <u val="single"/>
        <color theme="10"/>
      </rPr>
      <t>#世界和平</t>
    </r>
    <r>
      <rPr/>
      <t xml:space="preserve"> </t>
    </r>
    <r>
      <rPr>
        <u val="single"/>
        <color theme="10"/>
      </rPr>
      <t>#北京滴滴司机</t>
    </r>
    <r>
      <rPr/>
      <t xml:space="preserve">
</t>
    </r>
  </si>
  <si>
    <t xml:space="preserve">萌萌小🌧</t>
  </si>
  <si>
    <t/>
    <r>
      <rPr>
        <u val="single"/>
        <color theme="10"/>
      </rPr>
      <t>https://www.douyin.com/note/7613031533112581883</t>
    </r>
  </si>
  <si>
    <t/>
    <r>
      <rPr/>
      <t>这次对新疆体验感很特殊，飞机上一起坐的大哥他是来工作听说我自己来跟我说这边的有趣的地方，他说在快到新疆的景色更美，靠近新疆时雪山真的很美，下飞机后打车滴滴司机里元宵快乐，欢迎来新疆过节，他看我自己来跟我说很多需要注意的事情，晚上很晚到酒店里后保洁阿姨跟我笑着那种是善意的笑，她说话像中部地区的，江西那边口音不像本地人，跟我说房间在哪里哪里，我没太热情回应，出来吃晚饭时听司机说有家挺好吃的，我就去了，后面老板看我说话有点像外地，就问我来旅游的吗，自己吃饭，我说从安徽过来的，想看看新疆的美景，他就跟我说这边很多好玩的，希望喜欢这里，他在上菜时端过来一碟我没点的，他说这是送的自己做的，马肠包马肉凉菜，后面结账时我问马肉价格这边多少他说136，怪不得天上龙肉地上马肉，今天上午我点了天润的奶制品想带回去，外卖共100多，那个外卖里送了罐干噎酸奶，下午想自驾去天山天池看夕阳可天气还是雾蒙蒙，山里估计视野不太好，这边8.9点太阳下山，我担心我车技回来不行就改去和田二街好好尝尝这边吃的，滴滴司机我问他国道和山路好不好走，他说可以走，于是我准备改计划订车出发，司机就问了我是外地哪里的我说安徽的，他说我真厉害自己敢来这么远，后来他给我送到地址时跟我说前面有点堵，让我等一会下他给我送到小吃街里，于是我下车便是美食一条路，他说新疆本地人几乎很多都走不出省，对外面的世界同样充满好奇期待，他准备等孩子暑假也去外面玩玩，买烤馕时那两个维吾尔族的男生结账我问他多少钱，他说一个馕5元，我共4个馕和2个小馕，他俩说着听不懂的话最后说23，我说好，付过去了，确定哈，他俩交流两句说对，然后我去餐厅最后尝一下这里的菜，那几道菜加烧烤共126，服务员是个同龄的少数名族女孩很好看，她一直跟我说少点一点哦，吃不完的，我说好，后面上菜时阿姨说我一个人吗，我说嗯，过一会刚刚小姑娘过来给我一碗甜的牛奶和白砂糖，她说当地的奶皮子配糖吃会好很多，单吃的话会很酸，她注意到我在外面买的奶皮子了哈哈，后面我要真空打包带走，老板娘叫两个人过来帮忙包装，我问她打包费多少，她说不用，吃完回酒店时我想明晚的航班9点，我2点退房后面去机场有点早想要么再定一晚，到前台我想了下跟前台说房间续2个小时吧，续到4点，明晚飞机9点，机场很大我提前几小时到正好不值当续订，酒店续时30一小时，一晚160多我那个房间，前台有个姐姐说不用了，我结束给个好评就好，还有没有其他的需要的，我说房间的拖鞋需要一个新的，当我回房间后发现房间在我6点走后被人又打扫了一遍，而今天下午4点阿姨过来过一次给我洗漱用品了，现在的房间里开着的窗户被关上，水多给了2瓶共4瓶，我开着的面包袋子被系好，睡衣也被叠好了</t>
    </r>
    <r>
      <rPr>
        <u val="single"/>
        <color theme="10"/>
      </rPr>
      <t>#新疆</t>
    </r>
    <r>
      <rPr/>
      <t xml:space="preserve"> </t>
    </r>
    <r>
      <rPr>
        <u val="single"/>
        <color theme="10"/>
      </rPr>
      <t>#新疆是个好地方</t>
    </r>
    <r>
      <rPr/>
      <t xml:space="preserve"> </t>
    </r>
    <r>
      <rPr>
        <u val="single"/>
        <color theme="10"/>
      </rPr>
      <t>#乌鲁木齐</t>
    </r>
    <r>
      <rPr/>
      <t xml:space="preserve"> </t>
    </r>
    <r>
      <rPr>
        <u val="single"/>
        <color theme="10"/>
      </rPr>
      <t>#抖音美食推荐官</t>
    </r>
    <r>
      <rPr/>
      <t xml:space="preserve"> </t>
    </r>
    <r>
      <rPr>
        <u val="single"/>
        <color theme="10"/>
      </rPr>
      <t>#热点小助手</t>
    </r>
    <r>
      <rPr/>
      <t xml:space="preserve"> </t>
    </r>
    <r>
      <rPr>
        <u val="single"/>
        <color theme="10"/>
      </rPr>
      <t>@抖音小助手</t>
    </r>
    <r>
      <rPr/>
      <t xml:space="preserve">
</t>
    </r>
  </si>
  <si>
    <t xml:space="preserve">旅游出行</t>
  </si>
  <si>
    <t xml:space="preserve">小万不吃香菜</t>
  </si>
  <si>
    <t/>
    <r>
      <rPr>
        <u val="single"/>
        <color theme="10"/>
      </rPr>
      <t>https://www.douyin.com/video/7613215289803536101</t>
    </r>
  </si>
  <si>
    <t xml:space="preserve">2026/3/5投放500元2026/3/9投放500元</t>
  </si>
  <si>
    <t xml:space="preserve">打到了一辆超级干净的滴滴心情都变美了#打车打车</t>
  </si>
  <si>
    <t xml:space="preserve">🦁🦁奔跑的蜗牛</t>
  </si>
  <si>
    <t/>
    <r>
      <rPr>
        <u val="single"/>
        <color theme="10"/>
      </rPr>
      <t>https://www.douyin.com/note/7613350700244157626</t>
    </r>
  </si>
  <si>
    <t xml:space="preserve">2026/3/5投放500元</t>
  </si>
  <si>
    <t/>
    <r>
      <rPr/>
      <t>今天出门打车居然打到了特斯拉，北京果然藏龙卧虎啊，连特斯拉都来跑滴滴了</t>
    </r>
    <r>
      <rPr>
        <u val="single"/>
        <color theme="10"/>
      </rPr>
      <t>#特斯拉</t>
    </r>
    <r>
      <rPr/>
      <t xml:space="preserve"> </t>
    </r>
    <r>
      <rPr>
        <u val="single"/>
        <color theme="10"/>
      </rPr>
      <t>#特斯拉汽车</t>
    </r>
    <r>
      <rPr/>
      <t xml:space="preserve"> </t>
    </r>
    <r>
      <rPr>
        <u val="single"/>
        <color theme="10"/>
      </rPr>
      <t>#北京网约车</t>
    </r>
    <r>
      <rPr/>
      <t xml:space="preserve"> </t>
    </r>
    <r>
      <rPr>
        <u val="single"/>
        <color theme="10"/>
      </rPr>
      <t>#北京网约车司机</t>
    </r>
    <r>
      <rPr/>
      <t xml:space="preserve">
</t>
    </r>
  </si>
  <si>
    <t xml:space="preserve">花渐落</t>
  </si>
  <si>
    <t/>
    <r>
      <rPr>
        <u val="single"/>
        <color theme="10"/>
      </rPr>
      <t>https://www.douyin.com/note/7612219889386191970</t>
    </r>
  </si>
  <si>
    <t xml:space="preserve">郑州今后的发展会越来越好：</t>
  </si>
  <si>
    <t xml:space="preserve">无匹配类别</t>
  </si>
  <si>
    <t xml:space="preserve">GOOD.</t>
  </si>
  <si>
    <t/>
    <r>
      <rPr>
        <u val="single"/>
        <color theme="10"/>
      </rPr>
      <t>https://www.douyin.com/note/7613787027502461352</t>
    </r>
  </si>
  <si>
    <t xml:space="preserve">2026/3/9投放500元2026/3/12投放500元</t>
  </si>
  <si>
    <t xml:space="preserve">愿：平安 发财。@滴滴出行司机中心官方账号</t>
  </si>
  <si>
    <t xml:space="preserve">✎﹏ ℳ伱♡吥懂💞ꦿ᭄</t>
  </si>
  <si>
    <t/>
    <r>
      <rPr>
        <u val="single"/>
        <color theme="10"/>
      </rPr>
      <t>https://www.douyin.com/video/7613759148690695077</t>
    </r>
  </si>
  <si>
    <t xml:space="preserve">/</t>
  </si>
  <si>
    <t xml:space="preserve">这么多年坐滴滴打车，是我遇上最好的一个滴滴司机，肯定会给你好评呀。</t>
  </si>
  <si>
    <t xml:space="preserve">一点也不酷啊。</t>
  </si>
  <si>
    <t/>
    <r>
      <rPr>
        <u val="single"/>
        <color theme="10"/>
      </rPr>
      <t>https://www.douyin.com/video/7614841048691419327</t>
    </r>
  </si>
  <si>
    <t xml:space="preserve">2026/3/9投放500元2026/3/12投放500元2026/3/13投放500元</t>
  </si>
  <si>
    <t xml:space="preserve">打了2个小时滴滴，取消了半天，终于打到了。氛围灯也开了，最好的安排也安排了，总裁座椅也给他调了。他常出现的地方我给你们标记出来了</t>
  </si>
  <si>
    <t xml:space="preserve">杨哥来了</t>
  </si>
  <si>
    <t/>
    <r>
      <rPr>
        <u val="single"/>
        <color theme="10"/>
      </rPr>
      <t>https://www.douyin.com/note/7614679701290263147</t>
    </r>
  </si>
  <si>
    <t xml:space="preserve">雨夜武汉，一位滴滴司机，让我读懂什。雨夜守护 致敬武汉暖心司机</t>
  </si>
  <si>
    <t xml:space="preserve">莫陌墨默</t>
  </si>
  <si>
    <t/>
    <r>
      <rPr>
        <u val="single"/>
        <color theme="10"/>
      </rPr>
      <t>https://www.douyin.com/video/7614604940937363313</t>
    </r>
  </si>
  <si>
    <t xml:space="preserve">2026/3/9投放500元2026/3/12投放500元2026/3/13投放499.7元</t>
  </si>
  <si>
    <t xml:space="preserve">回家路上，司机自娱自乐，一句“不会让我亲脆”让我破防，简直是氛围组，然后人生第一次跟滴滴合唱😂😂😂，憋怕我伤心</t>
  </si>
  <si>
    <t xml:space="preserve">⁺✞ʚ佐鸣重度依赖ɞ✟₊</t>
  </si>
  <si>
    <t/>
    <r>
      <rPr>
        <u val="single"/>
        <color theme="10"/>
      </rPr>
      <t>https://www.douyin.com/note/7614491818344720739</t>
    </r>
  </si>
  <si>
    <t xml:space="preserve">上天入地我再也找不到佐鸣这样美好的家产了。家产要永远幸福！ #佐鸣 #佐鸣永远热恋 #滴滴打车 3799！</t>
  </si>
  <si>
    <t xml:space="preserve">云子</t>
  </si>
  <si>
    <t/>
    <r>
      <rPr>
        <u val="single"/>
        <color theme="10"/>
      </rPr>
      <t>https://www.douyin.com/video/7615259770899058779</t>
    </r>
  </si>
  <si>
    <t xml:space="preserve">2026/3/10投放500元</t>
  </si>
  <si>
    <t xml:space="preserve">谢谢我的好闺蜜陪我一起闹，还好俺两个一瓶10年都没多，可以安全到家，我好幸运的就是，滴滴师傅是个女同胞，谢谢感恩遇见</t>
  </si>
  <si>
    <t xml:space="preserve">温暖小孩</t>
  </si>
  <si>
    <t/>
    <r>
      <rPr>
        <u val="single"/>
        <color theme="10"/>
      </rPr>
      <t>https://www.douyin.com/note/7615023865811614964</t>
    </r>
  </si>
  <si>
    <t xml:space="preserve">滴滴打到帕萨特！第一次体验直接被后排圈粉✨</t>
  </si>
  <si>
    <t xml:space="preserve">🌈✨小趙媳妇儿✨💕</t>
  </si>
  <si>
    <t/>
    <r>
      <rPr>
        <u val="single"/>
        <color theme="10"/>
      </rPr>
      <t>https://www.douyin.com/note/7615049142386066043</t>
    </r>
  </si>
  <si>
    <t xml:space="preserve">你们有没有打到过那种车内气味很重的车 打到你们会怎么做 #滴滴司机 #干净的车内环境</t>
  </si>
  <si>
    <t xml:space="preserve">车内环境投诉</t>
  </si>
  <si>
    <t xml:space="preserve">烟味/异味</t>
  </si>
  <si>
    <t xml:space="preserve">小水滴💧</t>
  </si>
  <si>
    <t/>
    <r>
      <rPr>
        <u val="single"/>
        <color theme="10"/>
      </rPr>
      <t>https://www.douyin.com/note/7614899619931912369</t>
    </r>
  </si>
  <si>
    <t xml:space="preserve">这个妇女节做了一件小事：给所有载过我的女司机发祝福红包🧧</t>
  </si>
  <si>
    <t xml:space="preserve">玖张机</t>
  </si>
  <si>
    <t/>
    <r>
      <rPr>
        <u val="single"/>
        <color theme="10"/>
      </rPr>
      <t>https://www.douyin.com/video/7615266309736562682</t>
    </r>
  </si>
  <si>
    <t xml:space="preserve">2026/3/11投放500元</t>
  </si>
  <si>
    <t xml:space="preserve">滴滴打车好评，可以优先选择女性司机。#滴滴 #打车软件 #安全出行 #女性 #解锁新功能</t>
  </si>
  <si>
    <t xml:space="preserve">女性友好计划</t>
  </si>
  <si>
    <t xml:space="preserve">小辉哥</t>
  </si>
  <si>
    <t/>
    <r>
      <rPr>
        <u val="single"/>
        <color theme="10"/>
      </rPr>
      <t>https://www.douyin.com/video/7615783338746236337</t>
    </r>
  </si>
  <si>
    <t xml:space="preserve">2026/3/11投放500元2026/3/12投放500元2026/3/13投放500元2026/3/16投放500元2026/3/17投放500元</t>
  </si>
  <si>
    <t xml:space="preserve">#滴滴，#出租车，朋友们，在陌生的城市，打滴滴还是方便一点！</t>
  </si>
  <si>
    <t xml:space="preserve">绛珠仙子成长日记</t>
  </si>
  <si>
    <t/>
    <r>
      <rPr>
        <u val="single"/>
        <color theme="10"/>
      </rPr>
      <t>https://www.douyin.com/video/7615713873504923322</t>
    </r>
  </si>
  <si>
    <t xml:space="preserve">2026/3/11投放500元2026/3/12投放500元2026/3/13投放500元2026/3/16投放500元2026/3/17投放1000元2026/3/18投放9999.79元</t>
  </si>
  <si>
    <t/>
    <r>
      <rPr/>
      <t xml:space="preserve">5.0分的滴滴司机
</t>
    </r>
    <r>
      <rPr/>
      <t xml:space="preserve">师傅我听懂了
</t>
    </r>
    <r>
      <rPr/>
      <t xml:space="preserve">其实你在告诉我
</t>
    </r>
    <r>
      <rPr/>
      <t xml:space="preserve">这个世界上没有定义
</t>
    </r>
    <r>
      <rPr/>
      <t xml:space="preserve">只有视角不同
</t>
    </r>
    <r>
      <rPr/>
      <t xml:space="preserve">但我此刻有个善良的定义
</t>
    </r>
    <r>
      <rPr/>
      <t xml:space="preserve">那就是你的那一句
</t>
    </r>
    <r>
      <rPr/>
      <t xml:space="preserve">“为什么你大半夜去人民医院”
</t>
    </r>
    <r>
      <rPr/>
      <t xml:space="preserve">以及你的善意的开导
</t>
    </r>
    <r>
      <rPr/>
      <t xml:space="preserve">但我是个杠精
</t>
    </r>
    <r>
      <rPr/>
      <t xml:space="preserve">我天天带着答案问问题
</t>
    </r>
    <r>
      <rPr/>
      <t xml:space="preserve">请原谅我
</t>
    </r>
    <r>
      <rPr/>
      <t xml:space="preserve">谢谢你，陌生人
</t>
    </r>
    <r>
      <rPr/>
      <t xml:space="preserve">至少此刻你的善良给我带来了开心
</t>
    </r>
    <r>
      <rPr/>
      <t xml:space="preserve">我对很多东西都没有欲望
</t>
    </r>
    <r>
      <rPr/>
      <t xml:space="preserve">但是对善意的瞬间
</t>
    </r>
    <r>
      <rPr/>
      <t xml:space="preserve">充满欲望
</t>
    </r>
    <r>
      <rPr/>
      <t xml:space="preserve">渴求遇见它享受它
</t>
    </r>
    <r>
      <rPr>
        <u val="single"/>
        <color theme="10"/>
      </rPr>
      <t>#司机师傅</t>
    </r>
    <r>
      <rPr/>
      <t xml:space="preserve"> </t>
    </r>
    <r>
      <rPr>
        <u val="single"/>
        <color theme="10"/>
      </rPr>
      <t>#欲望</t>
    </r>
    <r>
      <rPr/>
      <t xml:space="preserve"> </t>
    </r>
    <r>
      <rPr>
        <u val="single"/>
        <color theme="10"/>
      </rPr>
      <t>#善良</t>
    </r>
  </si>
  <si>
    <t xml:space="preserve">好人好梦👑</t>
  </si>
  <si>
    <t/>
    <r>
      <rPr>
        <u val="single"/>
        <color theme="10"/>
      </rPr>
      <t>https://www.douyin.com/note/7615950184098960602</t>
    </r>
  </si>
  <si>
    <t xml:space="preserve">2026/3/12投放500元</t>
  </si>
  <si>
    <t xml:space="preserve">今天特别感谢滴滴车主这位大姐拾金不昧的精神，拾到我的皮夹克外套和钱包。特地把平台的接单取消，送到我厂里。关键是身份证，银行卡，医保卡补办太费事了。现在还是好人多。失而复得我很开心。祝好人一生平安！</t>
  </si>
  <si>
    <t xml:space="preserve">失物返还</t>
  </si>
  <si>
    <t xml:space="preserve">火光</t>
  </si>
  <si>
    <t/>
    <r>
      <rPr>
        <u val="single"/>
        <color theme="10"/>
      </rPr>
      <t>https://www.douyin.com/note/7615669310942601338</t>
    </r>
  </si>
  <si>
    <t xml:space="preserve">不敢直视师傅的眼睛。#滴滴 #我爱你</t>
  </si>
  <si>
    <t xml:space="preserve">财神爷的小心肝🐉</t>
  </si>
  <si>
    <t/>
    <r>
      <rPr>
        <u val="single"/>
        <color theme="10"/>
      </rPr>
      <t>https://www.douyin.com/note/7616010066626177211</t>
    </r>
  </si>
  <si>
    <t xml:space="preserve">2026/3/12投放499.82元</t>
  </si>
  <si>
    <t xml:space="preserve"> 今天因为闹钟没响起晚了所以打滴滴赶去上班，像往常打车一样，我上车报了尾号便开始刷手机，正常都是一路无言。</t>
  </si>
  <si>
    <t xml:space="preserve">秋日胡杨</t>
  </si>
  <si>
    <t/>
    <r>
      <rPr>
        <u val="single"/>
        <color theme="10"/>
      </rPr>
      <t>https://www.douyin.com/note/7615977113706843382</t>
    </r>
  </si>
  <si>
    <t xml:space="preserve">2026/3/12投放499.89元</t>
  </si>
  <si>
    <t xml:space="preserve">揭阳很好，下次还来 揭阳是唯一个被本地人喊"欢迎"的城市，也是唯一个不被叫"外省仔"的城市</t>
  </si>
  <si>
    <t xml:space="preserve">故宫楚楚日常</t>
  </si>
  <si>
    <t/>
    <r>
      <rPr>
        <u val="single"/>
        <color theme="10"/>
      </rPr>
      <t>https://www.douyin.com/video/7616359394191938022</t>
    </r>
  </si>
  <si>
    <t xml:space="preserve">2026/3/13投放500元</t>
  </si>
  <si>
    <t xml:space="preserve">整个北京唱歌最好听的滴滴司机被我碰到啦！#故宫楚楚 #滴滴司机 #滴滴司机唱歌 #北京生活 #北京滴滴司机</t>
  </si>
  <si>
    <t xml:space="preserve">看他慢慢爱</t>
  </si>
  <si>
    <t/>
    <r>
      <rPr>
        <u val="single"/>
        <color theme="10"/>
      </rPr>
      <t>https://www.douyin.com/note/7616183547221202259</t>
    </r>
  </si>
  <si>
    <t xml:space="preserve">滴滴可以设置女司机偏好啦。总算是可以小范围避免那些不稳定因素了#滴滴女司机设置</t>
  </si>
  <si>
    <t xml:space="preserve">幸运天使（小齐姑姑）</t>
  </si>
  <si>
    <t/>
    <r>
      <rPr>
        <u val="single"/>
        <color theme="10"/>
      </rPr>
      <t>https://www.douyin.com/note/7616286705788479977</t>
    </r>
  </si>
  <si>
    <t xml:space="preserve">正月二十四，晴天，今日解锁滴滴出行，没想到这么方便，电话发出去三两分钟车马上就到，想去那去哪，遇到健谈的师傅一路上还不感觉孤单，轻松又自在，再也不用因为你不拉我出门让我等的憋气人了，哈哈。</t>
  </si>
  <si>
    <t xml:space="preserve">叫车快</t>
  </si>
  <si>
    <t xml:space="preserve">dyy</t>
  </si>
  <si>
    <t/>
    <r>
      <rPr>
        <u val="single"/>
        <color theme="10"/>
      </rPr>
      <t>https://www.douyin.com/note/7616006793667697893</t>
    </r>
  </si>
  <si>
    <t xml:space="preserve">2026/3/13投放499.93元</t>
  </si>
  <si>
    <t xml:space="preserve">打了一辆滴滴豪华车，司机穿的是衬衫马甲正装，上车会问车内温度和香薰气味是否合适，全程播放的都是高级的古典音乐，水是voss的，车里还有零食，糖果可以吃，司机师傅车开的真的很稳#滴滴豪华车</t>
  </si>
  <si>
    <t xml:space="preserve">彭彭的由来</t>
  </si>
  <si>
    <t/>
    <r>
      <rPr>
        <u val="single"/>
        <color theme="10"/>
      </rPr>
      <t>https://www.douyin.com/note/7617431215097004667</t>
    </r>
  </si>
  <si>
    <t xml:space="preserve">2026/3/16投放500元</t>
  </si>
  <si>
    <t xml:space="preserve">今天和朋友吃完饭打车回学校，不知为何辗转了三辆车，心里烦躁得很。终于打到一辆车，车里干净又整洁。</t>
  </si>
  <si>
    <t xml:space="preserve">湖北.宜昌</t>
  </si>
  <si>
    <t/>
    <r>
      <rPr>
        <u val="single"/>
        <color theme="10"/>
      </rPr>
      <t>https://www.douyin.com/video/7616911882826256890</t>
    </r>
  </si>
  <si>
    <t xml:space="preserve">坐了一辆豪华滴滴，重庆司机很有礼貌，上车提示您系好安全带(后排)车上有为您备的矿泉水，下车提示祝您一路顺风旅途愉快！</t>
  </si>
  <si>
    <t xml:space="preserve">茹ge💨</t>
  </si>
  <si>
    <t/>
    <r>
      <rPr>
        <u val="single"/>
        <color theme="10"/>
      </rPr>
      <t>https://www.douyin.com/note/7617137673777764465</t>
    </r>
  </si>
  <si>
    <t xml:space="preserve">今天把手机落在滴滴车上，很快联系上了师傅。我说麻烦他跑一趟，路费我来出，他说：“不用，看着给就好。”</t>
  </si>
  <si>
    <t xml:space="preserve">乌苏一姐</t>
  </si>
  <si>
    <t/>
    <r>
      <rPr>
        <u val="single"/>
        <color theme="10"/>
      </rPr>
      <t>https://www.douyin.com/video/7617891266244423656</t>
    </r>
  </si>
  <si>
    <t xml:space="preserve">2026/3/17投放500元</t>
  </si>
  <si>
    <t xml:space="preserve">#滴滴打车 好好赚钱雇个司机，想谈个贴心的对象，但发现只要出钱就有人愿意服务！</t>
  </si>
  <si>
    <t/>
    <r>
      <rPr>
        <u val="single"/>
        <color theme="10"/>
      </rPr>
      <t>https://www.douyin.com/video/7617859050039070435</t>
    </r>
  </si>
  <si>
    <t xml:space="preserve">滴滴还是太超前了 滴滴还能打倒特斯拉</t>
  </si>
  <si>
    <t xml:space="preserve">咕咕哒哒</t>
  </si>
  <si>
    <t/>
    <r>
      <rPr>
        <u val="single"/>
        <color theme="10"/>
      </rPr>
      <t>https://www.douyin.com/note/7617498397310715327</t>
    </r>
  </si>
  <si>
    <t xml:space="preserve">2026/3/18投放1000元</t>
  </si>
  <si>
    <t xml:space="preserve">第二次来柳州，东西还是一样好吃，市民还是一样热情滴滴司机、菜场老板、粉店老板、买菜阿姨、咖啡店小哥，每个人都对游客很耐心柳州值得</t>
  </si>
  <si>
    <t xml:space="preserve">🌸旧时光</t>
  </si>
  <si>
    <t/>
    <r>
      <rPr>
        <u val="single"/>
        <color theme="10"/>
      </rPr>
      <t>https://www.douyin.com/video/7618168504240308069</t>
    </r>
  </si>
  <si>
    <t xml:space="preserve">滴滴回家，真是划算</t>
  </si>
  <si>
    <t xml:space="preserve">价格优惠</t>
  </si>
  <si>
    <t xml:space="preserve">在投</t>
  </si>
  <si>
    <t xml:space="preserve">小仙仙🌈</t>
  </si>
  <si>
    <t/>
    <r>
      <rPr>
        <u val="single"/>
        <color theme="10"/>
      </rPr>
      <t>https://www.douyin.com/video/7618960753446510009</t>
    </r>
  </si>
  <si>
    <t xml:space="preserve">2026/3/20投放1000元2026/3/23投放5000元</t>
  </si>
  <si>
    <t xml:space="preserve">打了那么多次车，第一次遇到后车座提供充电线的，而且还是三插头的，给师傅点赞👍#滴滴司机 #滴滴</t>
  </si>
  <si>
    <t xml:space="preserve">🌈Lin 、</t>
  </si>
  <si>
    <t/>
    <r>
      <rPr>
        <u val="single"/>
        <color theme="10"/>
      </rPr>
      <t>https://www.douyin.com/video/7618222573041999345</t>
    </r>
  </si>
  <si>
    <t xml:space="preserve">2026/3/20投放1000元</t>
  </si>
  <si>
    <t xml:space="preserve">#滴滴出行 温岭的滴滴也是让我大开眼界😂</t>
  </si>
  <si>
    <t xml:space="preserve">人间有情</t>
  </si>
  <si>
    <t/>
    <r>
      <rPr>
        <u val="single"/>
        <color theme="10"/>
      </rPr>
      <t>https://www.douyin.com/video/7618525485648050938</t>
    </r>
  </si>
  <si>
    <t xml:space="preserve">城市在改变，滴滴出行，庐陵小巴也是一个选择！</t>
  </si>
  <si>
    <t xml:space="preserve">滴滴小巴</t>
  </si>
  <si>
    <t xml:space="preserve">陈黎</t>
  </si>
  <si>
    <t/>
    <r>
      <rPr>
        <u val="single"/>
        <color theme="10"/>
      </rPr>
      <t>https://www.douyin.com/note/7619093952427614843</t>
    </r>
  </si>
  <si>
    <t xml:space="preserve">如果嵩山能发声，黄河会呐喊，那么今日的天问就是：河南人惹谁了？</t>
  </si>
  <si>
    <t xml:space="preserve">高山都957</t>
  </si>
  <si>
    <t/>
    <r>
      <rPr>
        <u val="single"/>
        <color theme="10"/>
      </rPr>
      <t>https://www.douyin.com/video/7618932945290901903</t>
    </r>
  </si>
  <si>
    <t xml:space="preserve">#出差打车 第一次打高端车滴滴司机好高端啊，停车接送服务，都穿正装耶</t>
  </si>
  <si>
    <t xml:space="preserve">视频下架</t>
  </si>
  <si>
    <t xml:space="preserve">东方先生</t>
  </si>
  <si>
    <t/>
    <r>
      <rPr>
        <u val="single"/>
        <color theme="10"/>
      </rPr>
      <t>https://www.douyin.com/note/7619935329013573091</t>
    </r>
  </si>
  <si>
    <t xml:space="preserve">2026/3/23投放1000元</t>
  </si>
  <si>
    <t xml:space="preserve">第一次遇到聋哑人滴滴司机，100元一点爱心。#北漂人民辛苦了</t>
  </si>
  <si>
    <t xml:space="preserve">特殊身份-听障司机</t>
  </si>
  <si>
    <t xml:space="preserve">面具</t>
  </si>
  <si>
    <t/>
    <r>
      <rPr>
        <u val="single"/>
        <color theme="10"/>
      </rPr>
      <t>https://www.douyin.com/video/7619622592362705846</t>
    </r>
  </si>
  <si>
    <t xml:space="preserve">2026/3/23投放999.21元</t>
  </si>
  <si>
    <t xml:space="preserve">泾川人打车，别花冤枉钱！</t>
  </si>
  <si>
    <t xml:space="preserve">harrynos</t>
  </si>
  <si>
    <t/>
    <r>
      <rPr>
        <u val="single"/>
        <color theme="10"/>
      </rPr>
      <t>https://www.douyin.com/note/7619357588699109065</t>
    </r>
  </si>
  <si>
    <t xml:space="preserve">2026/3/23投放999.89元</t>
  </si>
  <si>
    <t xml:space="preserve">第4集 | 济州偶来小路 亲子徒步百公里Day3。第三天走了5号线/13.4公里+6号线10.1公里</t>
  </si>
  <si>
    <t xml:space="preserve">哆啦萌萌^</t>
  </si>
  <si>
    <t/>
    <r>
      <rPr>
        <u val="single"/>
        <color theme="10"/>
      </rPr>
      <t>https://www.douyin.com/note/7619636679322387057</t>
    </r>
  </si>
  <si>
    <t xml:space="preserve">2026/3/23投放1000元2026/3/24投放5000元2026/3/27投放10000元</t>
  </si>
  <si>
    <t xml:space="preserve">因为有碰到这些人让我感觉这个国家也没有网上说的那样排华与危险</t>
  </si>
  <si>
    <t xml:space="preserve">海外打车</t>
  </si>
  <si>
    <t xml:space="preserve">💐/₁₂.₁₅ ᵕ̈ xzq✨</t>
  </si>
  <si>
    <t/>
    <r>
      <rPr>
        <u val="single"/>
        <color theme="10"/>
      </rPr>
      <t>https://www.douyin.com/note/7619605942468253051</t>
    </r>
  </si>
  <si>
    <t xml:space="preserve">2026/3/23投放999.63元</t>
  </si>
  <si>
    <t xml:space="preserve">呼啦啦，已到达桐乡啦🤪🤪 第二次参加半马啦，感谢桐乡半马在8个报名之中作为第二个选择了我哈哈哈</t>
  </si>
  <si>
    <t xml:space="preserve">马拉松/赛事</t>
  </si>
  <si>
    <t xml:space="preserve">扭瓶盖小能手🤨</t>
  </si>
  <si>
    <t/>
    <r>
      <rPr>
        <u val="single"/>
        <color theme="10"/>
      </rPr>
      <t>https://www.douyin.com/video/7619392937248262208</t>
    </r>
  </si>
  <si>
    <t xml:space="preserve">2026/3/23投放999.82元</t>
  </si>
  <si>
    <t xml:space="preserve">今日心情被耗到1%🧸拖着疲惫的身体打了一辆滴滴🚗拉开车门的瞬间，看到了满车玩偶——司机是一位北方的退役军人小哥哥🚕@霍拉拉 短暂的车程，在愉快的聊天中满血复活✨热爱生活的人，真的会闪闪发光💛 #治愈系 #满车玩偶 #陌生人的温暖</t>
  </si>
  <si>
    <t xml:space="preserve">特殊身份-退伍军人</t>
  </si>
  <si>
    <t xml:space="preserve">🫘纸</t>
  </si>
  <si>
    <t/>
    <r>
      <rPr>
        <u val="single"/>
        <color theme="10"/>
      </rPr>
      <t>https://www.douyin.com/note/7619346681800231592</t>
    </r>
  </si>
  <si>
    <t xml:space="preserve">2026/3/23投放1000元2026/3/24投放3416.75元2026/3/27投放10000元</t>
  </si>
  <si>
    <t xml:space="preserve">第一次打滴滴司机怎么这么帅啊，无意冒犯。#滴滴司机</t>
  </si>
  <si>
    <t xml:space="preserve">贝贝公主👸</t>
  </si>
  <si>
    <t/>
    <r>
      <rPr>
        <u val="single"/>
        <color theme="10"/>
      </rPr>
      <t>https://www.douyin.com/note/7620309274209021605</t>
    </r>
  </si>
  <si>
    <t xml:space="preserve">2026/3/23投放999.78元</t>
  </si>
  <si>
    <t xml:space="preserve">#特斯拉 #滴滴打车 也是坐上特斯拉了，滴滴打车，人生第一次哈哈哈哈哈哈哈哈哈</t>
  </si>
  <si>
    <t xml:space="preserve">刘量AI</t>
  </si>
  <si>
    <t/>
    <r>
      <rPr>
        <u val="single"/>
        <color theme="10"/>
      </rPr>
      <t>https://www.douyin.com/video/7620296845138728549</t>
    </r>
  </si>
  <si>
    <t xml:space="preserve">2026/3/24投放1000元2026/3/27投放10000元</t>
  </si>
  <si>
    <t xml:space="preserve">什么？1句话滴滴AI就能帮你打到满意的车 #AI#AI打车#滴滴打车#AI出行#AI小滴</t>
  </si>
  <si>
    <t xml:space="preserve">AI叫车/AI小滴</t>
  </si>
  <si>
    <t xml:space="preserve">choose</t>
  </si>
  <si>
    <t/>
    <r>
      <rPr>
        <u val="single"/>
        <color theme="10"/>
      </rPr>
      <t>https://www.douyin.com/note/7619916215347607450</t>
    </r>
  </si>
  <si>
    <t xml:space="preserve">叫了个滴滴车 1.5元就算了，车还是宝马，司机还是1米8的帅哥 😂</t>
  </si>
  <si>
    <t xml:space="preserve">瓜田学姐</t>
  </si>
  <si>
    <t/>
    <r>
      <rPr>
        <u val="single"/>
        <color theme="10"/>
      </rPr>
      <t>https://www.douyin.com/video/7620371187046075682</t>
    </r>
  </si>
  <si>
    <t xml:space="preserve">曾被全网唱衰的女乘客匹配女司机功能 如今被狠狠打脸 #女司机 #出租车 #打车 #女性力量</t>
  </si>
  <si>
    <t xml:space="preserve">任我行</t>
  </si>
  <si>
    <t/>
    <r>
      <rPr>
        <u val="single"/>
        <color theme="10"/>
      </rPr>
      <t>https://www.douyin.com/note/7619897380909579002</t>
    </r>
  </si>
  <si>
    <t xml:space="preserve">2026/3/24投放1000元</t>
  </si>
  <si>
    <t xml:space="preserve">昨天坐滴滴，竟然打到了一辆汉的绝版车，大家猜猜是啥车？</t>
  </si>
  <si>
    <t xml:space="preserve">羽物夫妇</t>
  </si>
  <si>
    <t/>
    <r>
      <rPr>
        <u val="single"/>
        <color theme="10"/>
      </rPr>
      <t>https://www.douyin.com/video/7620401522627016079</t>
    </r>
  </si>
  <si>
    <t xml:space="preserve">2026/3/25投放1000元</t>
  </si>
  <si>
    <t xml:space="preserve">今日份快乐是滴滴给的！随手一打就是豪华车，体验感直接封神，果然生活处处有惊喜～#羽物夫妇 #共青城 #豪华车 #五星级服务</t>
  </si>
  <si>
    <t xml:space="preserve">3uii-</t>
  </si>
  <si>
    <t/>
    <r>
      <rPr>
        <u val="single"/>
        <color theme="10"/>
      </rPr>
      <t>https://www.douyin.com/note/7620816046761141747</t>
    </r>
  </si>
  <si>
    <t xml:space="preserve">我想感谢一位桂A的刘师傅。</t>
  </si>
  <si>
    <t xml:space="preserve">艳子</t>
  </si>
  <si>
    <t/>
    <r>
      <rPr>
        <u val="single"/>
        <color theme="10"/>
      </rPr>
      <t>https://www.douyin.com/video/7620759348268759141</t>
    </r>
  </si>
  <si>
    <t xml:space="preserve">今天打滴滴打到一个全是帅哥的司机说是邓为，不得不说是真帅。#邓为</t>
  </si>
  <si>
    <t xml:space="preserve">池也white</t>
  </si>
  <si>
    <t/>
    <r>
      <rPr>
        <u val="single"/>
        <color theme="10"/>
      </rPr>
      <t>https://www.douyin.com/note/7620767030497210778</t>
    </r>
  </si>
  <si>
    <t xml:space="preserve">感谢大哥。武汉牛逼！十七公里二十三分钟就能到#武汉 #滴滴司机 #赶车 #基建狂魔</t>
  </si>
  <si>
    <t xml:space="preserve">驾驶技术</t>
  </si>
  <si>
    <t xml:space="preserve">爱漂亮的沈姨</t>
  </si>
  <si>
    <t/>
    <r>
      <rPr>
        <u val="single"/>
        <color theme="10"/>
      </rPr>
      <t>https://www.douyin.com/note/7620750244388744677</t>
    </r>
  </si>
  <si>
    <t xml:space="preserve">2026/3/25投放1000元2026/3/27投放10000元</t>
  </si>
  <si>
    <t xml:space="preserve">司机师傅一句夸赞，让我更爱穿汉服了。55岁，照样敢把汉服穿出门～</t>
  </si>
  <si>
    <t xml:space="preserve">摸鱼大小姐</t>
  </si>
  <si>
    <t/>
    <r>
      <rPr>
        <u val="single"/>
        <color theme="10"/>
      </rPr>
      <t>https://www.douyin.com/video/7620717387695869226</t>
    </r>
  </si>
  <si>
    <t xml:space="preserve">2026/3/25投放1000元2026/3/27投放9999.74元</t>
  </si>
  <si>
    <t xml:space="preserve">女生之间的善意 从来不是刻意营造的模样 #女司机 #打车 #网约车 #正能量</t>
  </si>
  <si>
    <t xml:space="preserve">wangCc⚡️</t>
  </si>
  <si>
    <t/>
    <r>
      <rPr>
        <u val="single"/>
        <color theme="10"/>
      </rPr>
      <t>https://www.douyin.com/note/7621196315842001280</t>
    </r>
  </si>
  <si>
    <t xml:space="preserve">2026/3/27投放1000元</t>
  </si>
  <si>
    <t xml:space="preserve">初到杭州人生地不熟，打了个车前往目的地</t>
  </si>
  <si>
    <t xml:space="preserve">是陈叁叁咩</t>
  </si>
  <si>
    <t/>
    <r>
      <rPr>
        <u val="single"/>
        <color theme="10"/>
      </rPr>
      <t>https://www.douyin.com/note/7621099857121775019</t>
    </r>
  </si>
  <si>
    <t xml:space="preserve">谁懂打滴滴碰到了这一幕的救赎感 #可爱到爆炸💥 #滴滴司机 #车载鹦鹉 #高德打车</t>
  </si>
  <si>
    <t xml:space="preserve">紫苏草</t>
  </si>
  <si>
    <t/>
    <r>
      <rPr>
        <u val="single"/>
        <color theme="10"/>
      </rPr>
      <t>https://www.douyin.com/video/7621131594221657457</t>
    </r>
  </si>
  <si>
    <t xml:space="preserve">刮风下雨都是叫滴滴上下班，儿子说领导也是地铁上班，停车太难，路上又堵，他还说买了车天天晒太阳，天天掉价，还要停车费，各种费用，学车也要钱，还要时间，坚决不要车，所以说我家没有车，我觉得挺好，上海滴滴便宜，叫车很快接单！</t>
  </si>
  <si>
    <t xml:space="preserve">已重置</t>
  </si>
  <si>
    <t/>
    <r>
      <rPr>
        <u val="single"/>
        <color theme="10"/>
      </rPr>
      <t>https://www.douyin.com/note/7621580768725255525</t>
    </r>
  </si>
  <si>
    <t xml:space="preserve">2026/3/27投放1000元2026/3/30投放10000元2026/3/31投放10000元2026/4/1投放10000元</t>
  </si>
  <si>
    <t xml:space="preserve">谁懂啊!打车遇到退役军人司机，安全感直接拉满#滴滴司机 师傅说：“以前保家卫国，现在保你平安到家~”#暖心瞬间 #退役军人 #打车奇遇</t>
  </si>
  <si>
    <t xml:space="preserve">鱼丸子的快乐星球🫧</t>
  </si>
  <si>
    <t/>
    <r>
      <rPr>
        <u val="single"/>
        <color theme="10"/>
      </rPr>
      <t>https://www.douyin.com/note/7621539907975294329</t>
    </r>
  </si>
  <si>
    <t xml:space="preserve">谁能懂上车那一刻的惊喜感呀哈哈~ 今日份最快乐的事情莫过于~花最低的💰打到了一辆喜爱的车哈哈#滴滴出行 #打车打到特斯拉 #真实生活分享计划 #特斯拉model3</t>
  </si>
  <si>
    <t xml:space="preserve">晓雅姐</t>
  </si>
  <si>
    <t/>
    <r>
      <rPr>
        <u val="single"/>
        <color theme="10"/>
      </rPr>
      <t>https://www.douyin.com/note/7622163930036053684</t>
    </r>
  </si>
  <si>
    <t xml:space="preserve">2026/3/30投放1000元</t>
  </si>
  <si>
    <t xml:space="preserve">#出行 #专车接送 今天遇到了好司机，</t>
  </si>
  <si>
    <t xml:space="preserve">无情四季豆</t>
  </si>
  <si>
    <t/>
    <r>
      <rPr>
        <u val="single"/>
        <color theme="10"/>
      </rPr>
      <t>https://www.douyin.com/video/7621965075905249910</t>
    </r>
  </si>
  <si>
    <t xml:space="preserve">2026/3/30投放1000元2026/3/31投放5000元</t>
  </si>
  <si>
    <t xml:space="preserve">真的被成都滴滴师傅的善意感动到了</t>
  </si>
  <si>
    <t xml:space="preserve">一口甜☁️⋆</t>
  </si>
  <si>
    <t/>
    <r>
      <rPr>
        <u val="single"/>
        <color theme="10"/>
      </rPr>
      <t>https://www.douyin.com/note/7621904670667781553</t>
    </r>
  </si>
  <si>
    <t xml:space="preserve">2026/3/30投放1000元2026/3/31投放10000元2026/4/1投放10000元2026/4/2投放10000元</t>
  </si>
  <si>
    <t xml:space="preserve">打车的意外惊喜，一整车的柠檬香扑而来</t>
  </si>
  <si>
    <t xml:space="preserve">香卡</t>
  </si>
  <si>
    <t xml:space="preserve">丸o.Q</t>
  </si>
  <si>
    <t/>
    <r>
      <rPr>
        <u val="single"/>
        <color theme="10"/>
      </rPr>
      <t>https://www.douyin.com/note/7621941211725617849</t>
    </r>
  </si>
  <si>
    <t xml:space="preserve">滴滴公交 拯救不会骑车的大学生！#厉害了我的车 #每天必打开的软件 #每天冷知识 #还有这种操作 #滴滴公交车</t>
  </si>
  <si>
    <t xml:space="preserve">王多鱼🐟（文哥）</t>
  </si>
  <si>
    <t/>
    <r>
      <rPr>
        <u val="single"/>
        <color theme="10"/>
      </rPr>
      <t>https://www.douyin.com/video/7622625731391179151</t>
    </r>
  </si>
  <si>
    <t xml:space="preserve">体验一下网约公交</t>
  </si>
  <si>
    <t xml:space="preserve">隆A📸客LianA</t>
  </si>
  <si>
    <t/>
    <r>
      <rPr>
        <u val="single"/>
        <color theme="10"/>
      </rPr>
      <t>https://www.douyin.com/video/7622531685897224689</t>
    </r>
  </si>
  <si>
    <t xml:space="preserve">天等至南宁 超大滴滴巴士，每天只有两台车在跑三趟？🤔#广西超大运输集团 #客运 #文明出行</t>
  </si>
  <si>
    <t xml:space="preserve">站点巴士</t>
  </si>
  <si>
    <t xml:space="preserve">傻二哥</t>
  </si>
  <si>
    <t/>
    <r>
      <rPr>
        <u val="single"/>
        <color theme="10"/>
      </rPr>
      <t>https://www.douyin.com/note/7622970947830529457</t>
    </r>
  </si>
  <si>
    <t xml:space="preserve">2026/3/31投放1000元</t>
  </si>
  <si>
    <t xml:space="preserve">深圳爱心接力！志愿者极速奔跑+滴滴积极相助，遗失手机发车前1分钟物归原主，旅客泪目致谢。</t>
  </si>
  <si>
    <t xml:space="preserve">Guci.</t>
  </si>
  <si>
    <t/>
    <r>
      <rPr>
        <u val="single"/>
        <color theme="10"/>
      </rPr>
      <t>https://www.douyin.com/note/7623066471988239337</t>
    </r>
  </si>
  <si>
    <t xml:space="preserve">2026/3/31投放1000元2026/4/1投放5000元2026/4/2投放5000元</t>
  </si>
  <si>
    <t xml:space="preserve">谁懂啊!打车遇到，退役军人司机安全感直接拉满#滴滴司机 师傅说：“以前保家卫国，现在保你平安到家#退役军人 #暖心瞬间 #打车奇遇</t>
  </si>
  <si>
    <t xml:space="preserve">沐沐小食光</t>
  </si>
  <si>
    <t/>
    <r>
      <rPr>
        <u val="single"/>
        <color theme="10"/>
      </rPr>
      <t>https://www.douyin.com/video/7623026166921225970</t>
    </r>
  </si>
  <si>
    <t xml:space="preserve">2026/4/1投放1000元</t>
  </si>
  <si>
    <t xml:space="preserve">这滴滴车也太干净了吧！一点异味都没有关键是这车跑了十几万公里了，还能保持的这么干净我一个女人自己的车都没法比，惭愧啊#靠谱男司机 #杭州滴滴 #打车 #滴滴司机</t>
  </si>
  <si>
    <t xml:space="preserve">AO王的偏爱²⁰²⁶</t>
  </si>
  <si>
    <t/>
    <r>
      <rPr>
        <u val="single"/>
        <color theme="10"/>
      </rPr>
      <t>https://www.douyin.com/video/7623358535632128435</t>
    </r>
  </si>
  <si>
    <t xml:space="preserve">#大巴车</t>
  </si>
  <si>
    <t xml:space="preserve">早早早早睡</t>
  </si>
  <si>
    <t/>
    <r>
      <rPr>
        <u val="single"/>
        <color theme="10"/>
      </rPr>
      <t>https://www.douyin.com/note/7623367834466321253</t>
    </r>
  </si>
  <si>
    <t xml:space="preserve">打到这种滴滴网约车 扑面而来的安全感#退役军人 #滴滴司机 #致敬 #滴滴司机</t>
  </si>
  <si>
    <t xml:space="preserve">不羁的风</t>
  </si>
  <si>
    <t/>
    <r>
      <rPr>
        <u val="single"/>
        <color theme="10"/>
      </rPr>
      <t>https://www.douyin.com/note/7623407790573423066</t>
    </r>
  </si>
  <si>
    <t xml:space="preserve">2026/4/2投放1000元</t>
  </si>
  <si>
    <t xml:space="preserve">上海今天的雨很大不仅打湿了我的双眸还把这座魔幻城市冲刷得焕然一新通过抖音平台实名表扬这位滴滴司机</t>
  </si>
  <si>
    <t xml:space="preserve">发布日期</t>
  </si>
  <si>
    <t xml:space="preserve">投放截止日期</t>
  </si>
  <si>
    <t xml:space="preserve">状态</t>
  </si>
  <si>
    <t xml:space="preserve">达人名称</t>
  </si>
  <si>
    <t xml:space="preserve">链接</t>
  </si>
  <si>
    <t/>
    <r>
      <rPr>
        <b val="true"/>
        <i val="false"/>
        <strike val="false"/>
        <sz val="10"/>
        <color rgb="FF000000"/>
      </rPr>
      <t xml:space="preserve">投放记录
</t>
    </r>
    <r>
      <rPr>
        <b val="true"/>
        <i val="false"/>
        <strike val="false"/>
        <sz val="9"/>
        <color rgb="FF8F959E"/>
      </rPr>
      <t>xx日投放xx元</t>
    </r>
  </si>
  <si>
    <t xml:space="preserve">标题</t>
  </si>
  <si>
    <t xml:space="preserve">投前互动量</t>
  </si>
  <si>
    <t xml:space="preserve">投放互动量</t>
  </si>
  <si>
    <t xml:space="preserve">投放后点赞量</t>
  </si>
  <si>
    <t xml:space="preserve">投放后收藏量</t>
  </si>
  <si>
    <t xml:space="preserve">投放后评论量</t>
  </si>
  <si>
    <t xml:space="preserve">投放后转发量</t>
  </si>
  <si>
    <t xml:space="preserve">总互动量</t>
  </si>
  <si>
    <t xml:space="preserve">总投放金额</t>
  </si>
  <si>
    <t/>
    <r>
      <rPr>
        <b val="true"/>
        <i val="false"/>
        <strike val="false"/>
        <sz val="10"/>
        <color rgb="FF000000"/>
      </rPr>
      <t xml:space="preserve">综合cpe
</t>
    </r>
    <r>
      <rPr>
        <b val="true"/>
        <i val="false"/>
        <strike val="false"/>
        <sz val="9"/>
        <color rgb="FF8F959E"/>
      </rPr>
      <t>*投入/笔记外层互动数据</t>
    </r>
  </si>
  <si>
    <t xml:space="preserve">一级分类</t>
  </si>
  <si>
    <t xml:space="preserve">二级分类</t>
  </si>
  <si>
    <t xml:space="preserve">备注</t>
  </si>
  <si>
    <t xml:space="preserve">爆款定级</t>
  </si>
  <si>
    <t xml:space="preserve">汇总</t>
  </si>
  <si>
    <t xml:space="preserve">-</t>
  </si>
  <si>
    <t xml:space="preserve">投放完毕</t>
  </si>
  <si>
    <t xml:space="preserve">养一只蒙丢丢</t>
  </si>
  <si>
    <t/>
    <r>
      <rPr>
        <u val="single"/>
        <color theme="10"/>
      </rPr>
      <t>https://www.douyin.com/video/7623768838857578048</t>
    </r>
  </si>
  <si>
    <t xml:space="preserve">2026/4/2投放1000元</t>
  </si>
  <si>
    <t xml:space="preserve">北京的滴滴司机也太好了吧🤗，滴滴快车享受专车都享受不了的待遇，快下车了看我们都没拿，然后他抓了四个🍊送到了我们手里边#抖加小助手 #抖音热门 #抖音热门小助手</t>
  </si>
  <si>
    <t xml:space="preserve">司机</t>
  </si>
  <si>
    <t xml:space="preserve">司乘温暖</t>
  </si>
  <si>
    <t xml:space="preserve">晓雅姐</t>
  </si>
  <si>
    <t/>
    <r>
      <rPr>
        <u val="single"/>
        <color theme="10"/>
      </rPr>
      <t>https://www.douyin.com/note/7624113880570299215</t>
    </r>
  </si>
  <si>
    <t xml:space="preserve">2026/4/3投放1000元</t>
  </si>
  <si>
    <t xml:space="preserve">#出行 #专车接送 乘坐这样的专车出行，怎么会有司乘矛盾呢。</t>
  </si>
  <si>
    <t xml:space="preserve">产品力</t>
  </si>
  <si>
    <t xml:space="preserve">专车/豪华车</t>
  </si>
  <si>
    <t xml:space="preserve">Maisy</t>
  </si>
  <si>
    <t/>
    <r>
      <rPr>
        <u val="single"/>
        <color theme="10"/>
      </rPr>
      <t>https://www.douyin.com/video/7624862115832787121</t>
    </r>
  </si>
  <si>
    <t xml:space="preserve">2026/4/7投放1000元2026/4/8投放5000元</t>
  </si>
  <si>
    <t xml:space="preserve">大雨着急去和朋友吃饭被困在公司于是滴滴师傅把车停在最近的停车场带伞来接我 路上跟我描述车况并一直道歉 从前这样的事情只有父亲做过 相同的还有那把倾斜的伞和淋湿的衣服#雨 #沈阳美食 #滴滴司机 #服务业</t>
  </si>
  <si>
    <t xml:space="preserve">真褒义词！</t>
  </si>
  <si>
    <t/>
    <r>
      <rPr>
        <u val="single"/>
        <color theme="10"/>
      </rPr>
      <t>https://www.douyin.com/video/7624320840444438116</t>
    </r>
  </si>
  <si>
    <t xml:space="preserve">2026/4/7投放1000元</t>
  </si>
  <si>
    <t xml:space="preserve">重庆新华网你好事做尽！！！！也是在滴滴上自己点歌了#重庆 #张云雷 #滴滴出行</t>
  </si>
  <si>
    <t xml:space="preserve">车内</t>
  </si>
  <si>
    <t xml:space="preserve">司机自发装置</t>
  </si>
  <si>
    <t xml:space="preserve">茉</t>
  </si>
  <si>
    <t/>
    <r>
      <rPr>
        <u val="single"/>
        <color theme="10"/>
      </rPr>
      <t>https://www.douyin.com/note/7625245014687938233</t>
    </r>
  </si>
  <si>
    <t xml:space="preserve">女性主义。今天经历了很多幸福的事情。第一件事：今天第一次启用了刷到的“滴滴女性友好计划”，即优先推荐女司机。</t>
  </si>
  <si>
    <t xml:space="preserve">女性友好计划</t>
  </si>
  <si>
    <t xml:space="preserve">￴￴ ￴￴陈伟</t>
  </si>
  <si>
    <t/>
    <r>
      <rPr>
        <u val="single"/>
        <color theme="10"/>
      </rPr>
      <t>https://www.douyin.com/note/7624963816623740027</t>
    </r>
  </si>
  <si>
    <t xml:space="preserve">2026/4/7投放1000元2026/4/8投放10000元2026/4/9投放5000元2026/4/10投放5000元</t>
  </si>
  <si>
    <t xml:space="preserve">那天我打了个滴滴 和往常一样开了车门要准备上车 可那天我一打开车门映入眼帘看到司机车上贴满了各国的钞票 和各国的祝福语</t>
  </si>
  <si>
    <t xml:space="preserve">牙抖音不抖🪥</t>
  </si>
  <si>
    <t/>
    <r>
      <rPr>
        <u val="single"/>
        <color theme="10"/>
      </rPr>
      <t>https://www.douyin.com/video/7625090564824947065</t>
    </r>
  </si>
  <si>
    <t xml:space="preserve">长见识了，才知道还有滴滴公交车3块钱一个人#滴滴公交车 #</t>
  </si>
  <si>
    <t xml:space="preserve">网约公交</t>
  </si>
  <si>
    <t xml:space="preserve">纯爷们</t>
  </si>
  <si>
    <t/>
    <r>
      <rPr>
        <u val="single"/>
        <color theme="10"/>
      </rPr>
      <t>https://www.douyin.com/note/7625760714330410816</t>
    </r>
  </si>
  <si>
    <t xml:space="preserve">2026/4/8投放835.21元</t>
  </si>
  <si>
    <t xml:space="preserve">昨天肚子疼了一天，从早上九点多到夜里十一点多，实在忍不住了，去了医院，结果说是急性阑尾炎。</t>
  </si>
  <si>
    <t xml:space="preserve">图文下线</t>
  </si>
  <si>
    <t xml:space="preserve">场景</t>
  </si>
  <si>
    <t xml:space="preserve">医院/就医</t>
  </si>
  <si>
    <t xml:space="preserve">在投</t>
  </si>
  <si>
    <t xml:space="preserve">哎呦～wei♞🌽</t>
  </si>
  <si>
    <t/>
    <r>
      <rPr>
        <u val="single"/>
        <color theme="10"/>
      </rPr>
      <t>https://www.douyin.com/note/7625846621917471208</t>
    </r>
  </si>
  <si>
    <t xml:space="preserve">2026/4/8投放1000元</t>
  </si>
  <si>
    <t xml:space="preserve">兖州真的是一个很有爱的城市，滴滴师傅都好有礼貌，也很有爱心</t>
  </si>
  <si>
    <t xml:space="preserve">司机服务</t>
  </si>
  <si>
    <t/>
    <r>
      <rPr>
        <u val="single"/>
        <color theme="10"/>
      </rPr>
      <t>https://www.douyin.com/note/7626240521292568483</t>
    </r>
  </si>
  <si>
    <t xml:space="preserve">2026/4/9投放1000元</t>
  </si>
  <si>
    <t xml:space="preserve">#出行 #专车接送 稳稳的好评给这司机，上车没有多久就很困睡着了</t>
  </si>
  <si>
    <t xml:space="preserve">朵朵妹妹</t>
  </si>
  <si>
    <t/>
    <r>
      <rPr>
        <u val="single"/>
        <color theme="10"/>
      </rPr>
      <t>https://www.douyin.com/video/7626383694223907429</t>
    </r>
  </si>
  <si>
    <t xml:space="preserve">2026/4/10投放1000元</t>
  </si>
  <si>
    <t xml:space="preserve">这次体验感真的超好，坐到了极氪009，晕车的我突然不晕了，司机亲自开门，车上再也没有异味，都是香香的，有吃有喝</t>
  </si>
  <si>
    <t xml:space="preserve">特殊车型/车衣</t>
  </si>
  <si>
    <t xml:space="preserve">善缘</t>
  </si>
  <si>
    <t/>
    <r>
      <rPr>
        <u val="single"/>
        <color theme="10"/>
      </rPr>
      <t>https://www.douyin.com/note/7626557894406165434</t>
    </r>
  </si>
  <si>
    <t xml:space="preserve">这两天被太多温柔善意包裹着</t>
  </si>
  <si>
    <t xml:space="preserve">薇薇安的闪电侠</t>
  </si>
  <si>
    <t/>
    <r>
      <rPr>
        <u val="single"/>
        <color theme="10"/>
      </rPr>
      <t>https://www.douyin.com/video/7626715483103183604</t>
    </r>
  </si>
  <si>
    <t xml:space="preserve">第一次打到播放音乐的滴滴打车，还是我喜欢的音乐，并且还不臭的车，必须给司机大哥发个红包表示感谢一下，希望司机不要嫌弃太少哈 #滴滴打车</t>
  </si>
  <si>
    <t xml:space="preserve">Y悟空</t>
  </si>
  <si>
    <t/>
    <r>
      <rPr>
        <u val="single"/>
        <color theme="10"/>
      </rPr>
      <t>https://www.douyin.com/video/7627467421783603045</t>
    </r>
  </si>
  <si>
    <t xml:space="preserve">2026/4/13投放1000元2026/4/14投放5000元2026/4/15投放10000元</t>
  </si>
  <si>
    <t xml:space="preserve">#潮玩驾驶 #车载搭子 #滴滴司机</t>
  </si>
  <si>
    <t xml:space="preserve">人间小迷糊</t>
  </si>
  <si>
    <t/>
    <r>
      <rPr>
        <u val="single"/>
        <color theme="10"/>
      </rPr>
      <t>https://www.douyin.com/note/7626984999901013113</t>
    </r>
  </si>
  <si>
    <t xml:space="preserve">2026/4/13投放1000元</t>
  </si>
  <si>
    <t xml:space="preserve">今天的滴滴司机应该是一个灵魂很有趣的人呢👍多么可可爱爱ෆ╹ .̮ ╹ෆ的人，才能配出这么有趣的文字~</t>
  </si>
  <si>
    <t xml:space="preserve">留言本</t>
  </si>
  <si>
    <t xml:space="preserve">无法投放</t>
  </si>
  <si>
    <t xml:space="preserve">黄山竹</t>
  </si>
  <si>
    <t/>
    <r>
      <rPr>
        <u val="single"/>
        <color theme="10"/>
      </rPr>
      <t>https://www.douyin.com/note/7627440028503106771</t>
    </r>
  </si>
  <si>
    <t xml:space="preserve">方便市民出行</t>
  </si>
  <si>
    <t xml:space="preserve">beo_mmunga_</t>
  </si>
  <si>
    <t/>
    <r>
      <rPr>
        <u val="single"/>
        <color theme="10"/>
      </rPr>
      <t>https://www.douyin.com/video/7627890045047581027</t>
    </r>
  </si>
  <si>
    <t xml:space="preserve">2026/4/13投放598.97元</t>
  </si>
  <si>
    <t xml:space="preserve">遇到了这辈子最合拍的滴滴师傅😂😂#滴滴司机 #心软的神 #k歌之王</t>
  </si>
  <si>
    <t xml:space="preserve">视频下线</t>
  </si>
  <si>
    <t xml:space="preserve">司乘互动</t>
  </si>
  <si>
    <t xml:space="preserve">CHN</t>
  </si>
  <si>
    <t/>
    <r>
      <rPr>
        <u val="single"/>
        <color theme="10"/>
      </rPr>
      <t>https://www.douyin.com/video/7628055768176180586</t>
    </r>
  </si>
  <si>
    <t xml:space="preserve">2026/4/14投放1000元</t>
  </si>
  <si>
    <t xml:space="preserve">滴滴真的什么车都能打到！曾经的豪华电车，有幸优享到了，车还是很不错的，尤其劳斯莱斯的开门！ #高合hiphix #滴滴 #新能源汽车</t>
  </si>
  <si>
    <t xml:space="preserve">☎️@永欢生态农场</t>
  </si>
  <si>
    <t/>
    <r>
      <rPr>
        <u val="single"/>
        <color theme="10"/>
      </rPr>
      <t>https://www.douyin.com/video/7627656361078613477</t>
    </r>
  </si>
  <si>
    <t xml:space="preserve">打个滴滴司机师傅都是个美女，现在行业那么卷了吗？</t>
  </si>
  <si>
    <t xml:space="preserve">女司机</t>
  </si>
  <si>
    <t xml:space="preserve">茉香·姜婷婷</t>
  </si>
  <si>
    <t/>
    <r>
      <rPr>
        <u val="single"/>
        <color theme="10"/>
      </rPr>
      <t>https://www.douyin.com/video/7628568501427008241</t>
    </r>
  </si>
  <si>
    <t xml:space="preserve">2026/4/15投放1000元</t>
  </si>
  <si>
    <t xml:space="preserve">我们不是他人口中的“小店小厂”，当我们集结成为匠心联盟，蚂蚁军团可食象。</t>
  </si>
  <si>
    <t xml:space="preserve">无匹配类别</t>
  </si>
  <si>
    <t xml:space="preserve">保山小韩</t>
  </si>
  <si>
    <t/>
    <r>
      <rPr>
        <u val="single"/>
        <color theme="10"/>
      </rPr>
      <t>https://www.douyin.com/video/7628593020561465713</t>
    </r>
  </si>
  <si>
    <t xml:space="preserve">这是我坐过最暖心的滴滴车，人都会疲惫，会黯淡，但也会因为某个瞬间重新爱上生活#滴滴车内的小细节#云南保山#治愈世界治愈你</t>
  </si>
  <si>
    <t xml:space="preserve">恭喜啊小富婆</t>
  </si>
  <si>
    <t/>
    <r>
      <rPr>
        <u val="single"/>
        <color theme="10"/>
      </rPr>
      <t>https://www.douyin.com/video/7628175992222109553</t>
    </r>
  </si>
  <si>
    <t xml:space="preserve">2026/4/16投放1000元</t>
  </si>
  <si>
    <t xml:space="preserve">隔一天洗一次！干一行爱一行，一行白鹭上青天！ #滴滴司机 #日常vlog #搞笑 #搞笑视频 #出门必备</t>
  </si>
  <si>
    <t xml:space="preserve">汪涛和导盲犬叮当</t>
  </si>
  <si>
    <t/>
    <r>
      <rPr>
        <u val="single"/>
        <color theme="10"/>
      </rPr>
      <t>https://www.douyin.com/video/7629141999672840169</t>
    </r>
  </si>
  <si>
    <t xml:space="preserve">2026/4/16投放1000元2026/4/17投放5000元</t>
  </si>
  <si>
    <t xml:space="preserve">带导盲犬叮当在福州坐滴滴，被一位暖心交警狠狠治愈。 带着导盲犬叮当在福州路边等候滴滴，因视线不便，我只能将手机贴在耳边听单，加上排队车辆较多，在路口徘徊等待了很久。</t>
  </si>
  <si>
    <t xml:space="preserve">兵哥跑车</t>
  </si>
  <si>
    <t/>
    <r>
      <rPr>
        <u val="single"/>
        <color theme="10"/>
      </rPr>
      <t>https://www.douyin.com/video/7628928486560089529</t>
    </r>
  </si>
  <si>
    <t xml:space="preserve">2026/4/17投放1000元</t>
  </si>
  <si>
    <t xml:space="preserve">滴滴香卡来啦#滴滴北京限定香卡 #把北京景点挂到车上</t>
  </si>
  <si>
    <t xml:space="preserve">香卡</t>
  </si>
  <si>
    <t xml:space="preserve">桃子欧尼</t>
  </si>
  <si>
    <t/>
    <r>
      <rPr>
        <u val="single"/>
        <color theme="10"/>
      </rPr>
      <t>https://www.douyin.com/note/7630389147651540148</t>
    </r>
  </si>
  <si>
    <t xml:space="preserve">2026/4/20投放1000元</t>
  </si>
  <si>
    <t xml:space="preserve">加班的坏心情得到了治愈～#打车奇遇 #退役军人 #滴滴司机 #致敬 #dou上热门</t>
  </si>
  <si>
    <t xml:space="preserve">特殊身份-退伍军人</t>
  </si>
  <si>
    <t xml:space="preserve">🧀</t>
  </si>
  <si>
    <t/>
    <r>
      <rPr>
        <u val="single"/>
        <color theme="10"/>
      </rPr>
      <t>https://www.douyin.com/note/7630280919329366708</t>
    </r>
  </si>
  <si>
    <t xml:space="preserve">第一次打到聋哑人司机的车，上车习惯性报了手机尾号，没注意到提示牌 习惯性跟司机打招呼 没理我 当我抬头的时候司机拿着提示牌给我看 这才明白他是</t>
  </si>
  <si>
    <t xml:space="preserve">特殊身份-听障司机</t>
  </si>
  <si>
    <t xml:space="preserve">佩琪</t>
  </si>
  <si>
    <t/>
    <r>
      <rPr>
        <u val="single"/>
        <color theme="10"/>
      </rPr>
      <t>https://www.douyin.com/video/7630163601161398178</t>
    </r>
  </si>
  <si>
    <t xml:space="preserve">#滴滴司机 今天遇到一个57岁还在开滴滴的叔叔，他说他要挣钱，他儿子开了一个装修公司在亏钱，他希望可以帮他一把，看见他跟我父亲的年龄差不多大，莫名有一股亲切</t>
  </si>
  <si>
    <t xml:space="preserve">知青</t>
  </si>
  <si>
    <t/>
    <r>
      <rPr>
        <u val="single"/>
        <color theme="10"/>
      </rPr>
      <t>https://www.douyin.com/video/7629911775865505906</t>
    </r>
  </si>
  <si>
    <t xml:space="preserve">上午去南昌汉代海昏候博物馆参观，我乘坐滴滴网约车，有幸遇上一个即开车技术好，又是南昌通的师傅，让我一路开心。#南昌交通 #司机 #夫妻日常 #海昏侯博物馆</t>
  </si>
  <si>
    <t xml:space="preserve">旅游出行</t>
  </si>
  <si>
    <t/>
    <r>
      <rPr>
        <u val="single"/>
        <color theme="10"/>
      </rPr>
      <t>https://www.douyin.com/video/7630071089049654198</t>
    </r>
  </si>
  <si>
    <t xml:space="preserve">带叮当在福州坐滴滴遇到一位热心司机，一路交谈满是温暖！ 带着导盲犬叮当出行，在福州偶遇一位暖心滴滴司机。一路交谈满是善意，司机细心询问导盲犬的相关事宜</t>
  </si>
  <si>
    <t xml:space="preserve">英</t>
  </si>
  <si>
    <t/>
    <r>
      <rPr>
        <u val="single"/>
        <color theme="10"/>
      </rPr>
      <t>https://www.douyin.com/video/7630474109919557051</t>
    </r>
  </si>
  <si>
    <t xml:space="preserve">2026.4.19日，今天从峨眉坐滴滴巴士来成都，就是为了明天带妈妈到华西看病。提前一天过来，就是为了省钱、省时间、少折腾。</t>
  </si>
  <si>
    <t xml:space="preserve">飘雪</t>
  </si>
  <si>
    <t/>
    <r>
      <rPr>
        <u val="single"/>
        <color theme="10"/>
      </rPr>
      <t>https://www.douyin.com/video/7630433467185514597</t>
    </r>
  </si>
  <si>
    <t xml:space="preserve">#滴滴站点巴士 #成都到广元39.9</t>
  </si>
  <si>
    <t xml:space="preserve">站点巴士</t>
  </si>
  <si>
    <t xml:space="preserve">楚楚爱济宁</t>
  </si>
  <si>
    <t/>
    <r>
      <rPr>
        <u val="single"/>
        <color theme="10"/>
      </rPr>
      <t>https://www.douyin.com/video/7629612388421693945</t>
    </r>
  </si>
  <si>
    <t xml:space="preserve">滴滴站点巴士 🚌 它来啦～#嘉祥 #济宁 #滴滴站点巴士 #方便又实用 #出行</t>
  </si>
  <si>
    <t xml:space="preserve">悠悠的视界</t>
  </si>
  <si>
    <t/>
    <r>
      <rPr>
        <u val="single"/>
        <color theme="10"/>
      </rPr>
      <t>https://www.douyin.com/video/7629126711086685289</t>
    </r>
  </si>
  <si>
    <t xml:space="preserve">武汉人去黄石也太方便了吧，黄石首条滴滴站点巴士线路要来了，黄石往返武汉线路将于4月16日正式通车，往返双向车票黄石至武昌线路限时体验价14.9元起#黄石到武汉 #滴滴站点巴士 #黄石出行 #武汉通勤 #城际出行</t>
  </si>
  <si>
    <t xml:space="preserve">叶同学</t>
  </si>
  <si>
    <t/>
    <r>
      <rPr>
        <u val="single"/>
        <color theme="10"/>
      </rPr>
      <t>https://www.douyin.com/video/7628801934065316517</t>
    </r>
  </si>
  <si>
    <t xml:space="preserve">厦门龙海往返出行的神仙级路线开了！滴巴上线啦！提前购票只要9.9，真的很划算#龙海厦门 #龙海巴士 #漳州交通 #跨城上班 #周末回家省钱攻略</t>
  </si>
  <si>
    <t xml:space="preserve">年年</t>
  </si>
  <si>
    <t/>
    <r>
      <rPr>
        <u val="single"/>
        <color theme="10"/>
      </rPr>
      <t>https://www.douyin.com/video/7630833058359450441</t>
    </r>
  </si>
  <si>
    <t xml:space="preserve">2026/4/22投放1000元</t>
  </si>
  <si>
    <t xml:space="preserve">岳阳的滴滴司机这么有节目的吗？！听爽了！！#GAI #功夫胖 #山歌王</t>
  </si>
  <si>
    <t xml:space="preserve">余梦似海</t>
  </si>
  <si>
    <t/>
    <r>
      <rPr>
        <u val="single"/>
        <color theme="10"/>
      </rPr>
      <t>https://www.douyin.com/video/7631145389820062201</t>
    </r>
  </si>
  <si>
    <t xml:space="preserve">姐妹们！高德打车跟滴滴打车是有区别的你们知道吗？高德打车是出租车公司直接给你选择路线，就是大家都懂的，绕圈子路线，他不是按照最近路线给你选，滴滴打车是可以自己选路线的，我分享出来让不懂的姐妹打车出租车意避坑##出行 #出租车 #高德打车 #注意避坑#记录真实生活</t>
  </si>
  <si>
    <t xml:space="preserve">养森不能碰—第11年</t>
  </si>
  <si>
    <t/>
    <r>
      <rPr>
        <u val="single"/>
        <color theme="10"/>
      </rPr>
      <t>https://www.douyin.com/video/7631151287887270757</t>
    </r>
  </si>
  <si>
    <t xml:space="preserve">#记录我的生活 又回老家彭山了</t>
  </si>
  <si>
    <t xml:space="preserve">跨城出行</t>
  </si>
  <si>
    <t xml:space="preserve">清泉~漂荷</t>
  </si>
  <si>
    <t/>
    <r>
      <rPr>
        <u val="single"/>
        <color theme="10"/>
      </rPr>
      <t>https://www.douyin.com/video/7631159721408326771</t>
    </r>
  </si>
  <si>
    <t xml:space="preserve">2026/4/23投放1000元</t>
  </si>
  <si>
    <t xml:space="preserve">🚗这滴滴师傅也太会了吧！导航屏前插满鲜花💐瞬间治愈所有疲惫～生活美学不分职业！#车载小确幸 #美来自生活</t>
  </si>
  <si>
    <t xml:space="preserve">夏天</t>
  </si>
  <si>
    <t/>
    <r>
      <rPr>
        <u val="single"/>
        <color theme="10"/>
      </rPr>
      <t>https://www.douyin.com/video/7631062852215782976</t>
    </r>
  </si>
  <si>
    <t xml:space="preserve">打了个滴滴车回家路上看到一个老公公滑倒了，车都已经开过去了我跟司机说我要去帮他，司机也挺热心的，就立马路边停车跟着我一起过去了，下雨天太滑了他骑电动车滑倒了，脸朝地满脸都是血，一个人失魂落魄的趴在地上的几分钟，也不知道他在想什么，不知道是不是也会想年轻时候意气风发的模样，也不知道其他路过的人为啥都没有去帮助他，帮他叫了110和120，后来又帮忙把他扶起来了，后来警察来了我们也走了，不知道他是谁的老公，谁的爸爸，那一瞬间感觉有点心酸，人都是会老的，今天又做了一件好事，感觉很开心，想起前几年也救过一个中年人，发了抖音视频还小火了一下，相信做的好事都会有福报的，希望抖音也多宣传这种正能量#救人 #老人</t>
  </si>
  <si>
    <t xml:space="preserve">妙童</t>
  </si>
  <si>
    <t/>
    <r>
      <rPr>
        <u val="single"/>
        <color theme="10"/>
      </rPr>
      <t>https://www.douyin.com/video/7631406422018455730</t>
    </r>
  </si>
  <si>
    <t xml:space="preserve">西安滴滴上大分，车内卫生，司机形象，司机服务，司机素养真是给西安贴金！西装，白手套，矿泉水，卫生纸，给你挑最短的路线跑，很温暖！👍#西安 #西安滴滴</t>
  </si>
  <si>
    <t xml:space="preserve">篠濲裲</t>
  </si>
  <si>
    <t/>
    <r>
      <rPr>
        <u val="single"/>
        <color theme="10"/>
      </rPr>
      <t>https://www.douyin.com/note/7631161091032347131</t>
    </r>
  </si>
  <si>
    <t xml:space="preserve">作为一个在南昌的外地人，经常刷到网上吐槽超雄司机，就让我来说说昨天晚上有幸打到的这位滴滴车司机师傅吧</t>
  </si>
  <si>
    <t xml:space="preserve">垚外婆爱生活</t>
  </si>
  <si>
    <t/>
    <r>
      <rPr>
        <u val="single"/>
        <color theme="10"/>
      </rPr>
      <t>https://www.douyin.com/video/7631754234015477361</t>
    </r>
  </si>
  <si>
    <t xml:space="preserve">2026/4/24投放1000元</t>
  </si>
  <si>
    <t xml:space="preserve">谁懂啊！早晨打车送外孙上学偶遇到退役军人司机，安全感直接拉满。师傅对着孩子说：“以前叔叔保家卫国，现在保你平安到学校～”#滴滴司机#退役军人#暖心瞬间#打车奇遇</t>
  </si>
  <si>
    <t xml:space="preserve">请叫我女王大人🥕</t>
  </si>
  <si>
    <t/>
    <r>
      <rPr>
        <u val="single"/>
        <color theme="10"/>
      </rPr>
      <t>https://www.douyin.com/video/7631803624960610230</t>
    </r>
  </si>
  <si>
    <t xml:space="preserve">体验今天刚上线的滴滴公交#公共交通绿色出行 #滴滴公交 #电动车交通</t>
  </si>
  <si>
    <t xml:space="preserve">沉积岩✨</t>
  </si>
  <si>
    <t/>
    <r>
      <rPr>
        <u val="single"/>
        <color theme="10"/>
      </rPr>
      <t>https://www.douyin.com/video/7631919828249700068</t>
    </r>
  </si>
  <si>
    <t xml:space="preserve">打车碰到的特别有趣而且经历丰富的司机师傅我不行了。#车内搞笑对话 #滴滴司机 #吃货日常分享</t>
  </si>
  <si>
    <t xml:space="preserve">🌹ꦿꦼ҉陈蒙💞꯭࿚纪恋༊⁵²⁰</t>
  </si>
  <si>
    <t/>
    <r>
      <rPr>
        <u val="single"/>
        <color theme="10"/>
      </rPr>
      <t>https://www.douyin.com/video/7632912964463542479</t>
    </r>
  </si>
  <si>
    <t xml:space="preserve">#滴滴，都说滴滴司机服务态度不好，车又臭臭的，看看这师傅，给司机师傅值得点赞、</t>
  </si>
  <si>
    <t xml:space="preserve">Celestial Canvas</t>
  </si>
  <si>
    <t/>
    <r>
      <rPr>
        <u val="single"/>
        <color theme="10"/>
      </rPr>
      <t>https://www.douyin.com/video/7632889897694619264</t>
    </r>
  </si>
  <si>
    <t xml:space="preserve">2026/4/27投放1000元</t>
  </si>
  <si>
    <t xml:space="preserve">花2美元坐豪华电动车，被按摩座椅直接惊到，直呼中国滴滴太香！#老外看中国 #中国新能源汽车出行 #中国发展正能量 #美国人在中国真实体验 #英语听力</t>
  </si>
  <si>
    <t xml:space="preserve">暴雨</t>
  </si>
  <si>
    <t/>
    <r>
      <rPr>
        <u val="single"/>
        <color theme="10"/>
      </rPr>
      <t>https://www.douyin.com/note/7632617218002329514</t>
    </r>
  </si>
  <si>
    <t xml:space="preserve">2026/4/27投放1000元2026/4/28投放509.78元</t>
  </si>
  <si>
    <t xml:space="preserve">对我们女司机就是这样细心，外面飘的柳絮要开窗通风，还贴心的弄上了车窗网。车里也没有异味，也不会开车抽烟啥的#滴滴司机 #女司机 #柳絮</t>
  </si>
  <si>
    <t xml:space="preserve">🐳小🐬</t>
  </si>
  <si>
    <t/>
    <r>
      <rPr>
        <u val="single"/>
        <color theme="10"/>
      </rPr>
      <t>https://www.douyin.com/video/7632511512201008505</t>
    </r>
  </si>
  <si>
    <t xml:space="preserve">都说东北人疼孩子，这下见识到了 打了个滴滴，是个东北司机，接单后先是帮我们放行李，说“早上挺冷的，抱着孩子赶紧上车”，然后在车上把导航放一边，特意给孩子打开动画片，又怕孩子听不见，还把声音放到最大，东北人疼孩子，具像化了👍🤣#上热门 #东北人疼孩子 #滴滴司机</t>
  </si>
  <si>
    <t xml:space="preserve">小夭</t>
  </si>
  <si>
    <t/>
    <r>
      <rPr>
        <u val="single"/>
        <color theme="10"/>
      </rPr>
      <t>https://www.douyin.com/video/7632465056047360442</t>
    </r>
  </si>
  <si>
    <t xml:space="preserve">预约的6.35的车，早上6点就到了，师傅说他没事，就等着我，让我慢慢收拾，足足等了我快40分钟。滴滴师傅太不容易了，开着30多万的车接送乘客，勤劳工作，兢兢业业，在此也祝愿所有辛苦坚持工作，肩负家庭重担的平凡的我们，平安，幸福！#滴滴司机 #辛勤劳动者</t>
  </si>
  <si>
    <t xml:space="preserve">CS第一深情798</t>
  </si>
  <si>
    <t/>
    <r>
      <rPr>
        <u val="single"/>
        <color theme="10"/>
      </rPr>
      <t>https://www.douyin.com/video/7631938177683662579</t>
    </r>
  </si>
  <si>
    <t xml:space="preserve">#常熟网约公共 特地去试乘了一下。蛮不错！！！</t>
  </si>
  <si>
    <t xml:space="preserve">狼道大狮</t>
  </si>
  <si>
    <t/>
    <r>
      <rPr>
        <u val="single"/>
        <color theme="10"/>
      </rPr>
      <t>https://www.douyin.com/video/7631754660667995892</t>
    </r>
  </si>
  <si>
    <t xml:space="preserve">打卡春天里的第一趟网约公交车！#网约公交车 #常熟公交 #常熟</t>
  </si>
  <si>
    <t xml:space="preserve">悦己</t>
  </si>
  <si>
    <t/>
    <r>
      <rPr>
        <u val="single"/>
        <color theme="10"/>
      </rPr>
      <t>https://www.douyin.com/video/7633260661108049226</t>
    </r>
  </si>
  <si>
    <t xml:space="preserve">2026/4/28投放108.64元</t>
  </si>
  <si>
    <t xml:space="preserve">原本28-29号的行程，今早翻看通知发现是今天中午就要到场。距离发车仅剩一小时，脑子里瞬间理清所需物品，几分钟快速收拾完毕，从容叫车出发。</t>
  </si>
  <si>
    <t xml:space="preserve">通勤上下班</t>
  </si>
  <si>
    <t xml:space="preserve">娇娇与@导盲犬二锦锦的日</t>
  </si>
  <si>
    <t/>
    <r>
      <rPr>
        <u val="single"/>
        <color theme="10"/>
      </rPr>
      <t>https://www.douyin.com/video/7633750886359587048</t>
    </r>
  </si>
  <si>
    <t xml:space="preserve">2026/4/29投放115.64元</t>
  </si>
  <si>
    <t xml:space="preserve">烟台滴滴出行师傅和芝罘湾码头工作人员太好了，鼓励看不见的我们 #多出来走走 #感谢工作人员你们辛苦了</t>
  </si>
  <si>
    <t xml:space="preserve">梦姐</t>
  </si>
  <si>
    <t/>
    <r>
      <rPr>
        <u val="single"/>
        <color theme="10"/>
      </rPr>
      <t>https://www.douyin.com/video/7633786629181727609</t>
    </r>
  </si>
  <si>
    <t xml:space="preserve">2026/4/29投放112.4元</t>
  </si>
  <si>
    <t xml:space="preserve">今天坐出租车想唱歌，问师傅能否拍个抖音记录美好生活，师傅 #出租车司机 #即兴唱歌 #随拍</t>
  </si>
  <si>
    <t xml:space="preserve">海韵</t>
  </si>
  <si>
    <t/>
    <r>
      <rPr>
        <u val="single"/>
        <color theme="10"/>
      </rPr>
      <t>https://www.douyin.com/video/7633007885915943606</t>
    </r>
  </si>
  <si>
    <t xml:space="preserve">2026/4/29投放117.24元</t>
  </si>
  <si>
    <t xml:space="preserve">这歌的小调调带勾勾儿，滴滴小哥儿的车摆件也挺搭！～</t>
  </si>
  <si>
    <t xml:space="preserve">林强</t>
  </si>
  <si>
    <t/>
    <r>
      <rPr>
        <u val="single"/>
        <color theme="10"/>
      </rPr>
      <t>https://www.douyin.com/video/7632969984486313061</t>
    </r>
  </si>
  <si>
    <t xml:space="preserve">2026/4/29投放116.67元</t>
  </si>
  <si>
    <t xml:space="preserve">滴滴网约车这哥们的车贴很有味道，直击人心，引人共鸣。所有的一切都瞬间被治愈了哈哈</t>
  </si>
  <si>
    <t xml:space="preserve">范思哲</t>
  </si>
  <si>
    <t/>
    <r>
      <rPr>
        <u val="single"/>
        <color theme="10"/>
      </rPr>
      <t>https://www.douyin.com/note/7634085219296901353</t>
    </r>
  </si>
  <si>
    <t xml:space="preserve">2026/4/30投放1000元</t>
  </si>
  <si>
    <t xml:space="preserve">劫后余生。4.28 小记昨天在这大山里发烧38.5，附近还没有车</t>
  </si>
  <si>
    <t xml:space="preserve">小珍珠AH</t>
  </si>
  <si>
    <t/>
    <r>
      <rPr>
        <u val="single"/>
        <color theme="10"/>
      </rPr>
      <t>https://www.douyin.com/video/7634061256496521851</t>
    </r>
  </si>
  <si>
    <t xml:space="preserve">第一视角带大家乘坐蚌埠市区到滕湖机场的大巴#机场最新消息 #蚌埠 #蚌埠机场 #滕湖机场 #滕湖</t>
  </si>
  <si>
    <t xml:space="preserve">机场/高铁接送</t>
  </si>
  <si>
    <t xml:space="preserve">芋泥啵啵</t>
  </si>
  <si>
    <t/>
    <r>
      <rPr>
        <u val="single"/>
        <color theme="10"/>
      </rPr>
      <t>https://www.douyin.com/note/7634169978048694630</t>
    </r>
  </si>
  <si>
    <t xml:space="preserve">我出门喜欢打专车的原因：专车司机穿戴整洁，文明礼貌，车里干干净净，没有异味</t>
  </si>
  <si>
    <t xml:space="preserve">多肉小城日记</t>
  </si>
  <si>
    <t/>
    <r>
      <rPr>
        <u val="single"/>
        <color theme="10"/>
      </rPr>
      <t>https://www.douyin.com/video/7633992971189784147</t>
    </r>
  </si>
  <si>
    <t xml:space="preserve">如果你在马鞍山打到这辆车，记得拿小礼物哟#滴滴打车 #滴滴司机 #网约车 #马鞍山 #宁马城际</t>
  </si>
  <si>
    <t xml:space="preserve">阿喆爱生活</t>
  </si>
  <si>
    <t/>
    <r>
      <rPr>
        <u val="single"/>
        <color theme="10"/>
      </rPr>
      <t>https://www.douyin.com/video/7634026065808580795</t>
    </r>
  </si>
  <si>
    <t xml:space="preserve">这个滴滴司机服务可以#滴滴</t>
  </si>
  <si>
    <t xml:space="preserve">发布日期</t>
  </si>
  <si>
    <t xml:space="preserve">投放截止日期</t>
  </si>
  <si>
    <t xml:space="preserve">状态</t>
  </si>
  <si>
    <t xml:space="preserve">达人名称</t>
  </si>
  <si>
    <t xml:space="preserve">链接</t>
  </si>
  <si>
    <t/>
    <r>
      <rPr>
        <b val="true"/>
        <i val="false"/>
        <strike val="false"/>
        <sz val="10"/>
        <color rgb="FF000000"/>
      </rPr>
      <t xml:space="preserve">投放记录
</t>
    </r>
    <r>
      <rPr>
        <b val="true"/>
        <i val="false"/>
        <strike val="false"/>
        <sz val="9"/>
        <color rgb="FF8F959E"/>
      </rPr>
      <t>xx日投放xx元</t>
    </r>
  </si>
  <si>
    <t xml:space="preserve">标题</t>
  </si>
  <si>
    <t xml:space="preserve">投前互动量</t>
  </si>
  <si>
    <t xml:space="preserve">投放互动量</t>
  </si>
  <si>
    <t xml:space="preserve">投放后点赞量</t>
  </si>
  <si>
    <t xml:space="preserve">投放后收藏量</t>
  </si>
  <si>
    <t xml:space="preserve">投放后评论量</t>
  </si>
  <si>
    <t xml:space="preserve">投放后转发量</t>
  </si>
  <si>
    <t xml:space="preserve">总互动量</t>
  </si>
  <si>
    <t xml:space="preserve">总投放金额</t>
  </si>
  <si>
    <t/>
    <r>
      <rPr>
        <b val="true"/>
        <i val="false"/>
        <strike val="false"/>
        <sz val="10"/>
        <color rgb="FF000000"/>
      </rPr>
      <t xml:space="preserve">综合cpe
</t>
    </r>
    <r>
      <rPr>
        <b val="true"/>
        <i val="false"/>
        <strike val="false"/>
        <sz val="9"/>
        <color rgb="FF8F959E"/>
      </rPr>
      <t>*投入/笔记外层互动数据</t>
    </r>
  </si>
  <si>
    <t xml:space="preserve">一级分类</t>
  </si>
  <si>
    <t xml:space="preserve">二级分类</t>
  </si>
  <si>
    <t xml:space="preserve">备注</t>
  </si>
  <si>
    <t xml:space="preserve">爆款定级</t>
  </si>
  <si>
    <t xml:space="preserve">汇总</t>
  </si>
  <si>
    <t xml:space="preserve">-</t>
  </si>
  <si>
    <t xml:space="preserve">投放完毕</t>
  </si>
  <si>
    <t xml:space="preserve">吴安芝</t>
  </si>
  <si>
    <t/>
    <r>
      <rPr>
        <u val="single"/>
        <color theme="10"/>
      </rPr>
      <t>https://www.douyin.com/note/7636204932429437370</t>
    </r>
  </si>
  <si>
    <t xml:space="preserve">2026/5/6投放1000元2026/5/7投放5000元</t>
  </si>
  <si>
    <t xml:space="preserve">我评论了@浮生 的作品：想起我之前夏天和朋友打车，朋友用的某地图打的一口价的车，司机就说，一口价的车没有空调服务司机还振振有词。我在某滴上打车，特惠也好特价也好，都有空调</t>
  </si>
  <si>
    <t xml:space="preserve">无匹配类别</t>
  </si>
  <si>
    <t xml:space="preserve">秋恋雪</t>
  </si>
  <si>
    <t/>
    <r>
      <rPr>
        <u val="single"/>
        <color theme="10"/>
      </rPr>
      <t>https://www.douyin.com/video/7636020034524274043</t>
    </r>
  </si>
  <si>
    <t xml:space="preserve">2026/5/6投放1000元</t>
  </si>
  <si>
    <t xml:space="preserve">吹着长安街的晚风，邂逅天安门的夜色。遇到超暖心的滴滴师傅，细心放缓车速，成全每一份想定格盛世风景的心意。平凡人，最动人的温柔。#吃喝玩乐分享计划 #天安门 #北京夜景 #视觉冲击旅行 #视觉盛宴城市记忆</t>
  </si>
  <si>
    <t xml:space="preserve">产品力</t>
  </si>
  <si>
    <t xml:space="preserve">价格优惠</t>
  </si>
  <si>
    <t xml:space="preserve">马超Aster</t>
  </si>
  <si>
    <t/>
    <r>
      <rPr>
        <u val="single"/>
        <color theme="10"/>
      </rPr>
      <t>https://www.douyin.com/video/7636040612411755802</t>
    </r>
  </si>
  <si>
    <t xml:space="preserve">2026/5/6投放1000元2026/5/7投放5000元2026/5/8投放5000元</t>
  </si>
  <si>
    <t xml:space="preserve">负债百万的滴滴司机告诉我，要好好爱自己 #滴滴司机 #爱情 #爱自己 #生活 #陌生人的温暖</t>
  </si>
  <si>
    <t xml:space="preserve">司机</t>
  </si>
  <si>
    <t xml:space="preserve">司乘温暖</t>
  </si>
  <si>
    <t xml:space="preserve">寻找薇薇安·迈尔🎈</t>
  </si>
  <si>
    <t/>
    <r>
      <rPr>
        <u val="single"/>
        <color theme="10"/>
      </rPr>
      <t>https://www.douyin.com/note/7635545727879850313</t>
    </r>
  </si>
  <si>
    <t xml:space="preserve">滴滴的后座上，藏着一个被羽绒服裹得严严实实的小朋友。</t>
  </si>
  <si>
    <t xml:space="preserve">司乘互动</t>
  </si>
  <si>
    <t xml:space="preserve">爱吃鱼的猫猫</t>
  </si>
  <si>
    <t/>
    <r>
      <rPr>
        <u val="single"/>
        <color theme="10"/>
      </rPr>
      <t>https://www.douyin.com/note/7635922915368283775</t>
    </r>
  </si>
  <si>
    <t xml:space="preserve">常熟市区新推出的滴滴公交，体验了一把。3元/人，随叫随到。#常熟#公交出行绿色低碳 #公交乘车体验 #公共交通</t>
  </si>
  <si>
    <t xml:space="preserve">场景</t>
  </si>
  <si>
    <t xml:space="preserve">家庭出行/带娃</t>
  </si>
  <si>
    <t xml:space="preserve">Daniel_花木吴彦祖</t>
  </si>
  <si>
    <t/>
    <r>
      <rPr>
        <u val="single"/>
        <color theme="10"/>
      </rPr>
      <t>https://www.douyin.com/video/7635684064943428729</t>
    </r>
  </si>
  <si>
    <t xml:space="preserve">#公共交通 #巴士 人多出行的正确打开方式哦</t>
  </si>
  <si>
    <t xml:space="preserve">网约公交</t>
  </si>
  <si>
    <t xml:space="preserve">无法投放</t>
  </si>
  <si>
    <t xml:space="preserve">古城金街艾美女鞋馆主理人（夏款</t>
  </si>
  <si>
    <t/>
    <r>
      <rPr>
        <u val="single"/>
        <color theme="10"/>
      </rPr>
      <t>https://www.douyin.com/video/7636439919821352357</t>
    </r>
  </si>
  <si>
    <t xml:space="preserve">今天因为我一个错误的决定，让我的宝贝儿子受累了，五一小长假结束，今天儿子返校去南昌坐高铁，本来他打算下午去名优特汽车站坐客车去南昌，然后我说帮他叫江南出行的车子，这种车子坐着舒服一些</t>
  </si>
  <si>
    <t xml:space="preserve">站点巴士</t>
  </si>
  <si>
    <t xml:space="preserve">常熟热心姚阿姨</t>
  </si>
  <si>
    <t/>
    <r>
      <rPr>
        <u val="single"/>
        <color theme="10"/>
      </rPr>
      <t>https://www.douyin.com/video/7636034872154967707</t>
    </r>
  </si>
  <si>
    <t xml:space="preserve">滴滴小公交小可爱送我回家啦</t>
  </si>
  <si>
    <t xml:space="preserve">跨城出行</t>
  </si>
  <si>
    <t xml:space="preserve">萬家幺女万和香</t>
  </si>
  <si>
    <t/>
    <r>
      <rPr>
        <u val="single"/>
        <color theme="10"/>
      </rPr>
      <t>https://www.douyin.com/video/7636826521273382309</t>
    </r>
  </si>
  <si>
    <t xml:space="preserve">2026/5/7投放1000元</t>
  </si>
  <si>
    <t xml:space="preserve">今天坐滴滴车，师傅问我在哪里下单？我说在微信里面，他说怎么坐车的全部都是美女坐我的车？我说那你走桃花运了，他说美女，你气质太好，我说你也长得很帅，到底是他犯花痴，还是我犯花痴？都夸对方长得帅，其实夸对方帅也是一种礼貌</t>
  </si>
  <si>
    <t xml:space="preserve">滴滴小巴</t>
  </si>
  <si>
    <t xml:space="preserve">克莱因蓝</t>
  </si>
  <si>
    <t/>
    <r>
      <rPr>
        <u val="single"/>
        <color theme="10"/>
      </rPr>
      <t>https://www.douyin.com/video/7637044455720278251</t>
    </r>
  </si>
  <si>
    <t xml:space="preserve">现在滴滴瞬间都这么有品吗！#打车#出租车司机</t>
  </si>
  <si>
    <t xml:space="preserve">吉玺</t>
  </si>
  <si>
    <t/>
    <r>
      <rPr>
        <u val="single"/>
        <color theme="10"/>
      </rPr>
      <t>https://www.douyin.com/video/7636643841961216127</t>
    </r>
  </si>
  <si>
    <t xml:space="preserve">2026/5/8投放1000元</t>
  </si>
  <si>
    <t xml:space="preserve">家长是孩子的首任老师。现在只要有人对我们释放善意，孩子都会有感恩之心。比如昨天的滴滴司机，态度友善，还一路畅聊临下车我习惯性说了一声：“谢谢”！师傅立马说：期待下次还接你的订单，慢走！孩儿在旁边说：妈妈，给师傅一个好评吧，好评多了他的订单会多。</t>
  </si>
  <si>
    <t xml:space="preserve">车内</t>
  </si>
  <si>
    <t xml:space="preserve">司机自发装置</t>
  </si>
  <si>
    <t xml:space="preserve">弦外故事</t>
  </si>
  <si>
    <t/>
    <r>
      <rPr>
        <u val="single"/>
        <color theme="10"/>
      </rPr>
      <t>https://www.douyin.com/video/7637394139268615462</t>
    </r>
  </si>
  <si>
    <t xml:space="preserve">2026/5/9投放1000元</t>
  </si>
  <si>
    <t xml:space="preserve">刷爆朋友圈！谁能猜到网约车后座是歌神陈奕迅打车偶遇歌迷沉浸式听歌Eason忍不住开口跟唱恶搞司机网友：滴滴现在还缺人么？ #陈奕迅 #唱歌 #明星 #删了她</t>
  </si>
  <si>
    <t xml:space="preserve">司机服务</t>
  </si>
  <si>
    <t xml:space="preserve">豫S✨老梅👵🌟💫</t>
  </si>
  <si>
    <t/>
    <r>
      <rPr>
        <u val="single"/>
        <color theme="10"/>
      </rPr>
      <t>https://www.douyin.com/video/7637703323614063275</t>
    </r>
  </si>
  <si>
    <t xml:space="preserve">滴滴出行 喜欢打女司机的车</t>
  </si>
  <si>
    <t xml:space="preserve">漫寻星📸.</t>
  </si>
  <si>
    <t/>
    <r>
      <rPr>
        <u val="single"/>
        <color theme="10"/>
      </rPr>
      <t>https://www.douyin.com/video/7637869144147080817</t>
    </r>
  </si>
  <si>
    <t xml:space="preserve">2026/5/11投放1000元</t>
  </si>
  <si>
    <t xml:space="preserve">常熟这个不起眼的小城市，却有着网约公交😍不仅覆盖了部分公交线网空白，还方便了市民出行，别看车小，却总能跑出最快的时速，试运营期间，只需3元/人次，就能开启这段美妙旅程，非常有性价比🤓#公交车 #公交迷 #公共交通 #城市公交 #网约公交</t>
  </si>
  <si>
    <t xml:space="preserve">女司机</t>
  </si>
  <si>
    <t xml:space="preserve">蘅若</t>
  </si>
  <si>
    <t/>
    <r>
      <rPr>
        <u val="single"/>
        <color theme="10"/>
      </rPr>
      <t>https://www.douyin.com/note/7638835615421411577</t>
    </r>
  </si>
  <si>
    <t xml:space="preserve">是不是南方的滴滴司机都帮忙拿行李呀，莫名的感觉很好</t>
  </si>
  <si>
    <t xml:space="preserve">徐伟华</t>
  </si>
  <si>
    <t/>
    <r>
      <rPr>
        <u val="single"/>
        <color theme="10"/>
      </rPr>
      <t>https://www.douyin.com/note/7638470477203931643</t>
    </r>
  </si>
  <si>
    <t xml:space="preserve">2026/5/13投放1000元</t>
  </si>
  <si>
    <t xml:space="preserve">出发啦！今天滴滴车司机是我的老乡，车内非常整洁！给他点赞！</t>
  </si>
  <si>
    <t xml:space="preserve">宋疯恩🐌🦋</t>
  </si>
  <si>
    <t/>
    <r>
      <rPr>
        <u val="single"/>
        <color theme="10"/>
      </rPr>
      <t>https://www.douyin.com/note/7639298762268064241</t>
    </r>
  </si>
  <si>
    <t xml:space="preserve">2026/5/15投放1000元</t>
  </si>
  <si>
    <t xml:space="preserve">我只敢在这个车里全程专心看手机 并且心里不会对路况感到担惊害怕#滴滴专车</t>
  </si>
  <si>
    <t xml:space="preserve">车内整洁</t>
  </si>
  <si>
    <t xml:space="preserve">小六liu</t>
  </si>
  <si>
    <t/>
    <r>
      <rPr>
        <u val="single"/>
        <color theme="10"/>
      </rPr>
      <t>https://www.douyin.com/note/7639360447649575034</t>
    </r>
  </si>
  <si>
    <t xml:space="preserve">我将拥护滴滴打车#如何选择真正的靠谱平台 #女性安全 #滴滴出行</t>
  </si>
  <si>
    <t xml:space="preserve">专车/豪华车</t>
  </si>
  <si>
    <t xml:space="preserve">美美姐🇨🇳🇭🇰</t>
  </si>
  <si>
    <t/>
    <r>
      <rPr>
        <u val="single"/>
        <color theme="10"/>
      </rPr>
      <t>https://www.douyin.com/note/7639587991471701105</t>
    </r>
  </si>
  <si>
    <t xml:space="preserve">5月12晚上我们在聚会回家叫的滴滴下车时把手机忘在了车上，回到家后大概半二十分钟左右发现手机不在，</t>
  </si>
  <si>
    <t xml:space="preserve">女性友好计划</t>
  </si>
  <si>
    <t xml:space="preserve">骑境•路飞</t>
  </si>
  <si>
    <t/>
    <r>
      <rPr>
        <u val="single"/>
        <color theme="10"/>
      </rPr>
      <t>https://www.douyin.com/note/7638908016368917681</t>
    </r>
  </si>
  <si>
    <t xml:space="preserve">外胎爆了怎么办？ #扎胎了怎么办 #货拉拉</t>
  </si>
  <si>
    <t xml:space="preserve">失物返还</t>
  </si>
  <si>
    <t xml:space="preserve">婷宝儿💖</t>
  </si>
  <si>
    <t/>
    <r>
      <rPr>
        <u val="single"/>
        <color theme="10"/>
      </rPr>
      <t>https://www.douyin.com/video/7639539369804821434</t>
    </r>
  </si>
  <si>
    <t xml:space="preserve">平时上班打了这么多滴滴，第一次遇到这么干净又帅气的司机！坐起心情都要舒畅些</t>
  </si>
  <si>
    <t xml:space="preserve">幕兮彤</t>
  </si>
  <si>
    <t/>
    <r>
      <rPr>
        <u val="single"/>
        <color theme="10"/>
      </rPr>
      <t>https://www.douyin.com/note/7639700717046112383</t>
    </r>
  </si>
  <si>
    <t xml:space="preserve">好可爱#拼车趣事 #滴滴司机</t>
  </si>
  <si>
    <t xml:space="preserve">不吃韭菜~</t>
  </si>
  <si>
    <t/>
    <r>
      <rPr>
        <u val="single"/>
        <color theme="10"/>
      </rPr>
      <t>https://www.douyin.com/note/7639772595369289381</t>
    </r>
  </si>
  <si>
    <t xml:space="preserve">第一次打到聋哑司机的车</t>
  </si>
  <si>
    <t xml:space="preserve">拼车</t>
  </si>
  <si>
    <t xml:space="preserve">艾米</t>
  </si>
  <si>
    <t/>
    <r>
      <rPr>
        <u val="single"/>
        <color theme="10"/>
      </rPr>
      <t>https://www.douyin.com/note/7640081270203342562</t>
    </r>
  </si>
  <si>
    <t xml:space="preserve">2026/5/18投放1000元</t>
  </si>
  <si>
    <t xml:space="preserve">咱也赶个时髦，头一次搭滴滴，还是个美女</t>
  </si>
  <si>
    <t xml:space="preserve">特殊身份-听障司机</t>
  </si>
  <si>
    <t xml:space="preserve">逢时春迟月</t>
  </si>
  <si>
    <t/>
    <r>
      <rPr>
        <u val="single"/>
        <color theme="10"/>
      </rPr>
      <t>https://www.douyin.com/note/7640285558464104890</t>
    </r>
  </si>
  <si>
    <t xml:space="preserve">2026/5/18投放1000元2026/5/19投放5000元</t>
  </si>
  <si>
    <t xml:space="preserve">#特斯拉 上班打车打到特斯拉车主，开始以为我眼花了，我上车之后问叔叔，你</t>
  </si>
  <si>
    <t xml:space="preserve">小贝勒爷</t>
  </si>
  <si>
    <t/>
    <r>
      <rPr>
        <u val="single"/>
        <color theme="10"/>
      </rPr>
      <t>https://www.douyin.com/note/7640097613844477669</t>
    </r>
  </si>
  <si>
    <t xml:space="preserve">敬礼～安全感爆棚。打到中共党员师傅的车🚗安</t>
  </si>
  <si>
    <t xml:space="preserve">特殊车型/车衣</t>
  </si>
  <si>
    <t xml:space="preserve">FM101.6小仙</t>
  </si>
  <si>
    <t/>
    <r>
      <rPr>
        <u val="single"/>
        <color theme="10"/>
      </rPr>
      <t>https://www.douyin.com/video/7640775971604485993</t>
    </r>
  </si>
  <si>
    <t xml:space="preserve">和奶奶出门叫了个滴滴、师傅很热情，长得也挺帅，一路上聊的也挺嗨，结果奶奶拉着脸开始教育我，说我不要忘了自己结婚了，有老公还这样，说我不考虑孩子</t>
  </si>
  <si>
    <t xml:space="preserve">十亿少男的梦94</t>
  </si>
  <si>
    <t/>
    <r>
      <rPr>
        <u val="single"/>
        <color theme="10"/>
      </rPr>
      <t>https://www.douyin.com/video/7640834357934858225</t>
    </r>
  </si>
  <si>
    <t xml:space="preserve">宝宝巴士🚌 #新能源城市公交 #网约公交车谁懂啊！坐网约公交🚍有种坐宝宝巴士的快乐🎉</t>
  </si>
  <si>
    <t xml:space="preserve">带长辈出行</t>
  </si>
  <si>
    <t xml:space="preserve">沧桑大叔</t>
  </si>
  <si>
    <t/>
    <r>
      <rPr>
        <u val="single"/>
        <color theme="10"/>
      </rPr>
      <t>https://www.douyin.com/video/7641120212301335651</t>
    </r>
  </si>
  <si>
    <t xml:space="preserve">2026/5/19投放1000元</t>
  </si>
  <si>
    <t xml:space="preserve">【鲁BA29065】人啊一生能遇多少善良的人？感谢临沂好大哥滴滴出行夜班司机冒雨上百里地从胶州给我送回失物！！！#感谢好人一生平安 #两个龙虾🦞店为丁大哥终身免费吃#青岛好司机鲁BA29065</t>
  </si>
  <si>
    <t xml:space="preserve">吃完芒果早点睡觉</t>
  </si>
  <si>
    <t/>
    <r>
      <rPr>
        <u val="single"/>
        <color theme="10"/>
      </rPr>
      <t>https://www.douyin.com/note/7640942718125977999</t>
    </r>
  </si>
  <si>
    <t xml:space="preserve">“人们常以缘分深厚作为亲近的借口，而以无缘，作为了却情谊的假辞而已，或许有一天真到了无路可去无法可解的地步，</t>
  </si>
  <si>
    <t xml:space="preserve">丹哥🌈</t>
  </si>
  <si>
    <t/>
    <r>
      <rPr>
        <u val="single"/>
        <color theme="10"/>
      </rPr>
      <t>https://www.douyin.com/video/7640897437604151503</t>
    </r>
  </si>
  <si>
    <t xml:space="preserve">久了没打车，滴滴都是宝马#滴滴出行</t>
  </si>
  <si>
    <t xml:space="preserve">晓雅姐</t>
  </si>
  <si>
    <t/>
    <r>
      <rPr>
        <u val="single"/>
        <color theme="10"/>
      </rPr>
      <t>https://www.douyin.com/note/7640813564869112942</t>
    </r>
  </si>
  <si>
    <t xml:space="preserve">遇到好的司机真的是一种幸运，说话语气温和给人一种温暖，穿戴整齐干净</t>
  </si>
  <si>
    <t xml:space="preserve">物是人非yaa(没回复就</t>
  </si>
  <si>
    <t/>
    <r>
      <rPr>
        <u val="single"/>
        <color theme="10"/>
      </rPr>
      <t>https://www.douyin.com/note/7641163045289481322</t>
    </r>
  </si>
  <si>
    <t xml:space="preserve">#北川地震遗址2026年5月18日，绵阳安州区，天气暖和也不闷热。打了一辆滴滴</t>
  </si>
  <si>
    <t/>
    <r>
      <rPr>
        <u val="single"/>
        <color theme="10"/>
      </rPr>
      <t>https://www.douyin.com/note/7641875385806374833</t>
    </r>
  </si>
  <si>
    <t xml:space="preserve">2026/5/22投放1000元</t>
  </si>
  <si>
    <t xml:space="preserve">#专车接送 #出行 普通的520的下午，普通的小雅女士穿了很喜欢的牛仔鱼尾裙，化了个淡妆</t>
  </si>
  <si>
    <t xml:space="preserve">旅游出行</t>
  </si>
  <si>
    <t xml:space="preserve">安安💓</t>
  </si>
  <si>
    <t/>
    <r>
      <rPr>
        <u val="single"/>
        <color theme="10"/>
      </rPr>
      <t>https://www.douyin.com/video/7641882679970377957</t>
    </r>
  </si>
  <si>
    <t xml:space="preserve">今天回一趟汕尾，坐滴滴车都感觉滴滴很高档，这辈子没有坐过，，，</t>
  </si>
  <si>
    <t xml:space="preserve">SSKYLAR</t>
  </si>
  <si>
    <t/>
    <r>
      <rPr>
        <u val="single"/>
        <color theme="10"/>
      </rPr>
      <t>https://www.douyin.com/note/7641993475752266235</t>
    </r>
  </si>
  <si>
    <t xml:space="preserve">上班楠 #原相机乘乘的 今天的开心是因为滴滴司机巨帅啊啊啊啊啊啊啊啊那我自己自拍这么多张沙意思？</t>
  </si>
  <si>
    <t xml:space="preserve">@五月💘🌹</t>
  </si>
  <si>
    <t/>
    <r>
      <rPr>
        <u val="single"/>
        <color theme="10"/>
      </rPr>
      <t>https://www.douyin.com/video/7641921320654050427</t>
    </r>
  </si>
  <si>
    <t xml:space="preserve">滴滴车司机清唱的真好听😄#520</t>
  </si>
  <si>
    <t xml:space="preserve">小绿绿绿📸</t>
  </si>
  <si>
    <t/>
    <r>
      <rPr>
        <u val="single"/>
        <color theme="10"/>
      </rPr>
      <t>https://www.douyin.com/video/7641922307711110454</t>
    </r>
  </si>
  <si>
    <t xml:space="preserve">2026/5/22投放1000元2026/5/26投放30000元</t>
  </si>
  <si>
    <t xml:space="preserve">有一种爱叫妈妈永远在#亲情#家的味道#人间观察计划</t>
  </si>
  <si>
    <t xml:space="preserve">温良人间</t>
  </si>
  <si>
    <t/>
    <r>
      <rPr>
        <u val="single"/>
        <color theme="10"/>
      </rPr>
      <t>https://www.douyin.com/video/7641872986798179494</t>
    </r>
  </si>
  <si>
    <t xml:space="preserve">滴滴上叫了个车，等了13分钟才到，我都准备投诉了。｜温良人间 滴滴上叫了个车，13分钟才到。车窗降下来，副驾驶有人。一抬头，座椅后贴着一张纸。30年，她在他身边，他心里踏实。#人间真实 #夫妻相守 #暖心瞬间 #网约车司机 #温良人间</t>
  </si>
  <si>
    <t xml:space="preserve">冥币生产厂家～赵姐</t>
  </si>
  <si>
    <t/>
    <r>
      <rPr>
        <u val="single"/>
        <color theme="10"/>
      </rPr>
      <t>https://www.douyin.com/video/7641439405101877689</t>
    </r>
  </si>
  <si>
    <t xml:space="preserve">姐妹看看这是哪😃猜对有奖哈😂温馨提示：此路段比较拥挤，不适合开车，滴滴出行比较方便，并且还能趁等车的时间抖音臭美🤣😂#我不尴尬尴尬的就是别人 🥱😳</t>
  </si>
  <si>
    <t xml:space="preserve">通勤上下班</t>
  </si>
  <si>
    <t xml:space="preserve">顾秋的枫</t>
  </si>
  <si>
    <t/>
    <r>
      <rPr>
        <u val="single"/>
        <color theme="10"/>
      </rPr>
      <t>https://www.douyin.com/video/7642542991392131697</t>
    </r>
  </si>
  <si>
    <t xml:space="preserve">打车打到了辆很有意思的滴滴</t>
  </si>
  <si>
    <t xml:space="preserve">娜妮妮</t>
  </si>
  <si>
    <t/>
    <r>
      <rPr>
        <u val="single"/>
        <color theme="10"/>
      </rPr>
      <t>https://www.douyin.com/video/7642987403964425702</t>
    </r>
  </si>
  <si>
    <t xml:space="preserve">2026/5/26投放1000元</t>
  </si>
  <si>
    <t xml:space="preserve">手机失而复得，谢谢超光速滴滴侠，匆忙的路程变得温暖。生活的每一环都值得记录#好人好事 #滴滴小哥 #好司机</t>
  </si>
  <si>
    <t xml:space="preserve">晶ᰔᩚ晶</t>
  </si>
  <si>
    <t/>
    <r>
      <rPr>
        <u val="single"/>
        <color theme="10"/>
      </rPr>
      <t>https://www.douyin.com/note/7643698260415278282</t>
    </r>
  </si>
  <si>
    <t xml:space="preserve">今天中午和爸爸从医院打车回家，因为拿的东西比较多，我想着打两辆车，这些行李和轮椅和凳子一车，我和爸爸在重新打个车，怕一个车进不去，然后滴滴司机师傅</t>
  </si>
  <si>
    <t xml:space="preserve">小洸茫</t>
  </si>
  <si>
    <t/>
    <r>
      <rPr>
        <u val="single"/>
        <color theme="10"/>
      </rPr>
      <t>https://www.douyin.com/note/7644783522482479781</t>
    </r>
  </si>
  <si>
    <t xml:space="preserve">2026/5/29投放1000元</t>
  </si>
  <si>
    <t xml:space="preserve">今日份小惊喜，打到一个特价车就算了，一看还是#小米su7 最好看的颜色，上车一看还是个美女司机，一路心情都变好啦！#打车#滴滴出行 #打车</t>
  </si>
  <si>
    <t xml:space="preserve">天才楠</t>
  </si>
  <si>
    <t/>
    <r>
      <rPr>
        <u val="single"/>
        <color theme="10"/>
      </rPr>
      <t>https://www.douyin.com/note/7644884486891055345</t>
    </r>
  </si>
  <si>
    <t xml:space="preserve">一个普通的清晨，着急赶飞机打了一辆车。这是我第一次被一个滴滴师傅激励到。车里非常干净，没有异味。手边放着鲜绿的盆栽，还有两盒小零食。副驾驶的前方粘着整齐成排小玩具。纸巾在专属的包厢里，包厢上贴着两面红旗。我前</t>
  </si>
  <si>
    <t xml:space="preserve">SUXINTANG</t>
  </si>
  <si>
    <t/>
    <r>
      <rPr>
        <u val="single"/>
        <color theme="10"/>
      </rPr>
      <t>https://www.douyin.com/note/7645240445212140901</t>
    </r>
  </si>
  <si>
    <t xml:space="preserve">2026/6/1投放200元</t>
  </si>
  <si>
    <t xml:space="preserve">今天和姐妹准备打车出去时，看到这个，真的🥹#滴滴出行 #上热搜 #girlshelpgirls #女性安全 #正能量</t>
  </si>
  <si>
    <t xml:space="preserve">在投</t>
  </si>
  <si>
    <t xml:space="preserve">@FM986</t>
  </si>
  <si>
    <t/>
    <r>
      <rPr>
        <u val="single"/>
        <color theme="10"/>
      </rPr>
      <t>https://www.douyin.com/user/MS4wLjABAAAAHiNlZYZTggesEkYjsQOZAMiIoZx92Px0Ly_6HDjpSMc?from_tab_name=main&amp;modal_id=7645700319447662666&amp;vid=7645700319447662666</t>
    </r>
  </si>
  <si>
    <t xml:space="preserve">2026/6/1投放200元2026/6/2投放10000元2026/6/3投放10000元2026/6/4投放10000元</t>
  </si>
  <si>
    <t xml:space="preserve">#热门 关于我们一家子打了一辆#网约公交车</t>
  </si>
  <si>
    <t xml:space="preserve">@我是一个大天才</t>
  </si>
  <si>
    <t/>
    <r>
      <rPr>
        <u val="single"/>
        <color theme="10"/>
      </rPr>
      <t>https://www.douyin.com/user/MS4wLjABAAAA_7cgS9jyMObeRftEnQsxCj3kgz23c5BEfSOrqxibHa0?from_tab_name=main&amp;modal_id=7645601096832956904&amp;vid=7645601096832956904</t>
    </r>
  </si>
  <si>
    <t xml:space="preserve">#网约公交车 真是太方便啦！比打车还合适哈哈，车里空调足足的😂</t>
  </si>
  <si>
    <t xml:space="preserve">发布日期</t>
  </si>
  <si>
    <t xml:space="preserve">投放截止日期</t>
  </si>
  <si>
    <t xml:space="preserve">状态</t>
  </si>
  <si>
    <t xml:space="preserve">达人名称</t>
  </si>
  <si>
    <t xml:space="preserve">链接</t>
  </si>
  <si>
    <t/>
    <r>
      <rPr>
        <b val="true"/>
        <i val="false"/>
        <strike val="false"/>
        <sz val="10"/>
        <color rgb="FF000000"/>
      </rPr>
      <t xml:space="preserve">投放记录
</t>
    </r>
    <r>
      <rPr>
        <b val="true"/>
        <i val="false"/>
        <strike val="false"/>
        <sz val="9"/>
        <color rgb="FF8F959E"/>
      </rPr>
      <t>xx日投放xx元</t>
    </r>
  </si>
  <si>
    <t xml:space="preserve">标题</t>
  </si>
  <si>
    <t xml:space="preserve">投前互动量</t>
  </si>
  <si>
    <t xml:space="preserve">投放互动量</t>
  </si>
  <si>
    <t xml:space="preserve">投放后点赞量</t>
  </si>
  <si>
    <t xml:space="preserve">投放后收藏量</t>
  </si>
  <si>
    <t xml:space="preserve">投放后评论量</t>
  </si>
  <si>
    <t xml:space="preserve">投放后转发量</t>
  </si>
  <si>
    <t xml:space="preserve">总互动量</t>
  </si>
  <si>
    <t xml:space="preserve">总投放金额</t>
  </si>
  <si>
    <t/>
    <r>
      <rPr>
        <b val="true"/>
        <i val="false"/>
        <strike val="false"/>
        <sz val="10"/>
        <color rgb="FF000000"/>
      </rPr>
      <t xml:space="preserve">综合cpe
</t>
    </r>
    <r>
      <rPr>
        <b val="true"/>
        <i val="false"/>
        <strike val="false"/>
        <sz val="9"/>
        <color rgb="FF8F959E"/>
      </rPr>
      <t>*投入/笔记外层互动数据</t>
    </r>
  </si>
  <si>
    <t xml:space="preserve">一级分类</t>
  </si>
  <si>
    <t xml:space="preserve">二级分类</t>
  </si>
  <si>
    <t xml:space="preserve">汇总</t>
  </si>
  <si>
    <t xml:space="preserve">-</t>
  </si>
  <si>
    <t xml:space="preserve">投放完毕</t>
  </si>
  <si>
    <t xml:space="preserve">月嫂 苗苗 拒绝连赞</t>
  </si>
  <si>
    <t/>
    <r>
      <rPr>
        <u val="single"/>
        <color theme="10"/>
      </rPr>
      <t>https://www.douyin.com/video/7645956165910827377</t>
    </r>
  </si>
  <si>
    <t xml:space="preserve">2026/6/2投放1000元</t>
  </si>
  <si>
    <t xml:space="preserve">滴滴打车平台真给力还是女司机漂亮美女车坐着舒服出发上班去了#车外风景</t>
  </si>
  <si>
    <t xml:space="preserve">司机</t>
  </si>
  <si>
    <t xml:space="preserve">女司机</t>
  </si>
  <si>
    <t xml:space="preserve">小幸运888</t>
  </si>
  <si>
    <t/>
    <r>
      <rPr>
        <u val="single"/>
        <color theme="10"/>
      </rPr>
      <t>https://www.douyin.com/note/7646727972648596218</t>
    </r>
  </si>
  <si>
    <t xml:space="preserve">2026/6/3投放1000元2026/6/4投放5000元</t>
  </si>
  <si>
    <t xml:space="preserve">凌晨两点，那个沉默的司机救了我一命</t>
  </si>
  <si>
    <t xml:space="preserve">司乘温暖</t>
  </si>
  <si>
    <t xml:space="preserve">天天有钱花女士</t>
  </si>
  <si>
    <t/>
    <r>
      <rPr>
        <u val="single"/>
        <color theme="10"/>
      </rPr>
      <t>https://www.douyin.com/note/7646701552317873787</t>
    </r>
  </si>
  <si>
    <t xml:space="preserve">2026/6/3投放1000元</t>
  </si>
  <si>
    <t xml:space="preserve">滴滴打车。肯定是特别勤快又负责任的滴滴司机，接到我订单就立马过来了，结果我一看他衣服都穿反了😁，我该怎么不失礼貌又委婉的提醒他啊！在线等挺急的…#在线等</t>
  </si>
  <si>
    <t xml:space="preserve">司乘互动</t>
  </si>
  <si>
    <t xml:space="preserve">无法投放</t>
  </si>
  <si>
    <t xml:space="preserve">蛋炒西红柿加番茄酱(求关注</t>
  </si>
  <si>
    <t/>
    <r>
      <rPr>
        <u val="single"/>
        <color theme="10"/>
      </rPr>
      <t>https://www.douyin.com/note/7646632021980156346</t>
    </r>
  </si>
  <si>
    <t xml:space="preserve">滴滴小程序和软件是都可以选择女司机的!#滴滴司机 #滴滴 #女性 #女性智慧 #女性成长</t>
  </si>
  <si>
    <t xml:space="preserve">产品力</t>
  </si>
  <si>
    <t xml:space="preserve">女性友好计划</t>
  </si>
  <si>
    <t xml:space="preserve">七里</t>
  </si>
  <si>
    <t/>
    <r>
      <rPr>
        <u val="single"/>
        <color theme="10"/>
      </rPr>
      <t>https://www.douyin.com/video/7647214379003431907</t>
    </r>
  </si>
  <si>
    <t xml:space="preserve">2026/6/4投放1000元</t>
  </si>
  <si>
    <t xml:space="preserve">前几天从医院出来，打车回家。上车以后才发现司机不会说话，是一位听障朋友。更要命的是，我还把上车地点定错了。我手忙脚乱地比划着请他先靠边停，又掏出手机打字给他看，他始终很耐心，没有半点不耐烦。重新设好目的地后，车子稳稳地开了一路。</t>
  </si>
  <si>
    <t xml:space="preserve">特殊身份-听障司机</t>
  </si>
  <si>
    <t xml:space="preserve">@悠游自在</t>
  </si>
  <si>
    <t/>
    <r>
      <rPr>
        <u val="single"/>
        <color theme="10"/>
      </rPr>
      <t>https://www.douyin.com/user/MS4wLjABAAAAJT00acZ9BEt6-OB1zk6oV1GFf2azeh_kQhjcxcwY0X8k-_kXcxTTL2JwWJUF35x1?from_tab_name=main&amp;modal_id=7646742373196733811</t>
    </r>
  </si>
  <si>
    <t xml:space="preserve">退休低成本快乐 #退休日常生活记录 #网约 #一日游玩</t>
  </si>
  <si>
    <t xml:space="preserve">网约公交</t>
  </si>
  <si>
    <t xml:space="preserve">@LiLi_</t>
  </si>
  <si>
    <t/>
    <r>
      <rPr>
        <u val="single"/>
        <color theme="10"/>
      </rPr>
      <t>https://www.douyin.com/user/MS4wLjABAAAAuZvZ6VAA6cysm3VWXGSfj4yJnWGSOUFbZFAky1iC_1Q?from_tab_name=main&amp;modal_id=7647513382476541541&amp;vid=7647513382476541541</t>
    </r>
  </si>
  <si>
    <t xml:space="preserve">2026/6/5投放1000元</t>
  </si>
  <si>
    <t xml:space="preserve">今天趁着好天气、打了一次滴滴公交车🚌还是很方便哒 #滴滴公交 #来晒一下手机实拍画质</t>
  </si>
  <si>
    <t xml:space="preserve">汪涛和导盲犬叮当</t>
  </si>
  <si>
    <t/>
    <r>
      <rPr>
        <u val="single"/>
        <color theme="10"/>
      </rPr>
      <t>https://www.douyin.com/video/7648092654844692970</t>
    </r>
  </si>
  <si>
    <t xml:space="preserve">2026/6/8投放1000元</t>
  </si>
  <si>
    <t xml:space="preserve">同时带两条导盲犬上车，偶遇热情大连司机，小小车程满是温暖 在大连旅顺行程结束，我带着导盲犬叮当和另一个盲人伙伴以及另一条导盲犬椰果和他的家人结伴，从酒店打滴滴前往附近地铁站。临走和同行的视障朋友挥手告别，相聚时间很短，下次见面不知什么时候，心里很舍不得。 路上碰到一位热心的滴滴司机，上车主动搀扶我们，帮忙把行李放进后备箱。开车途中，师傅不停夸赞两只导盲犬乖巧听话。闲聊时师傅说，之前一直以为培育一只导盲犬需要200万。 我们跟师傅解释，一只导盲犬选育、长年训练、考核上岗，整体成本在20万左右，师傅听完才了解实情。 到地铁站下车，师傅又贴心把行李从后备箱拿出来。 一趟短短的车程，实实在在感受到大连人的热心和善心，谢谢这位暖心司机，为大连点赞。 #导盲犬叮当 #滴滴出行 #大连 #无障碍出行 #青年创作者计划</t>
  </si>
  <si>
    <t xml:space="preserve">❤️心安੭ﾞ</t>
  </si>
  <si>
    <t/>
    <r>
      <rPr>
        <u val="single"/>
        <color theme="10"/>
      </rPr>
      <t>https://www.douyin.com/note/7647815865568169295</t>
    </r>
  </si>
  <si>
    <t xml:space="preserve">9237极速赶车第一人 3点26的高铁3点02上的滴滴 司机帮我赶路程3点22下的滴滴到检票口已经停止检票了，怎么检票口的妹妹说还可以进 一路呼呲带喘的赶到了月台 此刻 高铁马上到金华了 我下车了</t>
  </si>
  <si>
    <t xml:space="preserve">电气昊子</t>
  </si>
  <si>
    <t/>
    <r>
      <rPr>
        <u val="single"/>
        <color theme="10"/>
      </rPr>
      <t>https://www.douyin.com/video/7647506813403365321</t>
    </r>
  </si>
  <si>
    <t xml:space="preserve">2026/6/9投放3000元2026/6/10投放5000元</t>
  </si>
  <si>
    <t xml:space="preserve">算了，哈尔滨夏天14度的含金量，跟你们说不清楚#哈尔滨 #晚霞 #城市的夜晚 #城市风景 #城市建设</t>
  </si>
  <si>
    <t xml:space="preserve">​车厘子的子</t>
  </si>
  <si>
    <t/>
    <r>
      <rPr>
        <u val="single"/>
        <color theme="10"/>
      </rPr>
      <t>https://www.douyin.com/video/7648887011160830180</t>
    </r>
  </si>
  <si>
    <t xml:space="preserve">2026/6/9投放500元</t>
  </si>
  <si>
    <t xml:space="preserve">来大连这几天给我的感受就是“大连 你美”</t>
  </si>
  <si>
    <t xml:space="preserve">滴滴专车</t>
  </si>
  <si>
    <t xml:space="preserve">小小麻～🥕</t>
  </si>
  <si>
    <t/>
    <r>
      <rPr>
        <u val="single"/>
        <color theme="10"/>
      </rPr>
      <t>https://www.douyin.com/video/7648840710867964325</t>
    </r>
  </si>
  <si>
    <t xml:space="preserve">2026/6/10投放1000元</t>
  </si>
  <si>
    <t xml:space="preserve">苏州站赶高铁 苏州站9:54的车，9:17才上车，滴滴出行写的预计36分钟。跟师傅一说赶高铁，师傅就起飞了...全程DJ嘿喂狗嘿喂狗，最后9:44到苏州站了。22公里，36分钟的车程，27分钟就到了，提前了10分钟！！天上飞机，地上苏E！！#车上的那些事儿 #天上飞机地上苏e</t>
  </si>
  <si>
    <t xml:space="preserve">驾驶技术</t>
  </si>
  <si>
    <t xml:space="preserve">苏二小姐</t>
  </si>
  <si>
    <t/>
    <r>
      <rPr>
        <u val="single"/>
        <color theme="10"/>
      </rPr>
      <t>https://www.douyin.com/video/7648121194428425573</t>
    </r>
  </si>
  <si>
    <t xml:space="preserve">#滴滴公交车 #公交网约车 网约公交车来了🎈</t>
  </si>
  <si>
    <t xml:space="preserve">大鹏嘚吧嘚</t>
  </si>
  <si>
    <t/>
    <r>
      <rPr>
        <u val="single"/>
        <color theme="10"/>
      </rPr>
      <t>https://www.douyin.com/video/7648609080373822586</t>
    </r>
  </si>
  <si>
    <t xml:space="preserve">空调嘎嘎凉快，只需三块#网约公交车 #天津公交</t>
  </si>
  <si>
    <t xml:space="preserve">🐳洁</t>
  </si>
  <si>
    <t/>
    <r>
      <rPr>
        <u val="single"/>
        <color theme="10"/>
      </rPr>
      <t>https://www.douyin.com/video/7648943448107741682</t>
    </r>
  </si>
  <si>
    <t xml:space="preserve">体验济南网约公交车🚌体验感很好 #济南网约公交 #公共交通 #公共交通绿色出行 我也体验了一把网约公交的快乐，全程只需3元钱，送到指定位置，这趟车我包车啦哈哈😃绿色出行的快乐</t>
  </si>
  <si>
    <t xml:space="preserve">在投</t>
  </si>
  <si>
    <t xml:space="preserve">夏荷</t>
  </si>
  <si>
    <t/>
    <r>
      <rPr>
        <u val="single"/>
        <color theme="10"/>
      </rPr>
      <t>https://www.douyin.com/note/7649063213564689138</t>
    </r>
  </si>
  <si>
    <t xml:space="preserve">#湖大到家里的温暖滴滴之旅。今天上午从湖大打车回家，遇到一位超贴心的美女师傅！</t>
  </si>
  <si>
    <t xml:space="preserve">高鹰汤哥🐉</t>
  </si>
  <si>
    <t/>
    <r>
      <rPr>
        <u val="single"/>
        <color theme="10"/>
      </rPr>
      <t>https://www.douyin.com/video/7651087551021976177</t>
    </r>
  </si>
  <si>
    <t xml:space="preserve">#演唱会的正确打开方式 还好美好占据了世界的大多数！演唱会结束，上万人的打车现场，我们已经打了一个小时的滴滴，加价都没打到，让我们遇见了一位好心的南京滴滴大哥买免费到我们到酒店，送到酒店我们问师傅多少钱，滴滴大哥说：我们不谈钱，只说缘。被感动到了！南京^_^下次我们还来！</t>
  </si>
  <si>
    <t xml:space="preserve">开往拉萨的小火车🚄</t>
  </si>
  <si>
    <t/>
    <r>
      <rPr>
        <u val="single"/>
        <color theme="10"/>
      </rPr>
      <t>https://www.douyin.com/video/7651235777007377787</t>
    </r>
  </si>
  <si>
    <t xml:space="preserve">带娃体验天津网约公交✨ 今天带小朋友去坐了天津的滴滴网约公交车，小家伙全程新奇得不行，眼睛都亮了，一直手舞足蹈的，特别开心～想坐的有什么不明白的可以评论区咨询我哦，今天都跟司机师傅聊明白的啦😊</t>
  </si>
  <si>
    <t xml:space="preserve">订单号</t>
  </si>
  <si>
    <t xml:space="preserve">订单类型</t>
  </si>
  <si>
    <t xml:space="preserve">作者名称</t>
  </si>
  <si>
    <t xml:space="preserve">视频标题</t>
  </si>
  <si>
    <t xml:space="preserve">视频链接</t>
  </si>
  <si>
    <t xml:space="preserve">下单时间</t>
  </si>
  <si>
    <t xml:space="preserve">状态</t>
  </si>
  <si>
    <t xml:space="preserve">订单金额（元）</t>
  </si>
  <si>
    <t xml:space="preserve">预算（元）</t>
  </si>
  <si>
    <t xml:space="preserve">消耗（元）</t>
  </si>
  <si>
    <t xml:space="preserve">投放目标</t>
  </si>
  <si>
    <t xml:space="preserve">转化量</t>
  </si>
  <si>
    <t xml:space="preserve">转化成本</t>
  </si>
  <si>
    <t xml:space="preserve">直播间展示量</t>
  </si>
  <si>
    <t xml:space="preserve">新增观众量</t>
  </si>
  <si>
    <t xml:space="preserve">新增粉丝量</t>
  </si>
  <si>
    <t xml:space="preserve">直播评论量</t>
  </si>
  <si>
    <t xml:space="preserve">视频播放量</t>
  </si>
  <si>
    <t xml:space="preserve">5秒完播率</t>
  </si>
  <si>
    <t xml:space="preserve">视频点赞量</t>
  </si>
  <si>
    <t xml:space="preserve">视频评论量</t>
  </si>
  <si>
    <t xml:space="preserve">视频分享量</t>
  </si>
  <si>
    <t xml:space="preserve">主页浏览量</t>
  </si>
  <si>
    <t xml:space="preserve">粉丝量</t>
  </si>
  <si>
    <t xml:space="preserve">付费金额</t>
  </si>
  <si>
    <t xml:space="preserve">预计投放时长</t>
  </si>
  <si>
    <t xml:space="preserve">定向详情</t>
  </si>
  <si>
    <t xml:space="preserve">总互动</t>
  </si>
  <si>
    <t xml:space="preserve">1858553019316387</t>
  </si>
  <si>
    <t xml:space="preserve">普通订单</t>
  </si>
  <si>
    <t xml:space="preserve">酸奶吐司</t>
  </si>
  <si>
    <t xml:space="preserve">广州的滴滴车也太可爱了吧！坐得心情都美美的#广州 #广州滴滴</t>
  </si>
  <si>
    <t/>
    <r>
      <rPr>
        <u val="single"/>
        <color theme="10"/>
      </rPr>
      <t>https://www.douyin.com/video/7612207816275352497</t>
    </r>
  </si>
  <si>
    <t xml:space="preserve">投放完成</t>
  </si>
  <si>
    <t xml:space="preserve">点赞评论量</t>
  </si>
  <si>
    <t xml:space="preserve">未获得授权</t>
  </si>
  <si>
    <t xml:space="preserve">6.0 小时</t>
  </si>
  <si>
    <t xml:space="preserve">系统智能投放 
 </t>
  </si>
  <si>
    <t xml:space="preserve">1858553070969904</t>
  </si>
  <si>
    <t xml:space="preserve">尚雅求真</t>
  </si>
  <si>
    <t xml:space="preserve">“滴滴”赞 ——写在滴滴打车两年之际 （2026年2月28日） 滴滴， 无处不有处处有； 滴滴， 无时不有时时有。 滴滴， 给不车者插上翅膀； 滴滴， 让不车族便利出行。 滴滴， 让我退而不休； 滴滴， 让我视野开阔。 滴滴， 让我天天穿梭灞桥未央之间； 滴滴， 让我日日架起两地教育桥梁。 滴滴， 也让我认识了诸多司机朋友； 滴滴， 更让我了解了许多人间冷暖。 滴滴师傅的“豁达”， 让我身心愉悦； 滴滴师傅的“坚韧”， 让我倍感钦佩。 滴滴， 车车干净， 人人礼貌， 让我欣喜； 滴滴， 一会儿“78”， 一会儿“33”， 也让困惑。 愿滴滴管理日益科学！ 为滴滴司机点赞加油！</t>
  </si>
  <si>
    <t/>
    <r>
      <rPr>
        <u val="single"/>
        <color theme="10"/>
      </rPr>
      <t>https://www.douyin.com/video/7611743676641705295</t>
    </r>
  </si>
  <si>
    <t xml:space="preserve">1858553087987723</t>
  </si>
  <si>
    <t xml:space="preserve">Mr 钟又离</t>
  </si>
  <si>
    <t xml:space="preserve">太酷了 男滴滴司机的公主车： 啥样生活都是经营出来的不是吗#温暖治愈 #人间烟火#滴滴司机 #非标准人生#清醒的选负责到底</t>
  </si>
  <si>
    <t/>
    <r>
      <rPr>
        <u val="single"/>
        <color theme="10"/>
      </rPr>
      <t>https://www.douyin.com/video/7612244922887857787</t>
    </r>
  </si>
  <si>
    <t xml:space="preserve">1858553133359451</t>
  </si>
  <si>
    <t xml:space="preserve">白开水泡茶</t>
  </si>
  <si>
    <t xml:space="preserve">武汉下雨天，我打了辆滴滴准备回学校。车正常停在路口，我刚要上车，手里装东西的纸袋子突然破了，东西撒了一地。我赶紧跟司机师傅说清楚情况，问他车上有没有袋子借我用一下。他二话不说，直接拿了个黑色塑料袋给我，那个袋子是真结实，我用过最好用的黑袋子！更贴心的是，他还跟我说：“一个怕又破了，我给你两个套着用。”本来就是件小麻烦，被师傅这么一弄，瞬间觉得特别暖心。陌生人的这份细心，真的让人心里特别舒服。 我再也不用写“发烧后妈妈背我去医院”的作文了。 我再也不用写“下雨天妈妈给我送伞”的作文了。 我再也不用写“我不会做题，老师耐心教我”的作文了。 我再也不用写“我摔倒了，同学扶我起来”的作文了。 我再也不用写“妈妈深夜给我盖被子”的作文了。 我再也不用写“我生病了，爸爸连夜带我看病”的作文了。 那些小时候最常见、最经典的模仿感恩作文，我终于不用再写啦！我有自己的感恩作文了！</t>
  </si>
  <si>
    <t/>
    <r>
      <rPr>
        <u val="single"/>
        <color theme="10"/>
      </rPr>
      <t>https://www.douyin.com/note/7612110532075037129</t>
    </r>
  </si>
  <si>
    <t xml:space="preserve">1858553164085371</t>
  </si>
  <si>
    <t xml:space="preserve">清风✨</t>
  </si>
  <si>
    <t xml:space="preserve">小同志，磁场又弱了吧，是时候充电了 #天安门 #士兵突击 #滴滴司机 
 感谢北京的滴滴师傅，放慢车速让我们看天安门夜景</t>
  </si>
  <si>
    <t/>
    <r>
      <rPr>
        <u val="single"/>
        <color theme="10"/>
      </rPr>
      <t>https://www.douyin.com/video/7612087271226903844</t>
    </r>
  </si>
  <si>
    <t xml:space="preserve">1858553189305434</t>
  </si>
  <si>
    <t xml:space="preserve">北辰</t>
  </si>
  <si>
    <t xml:space="preserve">爱心：爱的传递。这是我遇见的最暖心的滴滴司机师傅，太原的成师傅，车牌号晋AAA1715。车费只有9.4元，但是我享受的确是专车的待遇，甚至比专车还好。上车、下车成师傅都很热心的帮我搬行李，我的行李很重，但是成师傅一点也不介意。上车后，车上很干净，而且车上备有充电器，小垃圾桶，防晕车的塑料袋，一次性口罩，一次性雨衣，防止血糖低的糖，还有速效救心丸。我和成师傅说，你是我遇见最贴心的司机师傅，没有之一。成师傅说，希望能尽自己所能，帮助更多的人。给太原成师傅点赞，希望以后还能坐到您的车。</t>
  </si>
  <si>
    <t/>
    <r>
      <rPr>
        <u val="single"/>
        <color theme="10"/>
      </rPr>
      <t>https://www.douyin.com/note/7611832044951303909</t>
    </r>
  </si>
  <si>
    <t xml:space="preserve">1858553218214055</t>
  </si>
  <si>
    <t xml:space="preserve">一生有你</t>
  </si>
  <si>
    <t xml:space="preserve">人生第一次打到滴滴女司机，技术稳得一批，完全不输男司机👍</t>
  </si>
  <si>
    <t/>
    <r>
      <rPr>
        <u val="single"/>
        <color theme="10"/>
      </rPr>
      <t>https://www.douyin.com/note/7611432494563328113</t>
    </r>
  </si>
  <si>
    <t xml:space="preserve">1858553250777130</t>
  </si>
  <si>
    <t xml:space="preserve">Saffron</t>
  </si>
  <si>
    <t xml:space="preserve">下班遇到了一位温暖的滴滴司机，椅背贴了一张纸条，口袋里放了两本小册子，两支笔和一面镜子，出于好奇心翻开册子却得到了最温暖的慰藉。司机师傅说这是他很早就想做的事情，希望他的工作也能给每一位归家或旅途中的乘客带来温暖和治愈。看着每一个陌生人的留言感觉上班的疲惫和焦虑一扫而空，我原本寻思那些个互联网上所谓的世界美好的宣言都是空谈，但是到此时此刻一时一景一心境，一花一景一世界才得以具像化。感恩遇见这位温暖的师傅，也感谢每一位留言的陌生人给我带来的幸福感。愿无论是深陷囹圄还是已经拥抱幸福的你们未来的每一天都平安喜乐，万事顺遂！</t>
  </si>
  <si>
    <t/>
    <r>
      <rPr>
        <u val="single"/>
        <color theme="10"/>
      </rPr>
      <t>https://www.douyin.com/note/7611499522330631857</t>
    </r>
  </si>
  <si>
    <t xml:space="preserve">1858553275253808</t>
  </si>
  <si>
    <t xml:space="preserve">康老师（武汉少儿阅读）</t>
  </si>
  <si>
    <t xml:space="preserve">武汉有滴滴公交啦！学名响应式公交，武汉公交APP或者小程序就可以一键预约，3分钟之内来接你，有100多个站点，覆盖医院，学校，商场非常方便，既有网约车🚗的便捷又有公交车🚌的实惠！ #mini公交车 #武汉 #武汉公交 #出行新方式 #公共交通</t>
  </si>
  <si>
    <t/>
    <r>
      <rPr>
        <u val="single"/>
        <color theme="10"/>
      </rPr>
      <t>https://www.douyin.com/video/7611192244423229139</t>
    </r>
  </si>
  <si>
    <t xml:space="preserve">1858623530447112</t>
  </si>
  <si>
    <t xml:space="preserve">系统智能投放 
</t>
  </si>
  <si>
    <t xml:space="preserve">1858623420580004</t>
  </si>
  <si>
    <t xml:space="preserve">小同志，磁场又弱了吧，是时候充电了 #天安门 #士兵突击 #滴滴司机 
感谢北京的滴滴师傅，放慢车速让我们看天安门夜景</t>
  </si>
  <si>
    <t xml:space="preserve">1858623383990304</t>
  </si>
  <si>
    <t xml:space="preserve">1858623312128090</t>
  </si>
  <si>
    <t xml:space="preserve">1858626113840192</t>
  </si>
  <si>
    <t xml:space="preserve">1858626082616384</t>
  </si>
  <si>
    <t xml:space="preserve">1858628214493403</t>
  </si>
  <si>
    <t xml:space="preserve">小红碎花裤衩儿</t>
  </si>
  <si>
    <t xml:space="preserve">这马师傅上车给我俩整蒙了，太有活儿了，威海rapper #威海旅游 #滴滴司机 #威海马大帅 #加油奥利给 #马年说马</t>
  </si>
  <si>
    <t/>
    <r>
      <rPr>
        <u val="single"/>
        <color theme="10"/>
      </rPr>
      <t>https://www.douyin.com/video/7612686487277578602</t>
    </r>
  </si>
  <si>
    <t xml:space="preserve">1858628160027123</t>
  </si>
  <si>
    <t xml:space="preserve">馬壹榴•我是眠眠呀</t>
  </si>
  <si>
    <t xml:space="preserve">今天打车遇到一个很有童趣的师傅，哈哈！#滴滴 #滴滴司机 #滴滴打车</t>
  </si>
  <si>
    <t/>
    <r>
      <rPr>
        <u val="single"/>
        <color theme="10"/>
      </rPr>
      <t>https://www.douyin.com/video/7611742459936919402</t>
    </r>
  </si>
  <si>
    <t xml:space="preserve">1858714606898535</t>
  </si>
  <si>
    <t xml:space="preserve">1858714569555209</t>
  </si>
  <si>
    <t xml:space="preserve">1858714237833561</t>
  </si>
  <si>
    <t xml:space="preserve">1858714137559145</t>
  </si>
  <si>
    <t xml:space="preserve">1858714074107920</t>
  </si>
  <si>
    <t xml:space="preserve">1858703078175856</t>
  </si>
  <si>
    <t xml:space="preserve">萌萌小🌧️</t>
  </si>
  <si>
    <t xml:space="preserve">📝这次对新疆体验感很特殊，飞机上一起坐的大哥他是来工作听说我自己来跟我说这边的有趣的地方，他说在快到新疆的景色更美，靠近新疆时雪山真的很美，下飞机后打车滴滴司机里元宵快乐，欢迎来新疆过节，他看我自己来跟我说很多需要注意的事情，晚上很晚到酒店里后保洁阿姨跟我笑着那种是善意的笑，她说话像中部地区的，江西那边口音不像本地人，跟我说房间在哪里哪里，我没太热情回应，出来吃晚饭时听司机说有家挺好吃的，我就去了，后面老板看我说话有点像外地，就问我来旅游的吗，自己吃饭，我说从安徽过来的，想看看新疆的美景，他就跟我说这边很多好玩的，希望喜欢这里，他在上菜时端过来一碟我没点的，他说这是送的自己做的，马肠包马肉凉菜，后面结账时我问马肉价格这边多少他说136，怪不得天上龙肉地上马肉，今天上午我点了天润的奶制品想带回去，外卖共100多，那个外卖里送了罐干噎酸奶，下午想自驾去天山天池看夕阳可天气还是雾蒙蒙，山里估计视野不太好，这边8.9点太阳下山，我担心我车技回来不行就改去和田二街好好尝尝这边吃的，滴滴司机我问他国道和山路好不好走，他说可以走，于是我准备改计划订车出发，司机就问了我是外地哪里的我说安徽的，他说我真厉害自己敢来这么远，后来他给我送到地址时跟我说前面有点堵，让我等一会下他给我送到小吃街里，于是我下车便是美食一条路，他说新疆本地人几乎很多都走不出省，对外面的世界同样充满好奇期待，他准备等孩子暑假也去外面玩玩，买烤馕时那两个维吾尔族的男生结账我问他多少钱，他说一个馕5元，我共4个馕和2个小馕，他俩说着听不懂的话最后说23，我说好，付过去了，确定哈，他俩交流两句说对，然后我去餐厅最后尝一下这里的菜，那几道菜加烧烤共126，服务员是个同龄的少数名族女孩很好看，她一直跟我说少点一点哦，吃不完的，我说好，后面上菜时阿姨说我一个人吗，我说嗯，过一会刚刚小姑娘过来给我一碗甜的牛奶和白砂糖，她说当地的奶皮子配糖吃会好很多，单吃的话会很酸，她注意到我在外面买的奶皮子了哈哈，后面我要真空打包带走，老板娘叫两个人过来帮忙包装，我问她打包费多少，她说不用，吃完回酒店时我想明晚的航班9点，我2点退房后面去机场有点早想要么再定一晚，到前台我想了下跟前台说房间续2个小时吧，续到4点，明晚飞机9点，机场很大我提前几小时到正好不值当续订，酒店续时30一小时，一晚160多我那个房间，前台有个姐姐说不用了，我结束给个好评就好，还有没有其他的需要的，我说房间的拖鞋需要一个新的，当我回房间后发现房间在我6点走后被人又打扫了一遍，而今天下午4点阿姨过来过一次给我洗漱用品了，现在的房间里开着的窗户被关上，水多给了2瓶共4瓶，我开着的面包袋子被系好，睡衣也被叠好了#新疆 #新疆是个好地方 #乌鲁木齐 #抖音美食推荐官 #热点小助手 @抖音小助手</t>
  </si>
  <si>
    <t/>
    <r>
      <rPr>
        <u val="single"/>
        <color theme="10"/>
      </rPr>
      <t>https://www.douyin.com/video/7613031533112581883</t>
    </r>
  </si>
  <si>
    <t xml:space="preserve">1858703019220299</t>
  </si>
  <si>
    <t xml:space="preserve">一場、流★雨</t>
  </si>
  <si>
    <t xml:space="preserve">这辈子第一次坐RR，居然是在滴滴订单里😂😂</t>
  </si>
  <si>
    <t/>
    <r>
      <rPr>
        <u val="single"/>
        <color theme="10"/>
      </rPr>
      <t>https://www.douyin.com/video/7612918993481033330</t>
    </r>
  </si>
  <si>
    <t xml:space="preserve">1858814215910416</t>
  </si>
  <si>
    <t xml:space="preserve">1858813788456169</t>
  </si>
  <si>
    <t xml:space="preserve">小万不吃香菜</t>
  </si>
  <si>
    <t xml:space="preserve">打到了一辆超级干净的滴滴 心情都变美了 #打车打车</t>
  </si>
  <si>
    <t/>
    <r>
      <rPr>
        <u val="single"/>
        <color theme="10"/>
      </rPr>
      <t>https://www.douyin.com/video/7613215289803536101</t>
    </r>
  </si>
  <si>
    <t xml:space="preserve">1858813611580496</t>
  </si>
  <si>
    <t xml:space="preserve">花渐落</t>
  </si>
  <si>
    <t xml:space="preserve">郑州今后的发展会越来越好：今天打出租车，司机服务态度超好，情绪价值给的满满，贴心热情。很多时候，出租车司机是咱河南给外地游客的第一张名片，整体素质上去了，咱河南的声誉会越来越好，良性循环😀 前年一下高铁，打车滴滴，司机师傅也是自豪地给我们介绍河南的美食景点，总想给初到者第一个好印象，所以我赌大郑州大河南会越来越好👍</t>
  </si>
  <si>
    <t/>
    <r>
      <rPr>
        <u val="single"/>
        <color theme="10"/>
      </rPr>
      <t>https://www.douyin.com/note/7612219889386191970</t>
    </r>
  </si>
  <si>
    <t xml:space="preserve">1858813542416464</t>
  </si>
  <si>
    <t xml:space="preserve">🦁 🦁 奔跑的蜗牛</t>
  </si>
  <si>
    <t xml:space="preserve">今天出门打车居然打到了特斯拉，北京果然藏龙卧虎啊，连特斯拉都来跑滴滴了#特斯拉 #特斯拉汽车 #北京网约车 #北京网约车司机</t>
  </si>
  <si>
    <t/>
    <r>
      <rPr>
        <u val="single"/>
        <color theme="10"/>
      </rPr>
      <t>https://www.douyin.com/note/7613350700244157626</t>
    </r>
  </si>
  <si>
    <t xml:space="preserve">1858813482534972</t>
  </si>
  <si>
    <t xml:space="preserve">1858813425318154</t>
  </si>
  <si>
    <t xml:space="preserve">1859164681319671</t>
  </si>
  <si>
    <t xml:space="preserve">⁺✞ʚ佐鸣重度依赖ɞ✟₊</t>
  </si>
  <si>
    <t xml:space="preserve">上天入地我再也找不到佐鸣这样美好的家产了。家产要永远幸福！ #佐鸣 #佐鸣永远热恋 #滴滴打车 3799！（拍照已取得司机同意 ）我真的没想到能在3月7号打到3799的车！真的很高兴很高兴，希望下一次还能再打到这辆车！（无恶意纯属同人女的兴奋！大哥人特别好啊，同意我拍照了！）</t>
  </si>
  <si>
    <t/>
    <r>
      <rPr>
        <u val="single"/>
        <color theme="10"/>
      </rPr>
      <t>https://www.douyin.com/note/7614491818344720739</t>
    </r>
  </si>
  <si>
    <t xml:space="preserve">1859164650458329</t>
  </si>
  <si>
    <t xml:space="preserve">莫陌墨默</t>
  </si>
  <si>
    <t xml:space="preserve">你们遇过有趣的司机吗？回家路上，司机自娱自乐，一句“不会让我亲脆”让我破防，简直是氛围组，然后人生第一次跟滴滴合唱😂😂😂，憋怕我伤心#网约车 #网约车那些事</t>
  </si>
  <si>
    <t/>
    <r>
      <rPr>
        <u val="single"/>
        <color theme="10"/>
      </rPr>
      <t>https://www.douyin.com/video/7614604940937363313</t>
    </r>
  </si>
  <si>
    <t xml:space="preserve">1859164467267692</t>
  </si>
  <si>
    <t xml:space="preserve">一点也不酷啊。</t>
  </si>
  <si>
    <t xml:space="preserve">打了2个小时滴滴，取消了半天，终于打到了。氛围灯也开了，最好的安排也安排了，总裁座椅也给他调了。他常出现的地方我给你们标记出来了 #洛阳胡师傅 #滴滴迈巴赫 #洛阳胡师傅路人视角</t>
  </si>
  <si>
    <t/>
    <r>
      <rPr>
        <u val="single"/>
        <color theme="10"/>
      </rPr>
      <t>https://www.douyin.com/video/7614841048691419327</t>
    </r>
  </si>
  <si>
    <t xml:space="preserve">1859164399541248</t>
  </si>
  <si>
    <t xml:space="preserve">GOOD.</t>
  </si>
  <si>
    <t xml:space="preserve">愿：平安 发财。@滴滴出行司机中心官方账号</t>
  </si>
  <si>
    <t/>
    <r>
      <rPr>
        <u val="single"/>
        <color theme="10"/>
      </rPr>
      <t>https://www.douyin.com/note/7613787027502461352</t>
    </r>
  </si>
  <si>
    <t xml:space="preserve">1859164326170953</t>
  </si>
  <si>
    <t xml:space="preserve">1859164253674539</t>
  </si>
  <si>
    <t xml:space="preserve">1859166378451241</t>
  </si>
  <si>
    <t xml:space="preserve">1859251699437947</t>
  </si>
  <si>
    <t xml:space="preserve">小水滴💧</t>
  </si>
  <si>
    <t xml:space="preserve">这个妇女节做了一件小事：给所有载过我的女司机发祝福红包🧧 我很爱坐女司机的车。 我一直记得第一次打到女司机那天。车里一尘不染，我刚坐下，她就带着歉意开窗：“上一位的乘客是老人家，有一点药味。”（其实清新的很，我什么都没闻到）过了一会儿她又问我：“现在有没有不喜欢的味道” 后来，我遇到在车上备小篮子的她。“那是给乘客放伞用的，免得乘客不方便，也不会弄湿座位” 还有一次，我害怕赶不上高铁。她分析完路况确保能正常抵达，于是一边平稳提速，一边给我提供情绪价值。整个过程没有任何急刹与不适，而且比预计快多了 这些专业又体贴的，都是「她」 这个节日需要的不是「女神」的虚幻皇冠，而是对每一位真实女性劳动者的看见与尊重。我感恩这些让世界变得更安全、更细腻的具体付出。 于是灵机一动：在订单找到每一个载过我的女司机们，给她们发红包祝福—— 我感恩她们带给我的安全，整洁，安全，安心，感恩她们的每一份扎实劳动。 我祝福她们自由，平等，强壮，铮铮，昂扬。 三八国际劳动妇女节，纪念的是斗全球妇女为争取平等权利和解放而斗争 该如何过节呢？看见、感恩与祝福在岗位上扎实劳动的女性，就是我今年的方式 祝我们三八国际劳动妇女节快乐💪🏻#三八妇女节 #女性力量 #陌生人的温暖 #女司机 #滴滴</t>
  </si>
  <si>
    <t/>
    <r>
      <rPr>
        <u val="single"/>
        <color theme="10"/>
      </rPr>
      <t>https://www.douyin.com/note/7614899619931912369</t>
    </r>
  </si>
  <si>
    <t xml:space="preserve">1859251608449289</t>
  </si>
  <si>
    <t xml:space="preserve">🌈✨小趙媳妇儿✨💕</t>
  </si>
  <si>
    <t xml:space="preserve">你们有没有打到过那种车内气味很重的车 打到你们会怎么做 #滴滴司机 #干净的车内环境</t>
  </si>
  <si>
    <t/>
    <r>
      <rPr>
        <u val="single"/>
        <color theme="10"/>
      </rPr>
      <t>https://www.douyin.com/note/7615049142386066043</t>
    </r>
  </si>
  <si>
    <t xml:space="preserve">1859251522101499</t>
  </si>
  <si>
    <t xml:space="preserve">温暖小孩</t>
  </si>
  <si>
    <t xml:space="preserve">滴滴打到帕萨特！第一次体验直接被后排圈粉✨家人们，今天打车真的挖到宝了😂滴滴下单本来以为是常规代步车，结果来了辆帕萨特，这还是我第一次打到这款车！刚坐进后排，我瞬间就懂了为啥有人会用它跑滴滴，也终于明白车主们对它的偏爱。我特意往后靠了靠，腿部空间直接拉满，完全不挤腿，加班一天的疲惫感，坐上去就缓解了一大半。座椅的支撑性也特别好，软乎乎的却不塌，我一路二十多分钟的车程，居然差点睡过去。更惊喜的是，车内特别安静，师傅开车也稳，过减速带几乎没什么颠簸，我低头回工作消息都没被晃到。以前总觉得打车能到就行，今天才发现，一辆舒服的车真的能提升出行幸福感。真心建议大家打车如果刷到帕萨特，别犹豫直接上！后排体验感真的远超预期，短途通勤、长途出行都合适。#希望对大家有帮助#滴滴出行体验 #希望对大家有帮助</t>
  </si>
  <si>
    <t/>
    <r>
      <rPr>
        <u val="single"/>
        <color theme="10"/>
      </rPr>
      <t>https://www.douyin.com/note/7615023865811614964</t>
    </r>
  </si>
  <si>
    <t xml:space="preserve">1859251453365432</t>
  </si>
  <si>
    <t xml:space="preserve">云子</t>
  </si>
  <si>
    <t xml:space="preserve">谢谢我的好闺蜜陪我一起疯一起闹，还好俺两个一瓶10年都没喝多，可以安全到家，我好幸运的就是，滴滴师傅是个女同胞，谢谢感恩遇见</t>
  </si>
  <si>
    <t/>
    <r>
      <rPr>
        <u val="single"/>
        <color theme="10"/>
      </rPr>
      <t>https://www.douyin.com/video/7615259770899058779</t>
    </r>
  </si>
  <si>
    <t xml:space="preserve">1859346816210090</t>
  </si>
  <si>
    <t xml:space="preserve">绛珠仙子成长日记</t>
  </si>
  <si>
    <t xml:space="preserve">5.0分的滴滴司机 师傅我听懂了 其实你在告诉我 这个世界上没有定义 只有视角不同 但我此刻有个善良的定义 那就是你的那一句 “为什么你大半夜去人民医院” 以及你的善意的开导 但我是个杠精 我天天带着答案问问题 请原谅我 谢谢你，陌生人 至少此刻你的善良给我带来了开心 我对很多东西都没有欲望 但是对善意的瞬间 充满欲望 渴求遇见它享受它 #司机师傅 #欲望 #善良</t>
  </si>
  <si>
    <t/>
    <r>
      <rPr>
        <u val="single"/>
        <color theme="10"/>
      </rPr>
      <t>https://www.douyin.com/video/7615713873504923322</t>
    </r>
  </si>
  <si>
    <t xml:space="preserve">1859346779222587</t>
  </si>
  <si>
    <t xml:space="preserve">小辉哥</t>
  </si>
  <si>
    <t xml:space="preserve">#滴滴，#出租车，朋友们，在陌生的城市，打滴滴还是方便一点！</t>
  </si>
  <si>
    <t/>
    <r>
      <rPr>
        <u val="single"/>
        <color theme="10"/>
      </rPr>
      <t>https://www.douyin.com/video/7615783338746236337</t>
    </r>
  </si>
  <si>
    <t xml:space="preserve">1859346687651097</t>
  </si>
  <si>
    <t xml:space="preserve">玖张机</t>
  </si>
  <si>
    <t xml:space="preserve">滴滴打车好评，可以优先选择女性司机。#滴滴 #打车软件 #安全出行 #女性 #解锁新功能</t>
  </si>
  <si>
    <t/>
    <r>
      <rPr>
        <u val="single"/>
        <color theme="10"/>
      </rPr>
      <t>https://www.douyin.com/video/7615266309736562682</t>
    </r>
  </si>
  <si>
    <t xml:space="preserve">1859439463856236</t>
  </si>
  <si>
    <t xml:space="preserve">秋日胡杨</t>
  </si>
  <si>
    <t xml:space="preserve">揭阳很好，下次还来 揭阳是唯一个被本地人喊"欢迎"的城市，也是唯一个不被叫"外省仔"的城市 这里的本地人感觉比较热情，淳朴，打滴滴每个司机都疯狂安利自己的村子，每个人都化身成揭阳文旅局 这里的美食挺多，但是感觉比较分散，很多都在古城附近，古城附近挺贵的，但是整体消费来说是潮汕较低 今天的揭阳城隍庙伯府大人出巡，听说今年缩减了一半，20分钟基本能看完，非遗青狮很好看，很帅，还见到了，练的身形似鹤形的颜党，"太阳嘟嘟" 揭阳有点破破的，但是感觉挺有韵味，也挺有历史，适合背个包，慢慢在整个城市穿梭 揭阳的交通挺一般的，共享电单车感觉，停车位规划的很乱，最吐槽的是:6点半最后一班公交去高铁站，这个真的太早了，潮州，汕头晚上八九点都还有去高铁站的公交，这点揭阳值得学习 但每个城市都有优缺点，揭阳很大，也很有历史，美食也不少，美女更是挺多，找到适合自己的节奏，悠哉的穿梭在古香古色的大街小巷，揭阳很好，下次我还要来#潮汕 #潮汕民俗文化 #揭阳#揭阳美食 #揭阳美食#揭阳城隍庙 #揭阳城隍庙</t>
  </si>
  <si>
    <t/>
    <r>
      <rPr>
        <u val="single"/>
        <color theme="10"/>
      </rPr>
      <t>https://www.douyin.com/video/7615977113706843382</t>
    </r>
  </si>
  <si>
    <t xml:space="preserve">投放结束</t>
  </si>
  <si>
    <t xml:space="preserve">1859439422465196</t>
  </si>
  <si>
    <t xml:space="preserve">财神爷的小心肝🐉</t>
  </si>
  <si>
    <t xml:space="preserve">偶记📝今天因为闹钟没响起晚了所以打滴滴🚗赶去上班，像往常打车一样，我上车报了尾号便开始刷手机，正常都是一路无言。
 但，这个司机师傅却在开车后笑着和我说“他开车技术不太好”，我疑惑得抬头看他，这时也通过车窗外行驶的车辆察觉到这辆车似乎比别人开得慢很多，所以我也把注意力从手机转移到这位司机师傅身上，他看起来是和我父母差不多年纪的阿叔，在你一言我一语的交谈中，我了解到他今年快六十岁，今天是他跑滴滴的第六天，广州的路不熟悉，加上太多电动车乱闯，所以他每次开车都很慢，很小心翼翼，因为他怕被别人碰到，更怕碰到别人，他说一天只能跑十几单，扣掉一百的租车费，剩下的就没多少了。我好奇问他为什么会选择来广州跑滴滴，他脸上挂着“笑容”说去年是在广州干工地的，但是被拖欠了几万块的工资，不敢回老家，怕回去了就真的再也追不回来工资，所以选择跑滴滴，时不时还能去催催债。我沉默了🤐️因为不知道是不是不该问这种话题，但阿叔可能有点察觉到我的沉默，所以他转移了话题，很热情的给我介绍他老家——湖北荆州，他说他的家乡很好，并且还和我说如果有机会可以去那边旅游，讲起家乡来仿佛换了个人，对景点如数家珍，我也笑着说有机会一定去看看。
 他说他年纪大了，有点搞不太懂滴滴平台，甚至导航也看得不是很懂，不过只要走过一遍的路下次就认得了，因为赶时间所以我打车选择走的路线有一小段高速，车辆行驶过程中当他听到导航说有高速费的时候似乎很惊讶，问我“这边还有高速费的吗？”因为这一单其实很便宜，三十几块钱，如果扣掉高速费那就更没多少了，所以他担心是不是自己没看懂导航走错路线导致要高速费，我连忙说没事，就是有一段高速的，这个费用是我额外出的，这时他才放松下来。
 后来在下了高速后，因为看错导航他走错了一小段路，他一下子很拘谨，只能兜一圈重新回去，其实当时我快迟到了，充足的时间因为走错路变得紧迫，我看着手机上的时间和着急的阿叔，说“没事，重新兜回去就好了，广州的路线是有点绕，不着急”。他说“其实是年纪大了，干什么都干不太好，不能怪路线……”
 最终到达目的地，下车时阿叔扯着朴实的笑容和我说谢谢，我说没事没事。
 我看着手机上的时间，是的，我打车还是迟到了⏰，但没关系，因为那一刻我想如果是我的父母在这个年纪为了生计努力，那我希望他们也能遇到理解体谅…… #在外签订互帮互助协议 #打工人#生活不会辜负每一个努力的人#远行</t>
  </si>
  <si>
    <t/>
    <r>
      <rPr>
        <u val="single"/>
        <color theme="10"/>
      </rPr>
      <t>https://www.douyin.com/note/7616010066626177211</t>
    </r>
  </si>
  <si>
    <t xml:space="preserve">1859439375322280</t>
  </si>
  <si>
    <t xml:space="preserve">火光</t>
  </si>
  <si>
    <t xml:space="preserve">不敢直视师傅的眼睛。#滴滴 #我爱你</t>
  </si>
  <si>
    <t/>
    <r>
      <rPr>
        <u val="single"/>
        <color theme="10"/>
      </rPr>
      <t>https://www.douyin.com/note/7615669310942601338</t>
    </r>
  </si>
  <si>
    <t xml:space="preserve">1859439331321076</t>
  </si>
  <si>
    <t xml:space="preserve">好人好梦👑</t>
  </si>
  <si>
    <t xml:space="preserve">今天特别感谢滴滴车主这位大姐拾金不昧的精神，拾到我的皮夹克外套和钱包。特地把平台的接单取消，送到我厂里。关键是身份证，银行卡，医保卡补办太费事了。现在还是好人多。失而复得我很开心。祝好人一生平安！</t>
  </si>
  <si>
    <t/>
    <r>
      <rPr>
        <u val="single"/>
        <color theme="10"/>
      </rPr>
      <t>https://www.douyin.com/note/7615950184098960602</t>
    </r>
  </si>
  <si>
    <t xml:space="preserve">1859439269713123</t>
  </si>
  <si>
    <t xml:space="preserve">1859439213017319</t>
  </si>
  <si>
    <t xml:space="preserve">1859439185498521</t>
  </si>
  <si>
    <t xml:space="preserve">1859439125502793</t>
  </si>
  <si>
    <t xml:space="preserve">1859439069622283</t>
  </si>
  <si>
    <t xml:space="preserve">1859439003487315</t>
  </si>
  <si>
    <t xml:space="preserve">1859532521629776</t>
  </si>
  <si>
    <t xml:space="preserve">dyy</t>
  </si>
  <si>
    <t xml:space="preserve">打了一辆滴滴豪华车，司机穿的是衬衫马甲正装，上车会问车内温度和香薰气味是否合适，全程播放的都是高级的古典音乐，水是voss的，车里还有零食，糖果可以吃，司机师傅车开的真的很稳#滴滴豪华车</t>
  </si>
  <si>
    <t/>
    <r>
      <rPr>
        <u val="single"/>
        <color theme="10"/>
      </rPr>
      <t>https://www.douyin.com/note/7616006793667697893</t>
    </r>
  </si>
  <si>
    <t xml:space="preserve">1859532477255802</t>
  </si>
  <si>
    <t xml:space="preserve">幸运天使（小齐姑姑）</t>
  </si>
  <si>
    <t xml:space="preserve">正月二十四，晴天，今日解锁滴滴出行，没想到这么方便，电话发出去三两分钟车马上就到，想去那去哪，遇到健谈的师傅一路上还不感觉孤单，轻松又自在，再也不用因为你不拉我出门让我等的憋气人了，哈哈。</t>
  </si>
  <si>
    <t/>
    <r>
      <rPr>
        <u val="single"/>
        <color theme="10"/>
      </rPr>
      <t>https://www.douyin.com/note/7616286705788479977</t>
    </r>
  </si>
  <si>
    <t xml:space="preserve">1859532385204599</t>
  </si>
  <si>
    <t xml:space="preserve">看他慢慢爱</t>
  </si>
  <si>
    <t xml:space="preserve">滴滴可以设置女司机偏好啦。总算是可以小范围避免那些不稳定因素了#滴滴女司机设置</t>
  </si>
  <si>
    <t/>
    <r>
      <rPr>
        <u val="single"/>
        <color theme="10"/>
      </rPr>
      <t>https://www.douyin.com/note/7616183547221202259</t>
    </r>
  </si>
  <si>
    <t xml:space="preserve">1859532372235577</t>
  </si>
  <si>
    <t xml:space="preserve">故宫楚楚日常</t>
  </si>
  <si>
    <t xml:space="preserve">整个北京唱歌最好听的滴滴司机被我碰到啦！ #故宫楚楚 #滴滴司机 #滴滴司机唱歌 #北京生活 #北京滴滴司机</t>
  </si>
  <si>
    <t/>
    <r>
      <rPr>
        <u val="single"/>
        <color theme="10"/>
      </rPr>
      <t>https://www.douyin.com/video/7616359394191938022</t>
    </r>
  </si>
  <si>
    <t xml:space="preserve">1859532315459660</t>
  </si>
  <si>
    <t xml:space="preserve">1859532253388395</t>
  </si>
  <si>
    <t xml:space="preserve">1859532122941547</t>
  </si>
  <si>
    <t xml:space="preserve">1859532068227161</t>
  </si>
  <si>
    <t xml:space="preserve">1859804378277056</t>
  </si>
  <si>
    <t xml:space="preserve">茹ge💨</t>
  </si>
  <si>
    <t xml:space="preserve"> 今天把手机落在滴滴车上，很快联系上了师傅。我说麻烦他跑一趟，路费我来出，他说：“不用，看着给就好。” 就是这句“看着给”，让我一下子觉得特别暖。我当时就想，等他送来，我得给个66——图个六六大顺，也表表心意。 可他来回开了40公里把手机送到我手上，最后只收了20块。 那一刻我都有点愣住了。40公里的路，只收20块——我知道这哪够油钱。他大概是看我着急，压根没想着要赚这个钱。 接过手机的时候，我心里特别过意不去，又特别感动。想对他说声谢谢，又觉得这两个字太轻了。 记录下来，是想提醒自己：这世上总有一些人，用最朴素的方式，让你觉得温暖。</t>
  </si>
  <si>
    <t/>
    <r>
      <rPr>
        <u val="single"/>
        <color theme="10"/>
      </rPr>
      <t>https://www.douyin.com/note/7617137673777764465</t>
    </r>
  </si>
  <si>
    <t xml:space="preserve">1859804328313044</t>
  </si>
  <si>
    <t xml:space="preserve">湖北.宜昌</t>
  </si>
  <si>
    <t xml:space="preserve">坐了一辆豪华滴滴，重庆司机很有礼貌，上车提示您系好安全带(后排)车上有为您备的矿泉水，下车提示祝您一路顺风旅途愉快！</t>
  </si>
  <si>
    <t/>
    <r>
      <rPr>
        <u val="single"/>
        <color theme="10"/>
      </rPr>
      <t>https://www.douyin.com/video/7616911882826256890</t>
    </r>
  </si>
  <si>
    <t xml:space="preserve">1859804300517540</t>
  </si>
  <si>
    <t xml:space="preserve">彭彭的由来</t>
  </si>
  <si>
    <t xml:space="preserve">今天和朋友吃完饭打车回学校，不知为何辗转了三辆车，心里烦躁得很。终于打到一辆车，车里干净又整洁。
司机是一位三四十岁的中年男性，戴着眼镜，看起来文质彬彬。他开口问：“你们是济南大学的学生么？”
我们说是。
“大几了？”
“大二了。”
“我也刚好要回济南大学休息，我的办公室在那里。”
随后他便开始讲起自己的经历。他也是济南大学毕业的，讲述得极为清楚，几号入学、几号去当兵、几号回来继续读书，准确到具体的日子。接着是他的工作经历，我记不太清了，只记得他说，现在开滴滴接单，只是为了消磨时光。
他说：“之前才想着一定要努力赚钱，也是为了养活家里。”
他经历过生死一瞬，从农村出来，年轻时只想着拼命赚钱，喝酒没有节制。他告诉我们，一切都是小事，要学会看淡。经历过那次之后，他才开始注重自己的身体。他还说，其实人经历的很多事，全都来源于贪念。
刚开始我还和他有一搭没一搭地寒暄，聊了几句之后，却觉得像多年未见的老友。他说的越来越多，我回应得越来越少。他慢慢阐述着自己对人生的态度，车里放着平静的音乐，我也跟着安静下来。
我忽然在想，明明是陌生人，他为什么愿意对两个从未见过面的年轻人，吐露这么多心事。我不知道他当时在想什么，只觉得心里一阵苦涩。
他说，我们正处在人生最美好的年纪，现在只需要担心学习，等出了社会，什么事都要自己扛。他突然笑了，接着又是一声轻轻的叹息。我从后视镜里看着他，他继续说着那些我们还未曾经历过的人生。
到学校了。
我关门前，认真说了一句：“老师，谢谢您。”
他笑着说：“没事。”
下车后我问朋友：“他是不是很孤独？”
这件事很小，小到不值一提，却在我心里留下了很深的印记。很多感受说不出口，也许是我太敏感，也许是我小题大做，我也说不清，对他，对我。
#随笔 #esfj</t>
  </si>
  <si>
    <t/>
    <r>
      <rPr>
        <u val="single"/>
        <color theme="10"/>
      </rPr>
      <t>https://www.douyin.com/note/7617431215097004667</t>
    </r>
  </si>
  <si>
    <t xml:space="preserve">1859804294388823</t>
  </si>
  <si>
    <t xml:space="preserve">1859804262274323</t>
  </si>
  <si>
    <t xml:space="preserve">1859901239659895</t>
  </si>
  <si>
    <t xml:space="preserve">1859901205033108</t>
  </si>
  <si>
    <t xml:space="preserve">滴滴还是太超前了 滴滴还能打倒特斯拉</t>
  </si>
  <si>
    <t/>
    <r>
      <rPr>
        <u val="single"/>
        <color theme="10"/>
      </rPr>
      <t>https://www.douyin.com/video/7617859050039070435</t>
    </r>
  </si>
  <si>
    <t xml:space="preserve">1859901165763728</t>
  </si>
  <si>
    <t xml:space="preserve">乌苏一姐</t>
  </si>
  <si>
    <t xml:space="preserve">#滴滴打车 好好赚钱雇个司机，想谈个贴心的对象，但发现只要出钱就有人愿意服务！</t>
  </si>
  <si>
    <t/>
    <r>
      <rPr>
        <u val="single"/>
        <color theme="10"/>
      </rPr>
      <t>https://www.douyin.com/video/7617891266244423656</t>
    </r>
  </si>
  <si>
    <t xml:space="preserve">1859901063522320</t>
  </si>
  <si>
    <t xml:space="preserve">1859988009337927</t>
  </si>
  <si>
    <t xml:space="preserve">🌸旧时光</t>
  </si>
  <si>
    <t xml:space="preserve">滴滴回家，真是划算</t>
  </si>
  <si>
    <t/>
    <r>
      <rPr>
        <u val="single"/>
        <color theme="10"/>
      </rPr>
      <t>https://www.douyin.com/video/7618168504240308069</t>
    </r>
  </si>
  <si>
    <t xml:space="preserve">1859987937856762</t>
  </si>
  <si>
    <t xml:space="preserve">咕咕哒哒</t>
  </si>
  <si>
    <t xml:space="preserve">第二次来柳州，东西还是一样好吃，市民还是一样热情 滴滴司机、菜场老板、粉店老板、买菜阿姨、咖啡店小哥，每个人都对游客很耐心 柳州值得~ #柳州 #原相机live证明我来过 #柳州旅游攻略 #广西dou是好风光 #花开了</t>
  </si>
  <si>
    <t/>
    <r>
      <rPr>
        <u val="single"/>
        <color theme="10"/>
      </rPr>
      <t>https://www.douyin.com/video/7617498397310715327</t>
    </r>
  </si>
  <si>
    <t xml:space="preserve">1859994047358116</t>
  </si>
  <si>
    <t xml:space="preserve">1860161746037928</t>
  </si>
  <si>
    <t xml:space="preserve">陈黎</t>
  </si>
  <si>
    <t xml:space="preserve">如果嵩山能发声，黄河会呐喊，那么今日的天问就是：河南人惹谁了？ 河南，古老的中原文化，殷墟文化，甲骨文遗址，到后来的黄河口决堤，这片土地承载着多少中华儿女的爱与痛？ 转发一篇旧文： 昨天我打了个滴滴出去办事。 十几公里路程，但那时段是上班早高峰，又飘着雨，女司机抱歉地说：肯定堵得厉害，急着赶么？要不从哪里绕一下，那样就是会多花钱。 我说不急，慢慢开，你觉得怎么合适就怎么走。 可能她较少遇到这样佛系的乘客，她在反光镜中眼含感激地看我一下：谢谢您的信任啊。 常州土著讲普通话总有地方口音，她明显不是本地人。她说她是河南商丘人，机缘巧合来常州二十年了。 我开玩笑：河南人不容易，在其他省份扎根，需要付出很多才能获得认可。尤其是江南的几个城市，的确排外。 这几句话听了她几近哽咽：哎，刚开始来常州，完全不被待见，人们叫我，都是河南佬，仿佛我没名字一样。这称呼不是亲热，就是赤裸裸的歧视。我们那地方是国家级贫困县，偶尔工友聊天，他们会不怀好意问：你们吃饭不用碗吧，都是用砵头？你们拉屎用土坷垃擦屁股？你们生了女儿都卖掉？生不出儿子不罢休？兄弟三人共娶一个老婆？那生出的孩子是谁的搞得清么？你们那里人怎么都爱骗人？总部驻马店离开你家远么？每次听到这些我都很难受，是啊，咱穷，给人瞧不起，可出生没法选择，只能自己争点气，勤奋一点，真诚一点，无法力挽狂澜整个河南人的面貌，但做好自己，总是能够的。这么多年，我真的是尽心尽力地打造一个河南人的形象，我希望我是个体体面面的，自立自强的，不骗不诈的河南人。好在，现在这种情况得到了极大改善，常州是一个非常美好的城市，它海纳百川地包容了河南曾经的贫瘠落后，河南也欣慰地矗立了诸如胖东来这样靠真诚与用心打造起来的标杆企业，我们都在进步，都在发展，都在向美好的未来挺进。 她很会表达，嗓音悦耳，措词严谨，每句话，饱含感情又掷地有声。她说她有幸嫁给了常州人，丈夫是常州农村的，当年也是家贫才娶了她这个外乡人，但婆家人都很好，对她好，一家人凭借着努力，在市区买了房子，孩子在市一中读高二。 车子路过市一中门口，堵得一动不动，她骄傲地指向校园：那幢楼的四楼边上一个教室，就是我儿子的班级，他叫李苏豫，一米八五了，成绩很好，两年后，我想他会考上985或者211的。那时候我就会去河南老家办场酒，我不收礼金，就图个与亲朋好友分享喜悦。 我要下车了，还在下着雨，她松了安全带，走出驾位，在雨中眼含热泪看着我，她个子不高，但面容清秀，应该比我小十来岁。我说：苏豫妈妈，祝福你，祝福你们全家，祝福河南。来，拥抱一下。 她趴我肩头，抽泣：姐姐，常州有几万辆滴滴车，再遇到的可能性很小，但我仍是希望下回再次见到你。 未来迢远，每时每刻都有人在挥手道别，遇见的时候，但愿我们都能成为彼此的一束光。 </t>
  </si>
  <si>
    <t/>
    <r>
      <rPr>
        <u val="single"/>
        <color theme="10"/>
      </rPr>
      <t>https://www.douyin.com/note/7619093952427614843</t>
    </r>
  </si>
  <si>
    <t xml:space="preserve">1860161689670871</t>
  </si>
  <si>
    <t xml:space="preserve">人间有情</t>
  </si>
  <si>
    <t xml:space="preserve">城市在改变，滴滴出行，庐陵小巴也是一个选择！</t>
  </si>
  <si>
    <t/>
    <r>
      <rPr>
        <u val="single"/>
        <color theme="10"/>
      </rPr>
      <t>https://www.douyin.com/video/7618525485648050938</t>
    </r>
  </si>
  <si>
    <t xml:space="preserve">1860161627157692</t>
  </si>
  <si>
    <t xml:space="preserve">🌈Lin 、</t>
  </si>
  <si>
    <t xml:space="preserve">#滴滴出行 温岭的滴滴也是让我大开眼界😂</t>
  </si>
  <si>
    <t/>
    <r>
      <rPr>
        <u val="single"/>
        <color theme="10"/>
      </rPr>
      <t>https://www.douyin.com/video/7618222573041999345</t>
    </r>
  </si>
  <si>
    <t xml:space="preserve">1860161560385815</t>
  </si>
  <si>
    <t xml:space="preserve">小仙仙🌈</t>
  </si>
  <si>
    <t xml:space="preserve">打了那么多次车，第一次遇到后车座提供充电线的，而且还是三插头的，给师傅点赞👍#滴滴司机 #滴滴</t>
  </si>
  <si>
    <t/>
    <r>
      <rPr>
        <u val="single"/>
        <color theme="10"/>
      </rPr>
      <t>https://www.douyin.com/video/7618960753446510009</t>
    </r>
  </si>
  <si>
    <t xml:space="preserve">1860162109148176</t>
  </si>
  <si>
    <t xml:space="preserve">高山都957</t>
  </si>
  <si>
    <t xml:space="preserve">#出差打车 第一次打高端车 滴滴司机好高端啊，停车接送服务，都穿正装耶</t>
  </si>
  <si>
    <t/>
    <r>
      <rPr>
        <u val="single"/>
        <color theme="10"/>
      </rPr>
      <t>https://www.douyin.com/video/7618932945290901903</t>
    </r>
  </si>
  <si>
    <t xml:space="preserve">1860440139040020</t>
  </si>
  <si>
    <t xml:space="preserve">哆啦萌萌^</t>
  </si>
  <si>
    <t xml:space="preserve">因为有碰到这些人让我感觉这个国家也没有网上说的那样排华与危险 当时一个人落地手机没有信号 我就在机场找了一个当地的姐姐问哪里搞流量卡 她也不知道 但她很热情的帮我问了机场的工作人员并且把我带到了那个地方 
晚上走在路上会有人主动过来提醒我们遇到摩托车要小心 要把包包背在前面 
还有滴滴司机 我并不知道榴莲是禁止带上车的 🤣但那个司机人也特别好 把车窗打开了也没有把我们赶下车 第二天打车也是 我只是顺口说我手机快没有电了 司机很热情的把他的充电宝借给我 还不停的找线让我妈妈也能充上电 🥹
就算是逛夜市因为不小心踩到他们的脚说了句sorry 他们也会热情的回应thankyou 
虽然我英语没有那么好 但是服务员都会耐心的打开翻译和我沟通 在这里我遇到的华人都充满善意 非常感叹自己能够这么幸运 碰到的都是很好的人#马来西亚 #吉隆坡#原相机 #旅游 #留学</t>
  </si>
  <si>
    <t/>
    <r>
      <rPr>
        <u val="single"/>
        <color theme="10"/>
      </rPr>
      <t>https://www.douyin.com/video/7619636679322387057</t>
    </r>
  </si>
  <si>
    <t xml:space="preserve">1860440084341209</t>
  </si>
  <si>
    <t xml:space="preserve">harrynos</t>
  </si>
  <si>
    <t xml:space="preserve">济州偶来小路 亲子徒步百公里Day3。第三天走了5号线/13.4公里+6号线10.1公里 到6号线的终点、同时也是7号线的起点住酒店 因为我们中午才出发，一直都在赶路，体验感其实并不是很好， 所以如果要两条线连走，建议尽量还是早一点出发，用时至少8小时 ——5号线—— 前一晚在1号线露营，起床收拾好后出发已经是9点 坐201路公交车到5号线起点，车程1个半小时左右 吃完午饭11点30才从5号线起点出发，一开始都是沿着海岸线的公路徒步 1.2km-3km是爬一座小山，爬升不是很多，但有一段要走海边的礁石 出去后又是公路，经过一片很大的山茶花园，中间章附近有一颗很大的橘子树很出片 ——6号线—— 5号线的终点也是6号线的起点，是一个淡水海水的交汇处著名景点，峡谷的小河里有不少人在划皮划艇 这个点还是比较热闹的，当地人很多，也有不少便利店可以补给 6号线的前半段也比较好走，一直都是沿海公路 夕阳下、海岸边的油菜花也是个很独特的景观 6公里不到经过一个射箭场后就进入正房瀑布的景区 讲道理也是一个比较出名的景点，可以我们到的时候天已经黑了，只能听到瀑布的声音，什么都没有看到有点可惜 正房瀑布的爬升还是比较狠的，也可能是因为当天走了快20公里已经累的不行了 7.4公里后到达爬升的顶点海螺城堡，也是6号线中间章的位置 小孩哥到这已经走崩溃了，所以盖完章决定最后的2公里直接科技徒步 第一次在韩国用滴滴打车，还挺方便的 三个人坐在马路边等车的样子看起来真的太凄惨了。 ——晚饭及住宿—— 我们住的酒店是西归浦大酒店（Hotel the Grang Seogwipo），正好就在7号线游客中心的隔壁，还是挺方便的，价格也还可以400多一晚。 到酒店放完行李，9点才出去吃饭，但是好多店都打烊不接单了，最终找到了一家中国人开的韩国烤肉店，太离谱了。。。哦，对了，这天是国内的大年夜。。。太惨了 下期更汉拿山的单日徒步。#户外徒步记录 #创作者中心 #创作灵感 #亲子徒步 #偶来小路</t>
  </si>
  <si>
    <t/>
    <r>
      <rPr>
        <u val="single"/>
        <color theme="10"/>
      </rPr>
      <t>https://www.douyin.com/note/7619357588699109065</t>
    </r>
  </si>
  <si>
    <t xml:space="preserve">1860440041371680</t>
  </si>
  <si>
    <t xml:space="preserve">面具</t>
  </si>
  <si>
    <t xml:space="preserve">泾川人打车，别花冤枉钱！ 滴滴网约车，价格透明不加价 喝酒不开车，出行更安全 赶高铁、跑机场、下乡镇都方便 代人约车，一键搞定 长途1公里1块钱 乡镇价比出租更划算 县城出发只算单趟 微信小程序滴滴出行 提前看价，明明白白消费#城市公交 #出租车司机 #网约车 #滴滴出行 #泾川</t>
  </si>
  <si>
    <t/>
    <r>
      <rPr>
        <u val="single"/>
        <color theme="10"/>
      </rPr>
      <t>https://www.douyin.com/video/7619622592362705846</t>
    </r>
  </si>
  <si>
    <t xml:space="preserve">1860439955164755</t>
  </si>
  <si>
    <t xml:space="preserve">东方先生</t>
  </si>
  <si>
    <t xml:space="preserve">第一次遇到聋哑人滴滴司机，100元一点爱心。 #北漂人民辛苦了</t>
  </si>
  <si>
    <t/>
    <r>
      <rPr>
        <u val="single"/>
        <color theme="10"/>
      </rPr>
      <t>https://www.douyin.com/note/7619935329013573091</t>
    </r>
  </si>
  <si>
    <t xml:space="preserve">1860440725864460</t>
  </si>
  <si>
    <t xml:space="preserve">💐/₁₂.₁₅ ᵕ̈ xzq✨</t>
  </si>
  <si>
    <t xml:space="preserve">呼啦啦，已到达桐乡啦🤪🤪 第二次参加半马啦，感谢桐乡半马在8个报名之中作为第二个选择了我哈哈哈😘😘一下高铁打车滴滴觉得司机超级热情到酒店后还祝我明天可以跑到好成绩，呜呜呜，真的超级感动😭😭 这次酒店到起跑点3分钟左右步行简直不要太棒啦吼吼吼🥳🥳 赛事包领取也超级便捷🤗🤗三分钟搞定。
最后希望明天不要出太阳😭😭要不然我可要跑不动了，加油加油😇😇
#马拉松 #中长跑 #白羊座 #日常ootd #甜妹</t>
  </si>
  <si>
    <t/>
    <r>
      <rPr>
        <u val="single"/>
        <color theme="10"/>
      </rPr>
      <t>https://www.douyin.com/video/7619605942468253051</t>
    </r>
  </si>
  <si>
    <t xml:space="preserve">投放终止</t>
  </si>
  <si>
    <t xml:space="preserve">1860440585244688</t>
  </si>
  <si>
    <t xml:space="preserve">1860440503776396</t>
  </si>
  <si>
    <t xml:space="preserve">贝贝公主👸</t>
  </si>
  <si>
    <t xml:space="preserve">#特斯拉 #滴滴打车 也是坐上特斯拉了，滴滴打车，人生第一次哈哈哈哈哈哈哈哈哈</t>
  </si>
  <si>
    <t/>
    <r>
      <rPr>
        <u val="single"/>
        <color theme="10"/>
      </rPr>
      <t>https://www.douyin.com/note/7620309274209021605</t>
    </r>
  </si>
  <si>
    <t xml:space="preserve">1860440445024698</t>
  </si>
  <si>
    <t xml:space="preserve">🫘纸</t>
  </si>
  <si>
    <t xml:space="preserve">第一次打滴滴司机怎么这么帅啊，无意冒犯。#滴滴司机</t>
  </si>
  <si>
    <t/>
    <r>
      <rPr>
        <u val="single"/>
        <color theme="10"/>
      </rPr>
      <t>https://www.douyin.com/note/7619346681800231592</t>
    </r>
  </si>
  <si>
    <t xml:space="preserve">1860440272597004</t>
  </si>
  <si>
    <t xml:space="preserve">扭瓶盖小能手🤨</t>
  </si>
  <si>
    <t xml:space="preserve">今日心情被耗到1%🧸 拖着疲惫的身体打了一辆滴滴🚗 拉开车门的瞬间，看到了满车玩偶—— 司机是一位北方的退役军人小哥哥🚕@霍拉拉 短暂的车程，在愉快的聊天中满血复活✨ 热爱生活的人，真的会闪闪发光💛 #治愈系 #满车玩偶 #陌生人的温暖</t>
  </si>
  <si>
    <t/>
    <r>
      <rPr>
        <u val="single"/>
        <color theme="10"/>
      </rPr>
      <t>https://www.douyin.com/video/7619392937248262208</t>
    </r>
  </si>
  <si>
    <t xml:space="preserve">1860524414901387</t>
  </si>
  <si>
    <t xml:space="preserve">1860524365286552</t>
  </si>
  <si>
    <t xml:space="preserve">1860524139272314</t>
  </si>
  <si>
    <t xml:space="preserve">任我行</t>
  </si>
  <si>
    <t xml:space="preserve">昨天坐滴滴，竟然打到了一辆汉的绝版车，大家猜猜是啥车？</t>
  </si>
  <si>
    <t/>
    <r>
      <rPr>
        <u val="single"/>
        <color theme="10"/>
      </rPr>
      <t>https://www.douyin.com/note/7619897380909579002</t>
    </r>
  </si>
  <si>
    <t xml:space="preserve">1860523931054220</t>
  </si>
  <si>
    <t xml:space="preserve">瓜田学姐</t>
  </si>
  <si>
    <t xml:space="preserve">曾被全网唱衰的女乘客匹配女司机功能 如今被狠狠打脸 #女司机 #出租车 #打车 #女性力量</t>
  </si>
  <si>
    <t/>
    <r>
      <rPr>
        <u val="single"/>
        <color theme="10"/>
      </rPr>
      <t>https://www.douyin.com/video/7620371187046075682</t>
    </r>
  </si>
  <si>
    <t xml:space="preserve">审核不通过</t>
  </si>
  <si>
    <t xml:space="preserve">1860523746436202</t>
  </si>
  <si>
    <t xml:space="preserve">刘量AI</t>
  </si>
  <si>
    <t xml:space="preserve">什么？1句话滴滴AI就能帮你打到满意的车 #AI#AI打车#滴滴打车#AI出行#AI小滴</t>
  </si>
  <si>
    <t/>
    <r>
      <rPr>
        <u val="single"/>
        <color theme="10"/>
      </rPr>
      <t>https://www.douyin.com/video/7620296845138728549</t>
    </r>
  </si>
  <si>
    <t xml:space="preserve">1860614533851184</t>
  </si>
  <si>
    <t xml:space="preserve">摸鱼大小姐</t>
  </si>
  <si>
    <t xml:space="preserve">女生之间的善意 从来不是刻意营造的模样 #女司机 #打车 #网约车 #正能量</t>
  </si>
  <si>
    <t/>
    <r>
      <rPr>
        <u val="single"/>
        <color theme="10"/>
      </rPr>
      <t>https://www.douyin.com/video/7620717387695869226</t>
    </r>
  </si>
  <si>
    <t xml:space="preserve">1860614501846059</t>
  </si>
  <si>
    <t xml:space="preserve">爱漂亮的沈姨</t>
  </si>
  <si>
    <t xml:space="preserve">司机师傅一句夸赞，让我更爱穿汉服了。55岁，照样敢把汉服穿出门～ 今天坐滴滴，师傅说“阿姨您这身真好看，像画里走出来的”，心里美滋滋的。 以前总怕别人眼光，现在才懂： 喜欢就穿，舒服就好， 咱们中国的衣裳，本来就该大大方方走在阳光下。 愿更多姐妹，都能勇敢穿自己喜欢的衣服， 让汉服慢慢走进日常，被更多人看见❤️ #汉服 #汉服日常 #汉服复兴 #用抖音记录人生 #全民买手请回答</t>
  </si>
  <si>
    <t/>
    <r>
      <rPr>
        <u val="single"/>
        <color theme="10"/>
      </rPr>
      <t>https://www.douyin.com/note/7620750244388744677</t>
    </r>
  </si>
  <si>
    <t xml:space="preserve">1860614443205744</t>
  </si>
  <si>
    <t xml:space="preserve">池也white</t>
  </si>
  <si>
    <t xml:space="preserve">感谢大哥。武汉牛逼！十七公里二十三分钟就能到#武汉 #滴滴司机 #赶车 #基建狂魔</t>
  </si>
  <si>
    <t/>
    <r>
      <rPr>
        <u val="single"/>
        <color theme="10"/>
      </rPr>
      <t>https://www.douyin.com/note/7620767030497210778</t>
    </r>
  </si>
  <si>
    <t xml:space="preserve">1860614377836644</t>
  </si>
  <si>
    <t xml:space="preserve">艳子</t>
  </si>
  <si>
    <t xml:space="preserve">今天打滴滴打到一个全是帅哥的司机说是邓为，不得不说是真帅。#邓为</t>
  </si>
  <si>
    <t/>
    <r>
      <rPr>
        <u val="single"/>
        <color theme="10"/>
      </rPr>
      <t>https://www.douyin.com/video/7620759348268759141</t>
    </r>
  </si>
  <si>
    <t xml:space="preserve">1860614357290250</t>
  </si>
  <si>
    <t xml:space="preserve">3uii-</t>
  </si>
  <si>
    <t xml:space="preserve">我想感谢一位桂A的刘师傅。 我今天打车遇到了一位滴滴司机，上车前他询问我是否着急 得知我较赶时间后让我坐到副驾 他一路疾驰减少我到达目的地的时间 他比较健谈 性格也很稳重 和我聊起了他的往事 他告诉我他的妻子婚后间歇性出轨三次 因为孩子 他选择一味忍让 直到第三次他们才离了婚 他经历过事业倒台 婚姻失败 但在最苦难的时候他还是选择认真生活 现在有主业 副业就是来跑跑车拉拉客 离婚后自己一个人生活 孩子也跟了他前妻 他回家连份热饭都没有 也没有亲人等他下班 但他依旧扛得住风雨 接得住生活 我很共情他 但也为他这份上进心所感动 您的那句“小妹 以后你不管是感情上还是工作上都要经过再三的斟酌思量后再去决定实施”我会永远记在心里。 还有 您真的很帅！</t>
  </si>
  <si>
    <t/>
    <r>
      <rPr>
        <u val="single"/>
        <color theme="10"/>
      </rPr>
      <t>https://www.douyin.com/note/7620816046761141747</t>
    </r>
  </si>
  <si>
    <t xml:space="preserve">1860614313730265</t>
  </si>
  <si>
    <t xml:space="preserve">羽物夫妇</t>
  </si>
  <si>
    <t xml:space="preserve">今日份快乐是滴滴给的！ 随手一打就是豪华车， 体验感直接封神，果然生活处处有惊喜～ #羽物夫妇 #共青城 #豪华车 #五星级服务</t>
  </si>
  <si>
    <t/>
    <r>
      <rPr>
        <u val="single"/>
        <color theme="10"/>
      </rPr>
      <t>https://www.douyin.com/video/7620401522627016079</t>
    </r>
  </si>
  <si>
    <t xml:space="preserve">1860809943184483</t>
  </si>
  <si>
    <t xml:space="preserve">鱼丸子的快乐星球🫧</t>
  </si>
  <si>
    <t xml:space="preserve">谁能懂上车那一刻的惊喜感呀哈哈~ 今日份最快乐的事情莫过于~
花最低的💰打到了一辆喜爱的车哈哈#滴滴出行 #打车打到特斯拉 #真实生活分享计划 #特斯拉model3</t>
  </si>
  <si>
    <t/>
    <r>
      <rPr>
        <u val="single"/>
        <color theme="10"/>
      </rPr>
      <t>https://www.douyin.com/video/7621539907975294329</t>
    </r>
  </si>
  <si>
    <t xml:space="preserve">1860809808799108</t>
  </si>
  <si>
    <t xml:space="preserve">已重置</t>
  </si>
  <si>
    <t xml:space="preserve">谁懂啊!打车遇到退役军人司机， 安全感直接拉满#滴滴司机 师傅说：“以前保家卫国，现在保你平安到家~” #暖心瞬间 #退役军人 #打车奇遇</t>
  </si>
  <si>
    <t/>
    <r>
      <rPr>
        <u val="single"/>
        <color theme="10"/>
      </rPr>
      <t>https://www.douyin.com/note/7621580768725255525</t>
    </r>
  </si>
  <si>
    <t xml:space="preserve">1860809298743312</t>
  </si>
  <si>
    <t xml:space="preserve">紫苏草</t>
  </si>
  <si>
    <t xml:space="preserve">刮风下雨都是叫滴滴上下班，儿子说领导也是地铁上班，停车太难，路上又堵，他还说买了车天天晒太阳，天天掉价，还要停车费，各种费用，学车也要钱，还要时间，坚决不要车，所以说我家没有车，我觉得挺好，上海滴滴便宜，叫车很快接单！</t>
  </si>
  <si>
    <t/>
    <r>
      <rPr>
        <u val="single"/>
        <color theme="10"/>
      </rPr>
      <t>https://www.douyin.com/video/7621131594221657457</t>
    </r>
  </si>
  <si>
    <t xml:space="preserve">1860809108247592</t>
  </si>
  <si>
    <t xml:space="preserve">是陈叁叁咩</t>
  </si>
  <si>
    <t xml:space="preserve">谁懂打滴滴碰到了这一幕的救赎感 #可爱到爆炸💥 #滴滴司机 #车载鹦鹉 #高德打车</t>
  </si>
  <si>
    <t/>
    <r>
      <rPr>
        <u val="single"/>
        <color theme="10"/>
      </rPr>
      <t>https://www.douyin.com/video/7621099857121775019</t>
    </r>
  </si>
  <si>
    <t xml:space="preserve">1860808987580803</t>
  </si>
  <si>
    <t xml:space="preserve">wangCc⚡️</t>
  </si>
  <si>
    <t xml:space="preserve">初到杭州人生地不熟，打了个车前往目的地，当时滴滴系统出了问题我也上了车，师傅让我取消，我让师傅带我去目的地，我给他平台的价格，师傅同意了，一路上和师傅一直聊天，师傅是上海人非常随和人非常好，在一路上给我讲了很多人生感悟，给我讲了非常多的大道理，他儿子比我小一岁今年要高考，他认我不要操之过急，不要冲动先稳定下来，非常感谢师傅的一路讲解，任何人都可以是自己人生的导师，最后到达目的地，他毅然决然的给了我免单，非常感谢师傅，同时也让我受益匪浅，最后祝师傅驾车路上注意安全，平平安安到达，也祝他儿子高考顺利，前程似锦#这是个真实的事情 #滴滴司机 #暖心瞬间</t>
  </si>
  <si>
    <t/>
    <r>
      <rPr>
        <u val="single"/>
        <color theme="10"/>
      </rPr>
      <t>https://www.douyin.com/note/7621196315842001280</t>
    </r>
  </si>
  <si>
    <t xml:space="preserve">1860810659987130</t>
  </si>
  <si>
    <t xml:space="preserve">1860810460325019</t>
  </si>
  <si>
    <t xml:space="preserve">1860810352586216</t>
  </si>
  <si>
    <t xml:space="preserve">1860810221689947</t>
  </si>
  <si>
    <t xml:space="preserve">1860810124795467</t>
  </si>
  <si>
    <t xml:space="preserve">1861080894750793</t>
  </si>
  <si>
    <t xml:space="preserve">丸o.Q</t>
  </si>
  <si>
    <t xml:space="preserve">滴滴公交 拯救不会骑车的大学生！#厉害了我的车 #每天必打开的软件 #每天冷知识 #还有这种操作 #滴滴公交车</t>
  </si>
  <si>
    <t/>
    <r>
      <rPr>
        <u val="single"/>
        <color theme="10"/>
      </rPr>
      <t>https://www.douyin.com/note/7621941211725617849</t>
    </r>
  </si>
  <si>
    <t xml:space="preserve">1861080820807724</t>
  </si>
  <si>
    <t xml:space="preserve">一口甜☁️⋆</t>
  </si>
  <si>
    <t xml:space="preserve">打车的意外惊喜，一整车的柠檬香扑而来，司机师傅说是他家自己果园种的，还给我拿了两个嘉宝果和柠檬🍋，今天的快乐是司机师傅给的，直接好评#柠檬 #滴滴司机 #网约车那点事 #美好就在不远处#网约车</t>
  </si>
  <si>
    <t/>
    <r>
      <rPr>
        <u val="single"/>
        <color theme="10"/>
      </rPr>
      <t>https://www.douyin.com/video/7621904670667781553</t>
    </r>
  </si>
  <si>
    <t xml:space="preserve">1861080348774596</t>
  </si>
  <si>
    <t xml:space="preserve">晓雅姐</t>
  </si>
  <si>
    <t xml:space="preserve">#出行 #专车接送 今天遇到了好司机，来回返程一个小时左右，在我返程之前大概需要等二十分钟，司机一句怨言也没有，也没有一遍一遍催我，他也没下车抽烟什么的，静静在车里等我，滴滴专车的司机服务态度真不错，素质高，脾气好#滴滴专车</t>
  </si>
  <si>
    <t/>
    <r>
      <rPr>
        <u val="single"/>
        <color theme="10"/>
      </rPr>
      <t>https://www.douyin.com/video/7622163930036053684</t>
    </r>
  </si>
  <si>
    <t xml:space="preserve">1861081066157168</t>
  </si>
  <si>
    <t xml:space="preserve">无情四季豆</t>
  </si>
  <si>
    <t xml:space="preserve">真的被成都滴滴师傅的善意感动到了
一出机场雨下得特别大，也打不到车
好不容易打到车，一看上车点要走好远 还要淋雨
当我还想着怎么跑过去的时候，师傅打着伞来接我了，接到我之后直接把伞丢给我，自己淋雨提着我的箱子一路跑 还是好人多 呜呜呜 祝福师傅好人一生平平安安</t>
  </si>
  <si>
    <t/>
    <r>
      <rPr>
        <u val="single"/>
        <color theme="10"/>
      </rPr>
      <t>https://www.douyin.com/video/7621965075905249910</t>
    </r>
  </si>
  <si>
    <t xml:space="preserve">1861080972457164</t>
  </si>
  <si>
    <t xml:space="preserve">王多鱼🐟（文哥）</t>
  </si>
  <si>
    <t xml:space="preserve">体验一下网约公交</t>
  </si>
  <si>
    <t/>
    <r>
      <rPr>
        <u val="single"/>
        <color theme="10"/>
      </rPr>
      <t>https://www.douyin.com/video/7622625731391179151</t>
    </r>
  </si>
  <si>
    <t xml:space="preserve">1861081105512464</t>
  </si>
  <si>
    <t xml:space="preserve">䉫📸客LianA</t>
  </si>
  <si>
    <t xml:space="preserve">天等至南宁 超大滴滴巴士，每天只有两台车在跑三趟？🤔#广西超大运输集团 #客运 #文明出行</t>
  </si>
  <si>
    <t/>
    <r>
      <rPr>
        <u val="single"/>
        <color theme="10"/>
      </rPr>
      <t>https://www.douyin.com/video/7622531685897224689</t>
    </r>
  </si>
  <si>
    <t xml:space="preserve">1861081269304368</t>
  </si>
  <si>
    <t xml:space="preserve">1861166875505994</t>
  </si>
  <si>
    <t xml:space="preserve">Guci.</t>
  </si>
  <si>
    <t xml:space="preserve">谁懂啊!打车遇到，退役军人司机 安全感直接拉满#滴滴司机 师傅说：“以前保家卫国，现在保你平安到家#退役军人 #暖心瞬间 #打车奇遇</t>
  </si>
  <si>
    <t/>
    <r>
      <rPr>
        <u val="single"/>
        <color theme="10"/>
      </rPr>
      <t>https://www.douyin.com/note/7623066471988239337</t>
    </r>
  </si>
  <si>
    <t xml:space="preserve">1861166797979673</t>
  </si>
  <si>
    <t xml:space="preserve">傻二哥</t>
  </si>
  <si>
    <t xml:space="preserve">深圳爱心接力！志愿者极速奔跑+滴滴积极相助，遗失手机发车前1分钟物归原主，旅客泪目致谢。 今天上午8:35，我正在深圳东站开展志愿服务，一位神色焦急、在服务站外徘徊的女士引起了我的注意。她快步上前，向我诉说了自己的困境：这位邹女士要乘坐9:46的Z182次列车前往北京，从南山区西丽打滴滴到东站后，因第一次来此乘车、加上赶车匆忙，不慎将手机落在了网约车后座。 当时邹女士的情况十分紧急：记不住家人电话，所有钱款都在手机里，身上没有现金，只随身携带了身份证和护照。我立即帮忙拨打她的手机，可她的手机调了静音，连续拨打10通都无人接听。 为尽快找回手机，我第一时间联系深圳滴滴客服，详细说明情况。平台迅速响应，同步提供了司机联系方式，并协助沟通。我们联系上滴滴司机邹志学师傅时，他正有新订单，要送学生前往坂田街道黄金山。我们向他说明紧急情况，恳请他送完乘客后尽快将手机送回深圳东站。邹师傅十分热心，尽管早高峰拥堵，仍答应尽力赶过来。 时间来到9:10，邹师傅还未赶到，邹女士越来越着急，担心赶不上火车，也耽误在北京的重要行程。无奈之下，她向我提出暂借300元并愿意写下借条，承诺把手机密码告诉我让我联系其家人，后续让家人把北京地址发来，麻烦我收到手机后帮忙快递，并先行垫付司机车费，之后一并转回。 经现场核实，确认邹女士情况属实且十分特殊，我当场拿出300元借给她。接过钱时，邹女士当场落泪，连连感谢志愿者的热心帮助。考虑到她第一次来东站不熟悉路线，9:15左右，我将她护送到爱心候车室，并与工作人员做好交接，约定手机取回后第一时间送到她手中。 就在我准备返回服务站时，Z182次列车开始检票，邹女士几乎绝望，再三嘱托我拿到手机后务必联系她家人寄往北京。 安顿好邹女士后，我刚回到服务站，9:31就接到邹志学师傅的电话，说已快到布吉地铁站，让我前去领取手机。我立刻飞奔前往，9:35顺利取回手机。此时距离发车仅剩11分钟！ 我凭借曾经体育生的体能，以百米冲刺的速度冲向深圳东站，一路跑到3楼候车厅。得知列车停靠在最远的4号站台，我再次全速奔跑。到站后，经工作人员核实，确认邹女士就在这趟前往北京的列车上，位于最后一节16号车厢。 从5号车厢跑到16号车厢，我终于在车厢口找到了邹女士。仿佛冥冥之中注定相遇，我第一时间把手机交到她手中。邹女士解锁确认无误后，当场归还了300元借款，激动得热泪盈眶。 她哽咽着说，在深圳生活几十年，第一次如此真切感受到深圳志愿者的大爱与温暖，并表示从北京回来后，也要加入志愿者队伍，一起传递正能量、帮助更多人。 话音刚落，邹女士刚走进车厢，列车门就缓缓关闭。我们在发车前最后一分钟，成功将手机物归原主，让她安心乘车、顺利赴京办事。列车缓缓驶离，邹女士在车窗边不断挥手、点赞致谢，直到列车远去。 看着列车离开，我更加深刻体会到深圳志愿者的意义。我们或许做不出惊天动地的大事，但会用一颗热心、用“深圳奔跑速度”，为每一位需要帮助的人送去温暖与安心。这次匆忙又温暖的相遇，也成为一段珍贵的回忆。 在此特别感谢深圳滴滴平台高效联动，第一时间提供司机信息并主动回访；感谢滴滴司机邹志学师傅，不顾早高峰拥堵，加急折返送回手机。 这就是深圳，一场环环相扣的深圳爱心接力，从志愿者的挺身而出，到平台的高效协助，再到司机的暖心相助，爱与善意不断传递，让这座先锋城市愈发文明、和谐、温暖，也让每一个身处其中的人，都能感受到满满的温情与力量。</t>
  </si>
  <si>
    <t/>
    <r>
      <rPr>
        <u val="single"/>
        <color theme="10"/>
      </rPr>
      <t>https://www.douyin.com/note/7622970947830529457</t>
    </r>
  </si>
  <si>
    <t xml:space="preserve">1861166494768473</t>
  </si>
  <si>
    <t xml:space="preserve">1861166023888048</t>
  </si>
  <si>
    <t xml:space="preserve">1861165917053024</t>
  </si>
  <si>
    <t xml:space="preserve">1861166813081131</t>
  </si>
  <si>
    <t xml:space="preserve">1861263635099099</t>
  </si>
  <si>
    <t xml:space="preserve">早早早早睡</t>
  </si>
  <si>
    <t xml:space="preserve">打到这种滴滴网约车 扑面而来的安全感#退役军人 #滴滴司机 #致敬 #滴滴司机</t>
  </si>
  <si>
    <t/>
    <r>
      <rPr>
        <u val="single"/>
        <color theme="10"/>
      </rPr>
      <t>https://www.douyin.com/note/7623367834466321253</t>
    </r>
  </si>
  <si>
    <t xml:space="preserve">1861263513455787</t>
  </si>
  <si>
    <t xml:space="preserve">AO王的偏爱²⁰²⁶</t>
  </si>
  <si>
    <t xml:space="preserve">#大巴车</t>
  </si>
  <si>
    <t/>
    <r>
      <rPr>
        <u val="single"/>
        <color theme="10"/>
      </rPr>
      <t>https://www.douyin.com/video/7623358535632128435</t>
    </r>
  </si>
  <si>
    <t xml:space="preserve">1861263402964123</t>
  </si>
  <si>
    <t xml:space="preserve">沐沐小食光</t>
  </si>
  <si>
    <t xml:space="preserve">这滴滴车也太干净了吧！
一点异味都没有
关键是这车跑了几十万公里了，还能保持的这么干净
我一个女人自己的车都没法比，惭愧啊
#靠谱男司机 #杭州滴滴 #打车 #滴滴司机</t>
  </si>
  <si>
    <t/>
    <r>
      <rPr>
        <u val="single"/>
        <color theme="10"/>
      </rPr>
      <t>https://www.douyin.com/video/7623026166921225970</t>
    </r>
  </si>
  <si>
    <t xml:space="preserve">1861263207520778</t>
  </si>
  <si>
    <t xml:space="preserve">谁懂啊!打车遇到，退役军人司机
安全感直接拉满#滴滴司机 
师傅说：“以前保家卫国，现在保你平安到家#退役军人 #暖心瞬间 #打车奇遇</t>
  </si>
  <si>
    <t xml:space="preserve">1861263120420312</t>
  </si>
  <si>
    <t xml:space="preserve">1861263072724283</t>
  </si>
  <si>
    <t xml:space="preserve">1861349006744576</t>
  </si>
  <si>
    <t xml:space="preserve">1861349089661980</t>
  </si>
  <si>
    <t xml:space="preserve">1861349229160635</t>
  </si>
  <si>
    <t xml:space="preserve">养一只蒙丢丢</t>
  </si>
  <si>
    <t xml:space="preserve">北京的滴滴司机也太好了吧🤗，滴滴快车享受专车都享受不了的待遇，快下车了看我们都没拿，然后他抓了四个🍊送到了我们手里边#抖加小助手 #抖音热门 #抖音热门小助手</t>
  </si>
  <si>
    <t/>
    <r>
      <rPr>
        <u val="single"/>
        <color theme="10"/>
      </rPr>
      <t>https://www.douyin.com/video/7623768838857578048</t>
    </r>
  </si>
  <si>
    <t xml:space="preserve">1861349166766282</t>
  </si>
  <si>
    <t xml:space="preserve">不羁的风</t>
  </si>
  <si>
    <t xml:space="preserve">上海今天的雨很大 不仅打湿了我的双眸 还把这座魔幻城市冲刷得焕然一新 通过抖音平台实名表扬这位滴滴司机，因为有了这把保护伞，所以今天在魔没有湿身。 事情的经过是这样的，因为目的地在搞基建导致我的定位不是非常准确，司机师傅兜了很大一圈的路程（晚高峰时段）不仅没有一句怨言更没有让我更改地址加费用的想法。而是一直念叨外面的雨好大，临行前还“强制”我打开后背箱拿走了他仅有的一把小雨伞。#感恩#心存善念必得后福 #上海滴滴司机</t>
  </si>
  <si>
    <t/>
    <r>
      <rPr>
        <u val="single"/>
        <color theme="10"/>
      </rPr>
      <t>https://www.douyin.com/note/7623407790573423066</t>
    </r>
  </si>
  <si>
    <t xml:space="preserve">1861446236911660</t>
  </si>
  <si>
    <t xml:space="preserve">#出行 #专车接送 乘坐这样的专车出行，怎么会有司乘矛盾呢。先说司机；穿的干净整洁，上下车主动帮我拿东西，开车不接打电话，不玩手机，不刷短视频和微信语音聊天，驾驶平稳。再说车内环境；没有垃圾，没有异味，空间够大，空调开放温度舒适，这样的服务，我也无可挑剔，都是给了好评#滴滴专车 #专车接送</t>
  </si>
  <si>
    <t/>
    <r>
      <rPr>
        <u val="single"/>
        <color theme="10"/>
      </rPr>
      <t>https://www.douyin.com/video/7624113880570299215</t>
    </r>
  </si>
  <si>
    <t xml:space="preserve">1861799018265648</t>
  </si>
  <si>
    <t xml:space="preserve">牙抖音不抖🪥</t>
  </si>
  <si>
    <t xml:space="preserve">长见识了，才知道还有滴滴公交车 3块钱一个人#滴滴公交车 #</t>
  </si>
  <si>
    <t/>
    <r>
      <rPr>
        <u val="single"/>
        <color theme="10"/>
      </rPr>
      <t>https://www.douyin.com/video/7625090564824947065</t>
    </r>
  </si>
  <si>
    <t xml:space="preserve">1861798955226458</t>
  </si>
  <si>
    <t xml:space="preserve">￴￴ ￴￴陈伟</t>
  </si>
  <si>
    <t xml:space="preserve">那天我打了个滴滴 和往常一样开了车门要准备上车 可那天我一打开车门映入眼帘看到司机车上贴满了各国的钞票 和各国的祝福语 我先是愣了几秒 反过神来跟司机说了尾号 一般上车了我都会刷着手机 但那天我没有刷手机我看着车里蓬顶的钞票 周边 字条（虽然看不懂但肯定是很有意义的一句话）还有他与她的乘客？或者生活中碰到的外国人的合照 车窗来着吹进来的风 让我感觉到这个司机很爱生活也很爱记录又或者也很自由 让我想起了一句话“人生不要惧怕独行 没人会陪你做你喜欢的事 活得随性洒脱一点 不去看任何人的脸色时那便活成了自己”我想司机师傅也是个有趣的人吧 虽然短短几分钟的车程但却让我感觉到了不一样的惊喜 很值得#随性洒脱 #算了你肯定觉得没意思</t>
  </si>
  <si>
    <t/>
    <r>
      <rPr>
        <u val="single"/>
        <color theme="10"/>
      </rPr>
      <t>https://www.douyin.com/video/7624963816623740027</t>
    </r>
  </si>
  <si>
    <t xml:space="preserve">1861798830239888</t>
  </si>
  <si>
    <t xml:space="preserve">茉</t>
  </si>
  <si>
    <t xml:space="preserve">女性主义。今天经历了很多幸福的事情 第一件事：今天第一次启用了刷到的“滴滴女性友好计划”，即优先推荐女司机。我和姨妈出的门，我激动的和她介绍，说这样我们就可以打到香香的车了。大概是因为打车的人太多一直没有司机接单，我没了耐心，开始后悔，想着女司机肯定很少，所以一直打不到车，一会要取消这个什么女性友好计划，又感觉自己刚刚在姨妈面前的讲解很丢脸，万一来了个男司机咋办。又过了一会终于打到了车，我一看：居然还真是女司机，哇塞，是清新车，还是一年内新车！我当时特别开心，心里想着：这个女性计划太爽了吧（打脸刚才的我）上了车我又开始紧张，会不会司机只是一个女性但是脾气不好呢，没过多久我就改变了想法，这是一个非常豪爽的女司机。路上她热情的和我们聊天，前面有几个车要么绿灯看手机要么开车压线，还都是男司机，她就和我们吐槽，说：网上一直说女司机开车不行，我看见很多开的差的都是男司机，每次我看到他们是男的我就哈哈哈哈哈嘲笑他们；前两天她凌晨两点多看到一个单子二话没说就打电话问乘客要不要现在去接，得到肯定的答复穿上衣服就出门，还说美女人很好还打赏了100块钱（我感觉这件事对于她们俩都特别幸福） 第二件事：吃完午饭临时起意去看电影，想到了网上一直刷到的《我，许可》，又想起朋友圈里女生的推荐，我立刻下单直奔影院，这真的是一部特别好看的电影！好看到啥程度呢？作为一个从来不发表影评的人（因为感觉自己文笔不好，概括能力差）我实在有太多感触，又担心单一的文字不真诚，没有说服力，所以我洋洋洒洒在朋友圈写了800字观后感。我和一个朋友讨论，为啥这部电影没热度呢？真的太太太太可惜了。作为一部女性主义电影，它就拍女性！男性的镜头很少，更爽的是：许可的“隐形”爸爸从头至尾没露过脸，只有声音，充分表达了母女坚定的感情；此外，给许可做手术的主治医师也是女性！前面出场的男医生只能做助手！这个画面真的让我特别感动，完全凸显了女性的强大！电影结束我疯狂轰炸我妈陪我再看一遍，我有太多太多话想和她说，因为拍的真实到沉浸式体验我和我妈的相处be like，我太想让我的妈妈有专属于自己的精彩的人生了，所以我想着一定要让她看完这部电影勇敢做自己勇敢表达自己（当然我一直在努力） 最后，今天真的真的真的很幸福，让我切身体会到女性魅力时刻！#女性力量 #我，许可</t>
  </si>
  <si>
    <t/>
    <r>
      <rPr>
        <u val="single"/>
        <color theme="10"/>
      </rPr>
      <t>https://www.douyin.com/note/7625245014687938233</t>
    </r>
  </si>
  <si>
    <t xml:space="preserve">1861798705995948</t>
  </si>
  <si>
    <t xml:space="preserve">真褒义词！</t>
  </si>
  <si>
    <t xml:space="preserve">重庆新华网你好事做尽！！！！ 也是在滴滴上自己点歌了 #重庆 #张云雷 #滴滴出行</t>
  </si>
  <si>
    <t/>
    <r>
      <rPr>
        <u val="single"/>
        <color theme="10"/>
      </rPr>
      <t>https://www.douyin.com/video/7624320840444438116</t>
    </r>
  </si>
  <si>
    <t xml:space="preserve">1861798643635642</t>
  </si>
  <si>
    <t xml:space="preserve">Maisy</t>
  </si>
  <si>
    <t xml:space="preserve">大雨着急去和朋友吃饭被困在公司 于是滴滴师傅把车停在最近的停车场带伞来接我 路上跟我描述车况并一直道歉 从前这样的事情只有父亲做过 相同的还有那把倾斜的伞和淋湿的衣服 #雨 #沈阳美食 #滴滴司机 #服务业</t>
  </si>
  <si>
    <t/>
    <r>
      <rPr>
        <u val="single"/>
        <color theme="10"/>
      </rPr>
      <t>https://www.douyin.com/video/7624862115832787121</t>
    </r>
  </si>
  <si>
    <t xml:space="preserve">1861891988445332</t>
  </si>
  <si>
    <t xml:space="preserve">1861891821527081</t>
  </si>
  <si>
    <t xml:space="preserve">1861891004572736</t>
  </si>
  <si>
    <t xml:space="preserve">哎呦～wei♞🌽</t>
  </si>
  <si>
    <t xml:space="preserve">兖州真的是一个很有爱的城市，滴滴师傅都好有礼貌，也很有爱心，我定错位了 师傅转了一圈才接到我，然后路上我说没吃到济宁夹饼，师傅二话不说先把我送到目的地，然后关掉接单，掉头带我去买济宁夹饼，到了地方也不收钱，谢谢师傅在这里，米米祝您以后工作顺利一路平安顺遂，家庭美满，笑口常开</t>
  </si>
  <si>
    <t/>
    <r>
      <rPr>
        <u val="single"/>
        <color theme="10"/>
      </rPr>
      <t>https://www.douyin.com/video/7625846621917471208</t>
    </r>
  </si>
  <si>
    <t xml:space="preserve">投放中</t>
  </si>
  <si>
    <t xml:space="preserve">1861890910966824</t>
  </si>
  <si>
    <t xml:space="preserve">纯爷们</t>
  </si>
  <si>
    <t xml:space="preserve">昨天肚子疼了一天，从早上九点多到夜里十一点多，实在忍不住了，去了医院，结果说是急性阑尾炎。医生建议我住院动手术，夜里两点多了，给父母打了电话，是要回家看看，给导员请了假。吃了止痛药收拾完东西，从学校打车去火车站。刚上车没多会，司机问我抽烟吗，我接了然后跟他聊天。我说是不是晚上跑多了累了得抽一根提提神，司机大哥说是这样，问我明天开学了，都返校了为什么我回家了，我说阑尾炎回家动手术。大哥说人有啥别有病，我应答。大哥说自己带孩子在医院九个多月了，我询问。孩子得了白血病，九个多月话费了一百多个，然后我们都沉默了。大哥是上班族，为了孩子，晚上出来跑滴滴，我不知道该怎么安慰大哥。到站了，我下车了，跟司机大哥告了别，我是学生身上钱不多，大哥人很好，我通过平台给大哥发了50元，虽然很少，但是这个世界好人也很多，希望孩子早日康复#白血病 #阑尾炎 #大学生 #滴滴司机 #00后</t>
  </si>
  <si>
    <t/>
    <r>
      <rPr>
        <u val="single"/>
        <color theme="10"/>
      </rPr>
      <t>https://www.douyin.com/note/7625760714330410816</t>
    </r>
  </si>
  <si>
    <t xml:space="preserve">1861988338868377</t>
  </si>
  <si>
    <t xml:space="preserve">#出行 #专车接送 稳稳的好评给这司机，上车没有多久就很困睡着了。是到了目的地之后，他停稳车后才把我叫醒。中途是睡着了，但没有任何声音把我吵醒，也没有急刹车的感觉，如果开车不稳颠来倒去我也不会睡着，这只能说明司机觉悟很高，对待乘客像对待家人一样，这样的司机真的是太少碰见了，必须满满的好评给他#滴滴专车 #出行</t>
  </si>
  <si>
    <t/>
    <r>
      <rPr>
        <u val="single"/>
        <color theme="10"/>
      </rPr>
      <t>https://www.douyin.com/video/7626240521292568483</t>
    </r>
  </si>
  <si>
    <t xml:space="preserve">1861988218980809</t>
  </si>
  <si>
    <t xml:space="preserve">1862079406117083</t>
  </si>
  <si>
    <t xml:space="preserve">薇薇安的闪电侠</t>
  </si>
  <si>
    <t xml:space="preserve">第一次打到播放音乐的滴滴打车，还是我喜欢的音乐，并且还不臭的车，必须给司机大哥发个红包表示感谢一下，希望司机不要嫌弃太少哈 #滴滴打车</t>
  </si>
  <si>
    <t/>
    <r>
      <rPr>
        <u val="single"/>
        <color theme="10"/>
      </rPr>
      <t>https://www.douyin.com/video/7626715483103183604</t>
    </r>
  </si>
  <si>
    <t xml:space="preserve">1862079081317415</t>
  </si>
  <si>
    <t xml:space="preserve">善缘</t>
  </si>
  <si>
    <t xml:space="preserve">这两天被太多温柔善意包裹着。 因为天气突变，急着赶高铁，在小区门口焦急地等车，滴滴迟迟无人接单，心里又慌又乱，就在手足无措的时候，一位滴滴师傅缓缓摇下车窗，轻声问我：“小姑娘，是不是叫不到车？我车上还有位姑娘，这时师傅又问车上的姑娘可以吗？如果可以咱们顺路一起送过去。”那一刻，心里瞬间被照亮。 师傅先稳妥送完车上的乘客，又一路加急，绕远路也要把我准时送到车站，全程坚持不肯收一分钱。下车的瞬间，感动与感恩的泪水在眼眶里打转。 原来人间最暖的，从来不是惊天动地的大事，而是陌生人毫无保留的善意。 这份温暖我会好好珍藏在心底，也更加坚定，要一直心怀善念，向阳而行。 感恩遇见，感恩所有温柔相待。 也祝这位好心的师傅，平安顺利，一路好运。[合十][合十][合十]</t>
  </si>
  <si>
    <t/>
    <r>
      <rPr>
        <u val="single"/>
        <color theme="10"/>
      </rPr>
      <t>https://www.douyin.com/note/7626557894406165434</t>
    </r>
  </si>
  <si>
    <t xml:space="preserve">1862078858198032</t>
  </si>
  <si>
    <t xml:space="preserve">朵朵妹妹</t>
  </si>
  <si>
    <t xml:space="preserve">这次体验感真的超好，坐到了极氪009，晕车的我突然不晕了，司机亲自开门，车上再也没有异味，都是香香的，有吃有喝，这次没有播放司机准备的舒缓音乐，放了当下的流行音乐，嘴角很难压住啊，这次真的开心了#滴滴豪华车 #优质的服务 #不说了挣钱去了 #土狗日记 #豪华车体验 @抖音小助手 @DOU+小助手</t>
  </si>
  <si>
    <t/>
    <r>
      <rPr>
        <u val="single"/>
        <color theme="10"/>
      </rPr>
      <t>https://www.douyin.com/video/7626383694223907429</t>
    </r>
  </si>
  <si>
    <t xml:space="preserve">1862078715517290</t>
  </si>
  <si>
    <t xml:space="preserve">￴￴ .</t>
  </si>
  <si>
    <t xml:space="preserve">那天我打了个滴滴 和往常一样开了车门要准备上车 可那天我一打开车门映入眼帘看到司机车上贴满了各国的钞票 和各国的祝福语 我先是愣了几秒 反过神来跟司机说了尾号 一般上车了我都会刷着手机 但那天我没有刷手机我看着车里蓬顶的钞票 周边 字条（虽然看不懂但肯定是很有意义的一句话）还有他与她的乘客？或者生活中碰到的外国人的合照 车窗来着吹进来的风 让我感觉到这个司机很爱生活也很爱记录又或者也很自由 让我想起了一句话“人生不要惧怕独行 没人会陪你做你喜欢的事 活得随性洒脱一点 不去看任何人的脸色时那便活成了自己”我想司机师傅也是个有趣的人吧 虽然短短几分钟的车程但却让我感觉到了不一样的惊喜 很值得#随性洒脱 #算了你肯定觉得没意思 如果车主刷到不希望发布我会删掉</t>
  </si>
  <si>
    <t xml:space="preserve">1862346176511060</t>
  </si>
  <si>
    <t xml:space="preserve">beo_mmunga_</t>
  </si>
  <si>
    <t xml:space="preserve">遇到了这辈子最合拍的滴滴师傅😂😂#滴滴司机 #心软的神 #k歌之王</t>
  </si>
  <si>
    <t/>
    <r>
      <rPr>
        <u val="single"/>
        <color theme="10"/>
      </rPr>
      <t>https://www.douyin.com/video/7627890045047581027</t>
    </r>
  </si>
  <si>
    <t xml:space="preserve">1862346094324251</t>
  </si>
  <si>
    <t xml:space="preserve">黄山竹</t>
  </si>
  <si>
    <t xml:space="preserve">方便市民出行</t>
  </si>
  <si>
    <t/>
    <r>
      <rPr>
        <u val="single"/>
        <color theme="10"/>
      </rPr>
      <t>https://www.douyin.com/note/7627440028503106771</t>
    </r>
  </si>
  <si>
    <t xml:space="preserve">1862346022634936</t>
  </si>
  <si>
    <t xml:space="preserve">人间小迷糊</t>
  </si>
  <si>
    <t xml:space="preserve">今天的滴滴司机应该是一个灵魂很有趣的人呢👍 多么可可爱爱ෆ╹ .̮ ╹ෆ的人，才能配出这么有趣的文字~</t>
  </si>
  <si>
    <t/>
    <r>
      <rPr>
        <u val="single"/>
        <color theme="10"/>
      </rPr>
      <t>https://www.douyin.com/note/7626984999901013113</t>
    </r>
  </si>
  <si>
    <t xml:space="preserve">1862346017396827</t>
  </si>
  <si>
    <t xml:space="preserve">Y悟空</t>
  </si>
  <si>
    <t xml:space="preserve">#潮玩驾驶 #车载搭子 #滴滴司机</t>
  </si>
  <si>
    <t/>
    <r>
      <rPr>
        <u val="single"/>
        <color theme="10"/>
      </rPr>
      <t>https://www.douyin.com/video/7627467421783603045</t>
    </r>
  </si>
  <si>
    <t xml:space="preserve">1862442055600204</t>
  </si>
  <si>
    <t xml:space="preserve">1862441140235897</t>
  </si>
  <si>
    <t xml:space="preserve">☎️@永欢生态农场</t>
  </si>
  <si>
    <t xml:space="preserve">打个滴滴司机师傅都是个美女，现在行业那么卷了吗？</t>
  </si>
  <si>
    <t/>
    <r>
      <rPr>
        <u val="single"/>
        <color theme="10"/>
      </rPr>
      <t>https://www.douyin.com/video/7627656361078613477</t>
    </r>
  </si>
  <si>
    <t xml:space="preserve">1862441055914315</t>
  </si>
  <si>
    <t xml:space="preserve">CHN</t>
  </si>
  <si>
    <t xml:space="preserve">滴滴真的什么车都能打到！曾经的豪华电车，有幸优享到了，车还是很不错的，尤其劳斯莱斯的开门！ #高合hiphix #滴滴 #新能源汽车</t>
  </si>
  <si>
    <t/>
    <r>
      <rPr>
        <u val="single"/>
        <color theme="10"/>
      </rPr>
      <t>https://www.douyin.com/video/7628055768176180586</t>
    </r>
  </si>
  <si>
    <t xml:space="preserve">1862529363371024</t>
  </si>
  <si>
    <t xml:space="preserve">保山小韩</t>
  </si>
  <si>
    <t xml:space="preserve">这是我坐过最暖心的滴滴车，人都会疲惫，会黯淡，但也会因为某个瞬间重新爱上生活#滴滴车内的小细节#云南保山#治愈世界治愈你</t>
  </si>
  <si>
    <t/>
    <r>
      <rPr>
        <u val="single"/>
        <color theme="10"/>
      </rPr>
      <t>https://www.douyin.com/video/7628593020561465713</t>
    </r>
  </si>
  <si>
    <t xml:space="preserve">1862529328101739</t>
  </si>
  <si>
    <t xml:space="preserve">1862529295873385</t>
  </si>
  <si>
    <t xml:space="preserve">茉香·姜婷婷</t>
  </si>
  <si>
    <t xml:space="preserve">我们不是他人口中的“小店小厂”， 当我们集结成为匠心联盟， 蚂蚁军团可食象。</t>
  </si>
  <si>
    <t/>
    <r>
      <rPr>
        <u val="single"/>
        <color theme="10"/>
      </rPr>
      <t>https://www.douyin.com/video/7628568501427008241</t>
    </r>
  </si>
  <si>
    <t xml:space="preserve">1862622884619523</t>
  </si>
  <si>
    <t xml:space="preserve">汪涛和导盲犬叮当</t>
  </si>
  <si>
    <t xml:space="preserve">带导盲犬叮当在福州坐滴滴，被一位暖心交警狠狠治愈。 带着导盲犬叮当在福州路边等候滴滴，因视线不便，我只能将手机贴在耳边听单，加上排队车辆较多，在路口徘徊等待了很久。
这位帅气的交警远远便注意到我的困境，主动快步走来细心询问需求，全程温柔耐心地引导我和叮当安全乘车。
没有华丽的言辞，却用最朴实的行动，给予了我十足的安全感。对我们视障群体而言，每一次顺畅出行，都离不开陌生人的善意与关照。
这座城市的温度，就藏在这样细致入微的守护里。有幸成为有福之人，身处有福之州，真心为福州点赞，也向这位暖心交警致以最诚挚的感谢✨#导盲犬 #导盲犬叮当 #福州交警 #暖心瞬间 #无障碍出行 </t>
  </si>
  <si>
    <t/>
    <r>
      <rPr>
        <u val="single"/>
        <color theme="10"/>
      </rPr>
      <t>https://www.douyin.com/video/7629141999672840169</t>
    </r>
  </si>
  <si>
    <t xml:space="preserve">1862622827086848</t>
  </si>
  <si>
    <t xml:space="preserve">恭喜啊小富婆</t>
  </si>
  <si>
    <t xml:space="preserve">隔一天洗一次！干一行爱一行，一行白鹭上青天！ #滴滴司机 #日常vlog #搞笑 #搞笑视频 #出门必备</t>
  </si>
  <si>
    <t/>
    <r>
      <rPr>
        <u val="single"/>
        <color theme="10"/>
      </rPr>
      <t>https://www.douyin.com/video/7628175992222109553</t>
    </r>
  </si>
  <si>
    <t xml:space="preserve">1862713679345850</t>
  </si>
  <si>
    <t xml:space="preserve">兵哥跑车</t>
  </si>
  <si>
    <t xml:space="preserve">滴滴香卡来啦#滴滴北京限定香卡 #把北京景点挂到车上</t>
  </si>
  <si>
    <t/>
    <r>
      <rPr>
        <u val="single"/>
        <color theme="10"/>
      </rPr>
      <t>https://www.douyin.com/video/7628928486560089529</t>
    </r>
  </si>
  <si>
    <t xml:space="preserve">1862713611517993</t>
  </si>
  <si>
    <t xml:space="preserve">1862984208574544</t>
  </si>
  <si>
    <t xml:space="preserve">悠悠的视界</t>
  </si>
  <si>
    <t xml:space="preserve">武汉人去黄石也太方便了吧，黄石首条滴滴站点巴士线路要来了，黄石往返武汉线路将于4月16日正式通车，往返双向车票黄石至武昌线路限时体验价14.9元起#黄石到武汉 #滴滴站点巴士 #黄石出行 #武汉通勤 #城际出行</t>
  </si>
  <si>
    <t/>
    <r>
      <rPr>
        <u val="single"/>
        <color theme="10"/>
      </rPr>
      <t>https://www.douyin.com/video/7629126711086685289</t>
    </r>
  </si>
  <si>
    <t xml:space="preserve">1862984021533722</t>
  </si>
  <si>
    <t xml:space="preserve">飘雪</t>
  </si>
  <si>
    <t xml:space="preserve">#滴滴站点巴士 #成都到广元39.9</t>
  </si>
  <si>
    <t/>
    <r>
      <rPr>
        <u val="single"/>
        <color theme="10"/>
      </rPr>
      <t>https://www.douyin.com/video/7630433467185514597</t>
    </r>
  </si>
  <si>
    <t xml:space="preserve">1862984023878736</t>
  </si>
  <si>
    <t xml:space="preserve">佩琪</t>
  </si>
  <si>
    <t xml:space="preserve">#滴滴司机 今天遇到一个57岁还在开滴滴的叔叔，他说他要挣钱，他儿子开了一个装修公司在亏钱，他希望可以帮他一把，看见他跟我父亲的年龄差不多大，莫名有一股亲切，特别是在聊天中得知他住在车里，为了跑车没有住宿，开到哪儿就是哪儿，差不多一周接到老家的单子就回去一次盐城，我问他：叔你为什么不在老家跑，要来苏州，他笑着说苏州的单价比老家高，感觉心里五味杂陈，快60岁的叔叔都不敢休息，甚至比年轻人都还努力，为了生活，为了家人，我跟他说好晚上从溧阳回苏州还坐他的车，刚开十分钟的路上他说有一个单子送货170元，他想接，可惜和我不顺路，不知道是不是因为我的家人也在跑车，我毫不犹豫的说你接吧，没事，就这样叔叔特别开心，又害怕我回去的晚，又害怕我困，他说你在车里睡，没事，路上歌都不敢放，怕打扰我睡觉，专门从后面把他的厚衣服给我说一会冷，而我怕他打瞌睡，跟他说让他放歌没事的，我睡意很深，他也一路都没有放，我从心里感觉到他的不安怕我不高兴多坐两个小时而他又不想放弃这一单，所以一路小心翼翼，其实他不知道我跟他很同频，很体谅他的不意，人生就是这样，一路走来遇到的每一件事都是在学习，也是在体会社会的人情冷暖，社会上还是甜更多一点，同样希望我的家人在跑车的时候，他们也能遇见一点甜和理解，每一个工作都很不容易，刷新了对跑车司机的认知，真的很辛苦，也坚信社会上只要大家都有有爱，社会就会多点爱！</t>
  </si>
  <si>
    <t/>
    <r>
      <rPr>
        <u val="single"/>
        <color theme="10"/>
      </rPr>
      <t>https://www.douyin.com/video/7630163601161398178</t>
    </r>
  </si>
  <si>
    <t xml:space="preserve">1862983952626995</t>
  </si>
  <si>
    <t xml:space="preserve">英</t>
  </si>
  <si>
    <t xml:space="preserve">2026.4.19日，今天从峨眉坐滴滴巴士来成都，就是为了明天带妈妈到华西看病。提前一天过来，就是为了省钱、省时间、少折腾。 这个滴滴巴士真的很方便， 23块9一个人，直接到华西坝下车， 两个小时多一点就到了。到了就在华西旁边找个小旅馆，50块左右，干净又便宜。这样明天早上就不用早起赶车， 可以多休息一下，带妈妈看病也轻松点。分享一下，峨眉到华西， 坐这个滴滴巴士真的很省心！#滴滴巴士 #华西医院 #记录真实生活 #</t>
  </si>
  <si>
    <t/>
    <r>
      <rPr>
        <u val="single"/>
        <color theme="10"/>
      </rPr>
      <t>https://www.douyin.com/video/7630474109919557051</t>
    </r>
  </si>
  <si>
    <t xml:space="preserve">1862983879676467</t>
  </si>
  <si>
    <t xml:space="preserve">带叮当在福州坐滴滴遇到一位热心司机，一路交谈满是温暖！ 带着导盲犬叮当出行，在福州偶遇一位暖心滴滴司机。一路交谈满是善意，司机细心询问导盲犬的相关事宜，得知我视障却坚守中医针灸推拿医师岗位，还坚持拍摄剪辑视频，毫不吝啬给予认可与敬佩，真诚的善意让这段旅途格外温暖。
感谢这位善良有爱的司机，更为福州点赞。这段时间身处福州，处处都能感受到包容与暖意，一座城市的真正温度，就藏在陌生人的尊重与善意里，藏在对每一个生命的温柔接纳中。
也和大家聊聊我的日常：作为视障者，我依靠手机旁白无障碍功能，靠听觉就能完成所有手机操作；拍摄视频用挂脖支架固定运动相机记录，剪辑也全程通过无障碍服务实现。
我主业是医院针灸推拿医师，所有视频都是业余休息时间创作，只为记录生活、传递微光。感谢每一份理解与包容，也恳请大家多多支持，愿这份城市温暖，能一直传递下去。#导盲犬 #导盲犬叮当 #滴滴司机 #盲人汪涛 #无障碍出行 </t>
  </si>
  <si>
    <t/>
    <r>
      <rPr>
        <u val="single"/>
        <color theme="10"/>
      </rPr>
      <t>https://www.douyin.com/video/7630071089049654198</t>
    </r>
  </si>
  <si>
    <t xml:space="preserve">1862983799691370</t>
  </si>
  <si>
    <t xml:space="preserve">知青</t>
  </si>
  <si>
    <t xml:space="preserve">上午去南昌汉代海昏候博物馆参观，我乘坐滴滴网约车，有幸遇上一个即开车技术好，又是南昌通的师傅，让我一路开心。#南昌交通 #司机 #夫妻日常 #海昏侯博物馆</t>
  </si>
  <si>
    <t/>
    <r>
      <rPr>
        <u val="single"/>
        <color theme="10"/>
      </rPr>
      <t>https://www.douyin.com/video/7629911775865505906</t>
    </r>
  </si>
  <si>
    <t xml:space="preserve">1862983516791900</t>
  </si>
  <si>
    <t xml:space="preserve">🧀</t>
  </si>
  <si>
    <t xml:space="preserve">第一次打到聋哑人司机的车，上车习惯性报了手机尾号，没注意到提示牌 习惯性跟司机打招呼 没理我 当我抬头的时候司机拿着提示牌给我看 这才明白他是聋哑人，瞬间愣住了心里很不得劲，本来再上车时就难受坐上去也不觉得危险，司机师傅全程6公里 15分钟很认真地在开车；这一路车上特别安静，放在以前我会在车上玩手机怕睡着。这次并没有玩全程15分钟都在安安静静地看着司机眼泪不由自主的就留了下来怕司机看见就扭头看向了窗外 心里很难受。到达目的地之后我还是说了句感谢师傅 再见！是当时在车上现搜现学的手势语 司机师傅笑着点了点头回了挥手！提前还用文字打出来给司机看；努力生活的人，一定可以生活愉快幸福！#听障人士#滴滴司机#努力生活#正能量</t>
  </si>
  <si>
    <t/>
    <r>
      <rPr>
        <u val="single"/>
        <color theme="10"/>
      </rPr>
      <t>https://www.douyin.com/note/7630280919329366708</t>
    </r>
  </si>
  <si>
    <t xml:space="preserve">1862983448389644</t>
  </si>
  <si>
    <t xml:space="preserve">桃子欧尼</t>
  </si>
  <si>
    <t xml:space="preserve">加班的坏心情得到了治愈～#打车奇遇 #退役军人 #滴滴司机 #致敬 #dou上热门</t>
  </si>
  <si>
    <t/>
    <r>
      <rPr>
        <u val="single"/>
        <color theme="10"/>
      </rPr>
      <t>https://www.douyin.com/note/7630389147651540148</t>
    </r>
  </si>
  <si>
    <t xml:space="preserve">1863167290700467</t>
  </si>
  <si>
    <t xml:space="preserve">养森不能碰—第11年</t>
  </si>
  <si>
    <t xml:space="preserve">#记录我的生活 又回老家彭山了</t>
  </si>
  <si>
    <t/>
    <r>
      <rPr>
        <u val="single"/>
        <color theme="10"/>
      </rPr>
      <t>https://www.douyin.com/video/7631151287887270757</t>
    </r>
  </si>
  <si>
    <t xml:space="preserve">1863167218118800</t>
  </si>
  <si>
    <t xml:space="preserve">余梦似海</t>
  </si>
  <si>
    <t xml:space="preserve">姐妹们！高德打车跟滴滴打车是有区别的你们知道吗？高德打车是出租车公司直接给你选择路线，就是大家都懂的，绕圈子路线，他不是按照最近路线给你选，滴滴打车是可以自己选路线的，我分享出来让不懂的姐妹打车出租车意避坑##出行 #出租车 #高德打车 #注意避坑#记录真实生活</t>
  </si>
  <si>
    <t/>
    <r>
      <rPr>
        <u val="single"/>
        <color theme="10"/>
      </rPr>
      <t>https://www.douyin.com/video/7631145389820062201</t>
    </r>
  </si>
  <si>
    <t xml:space="preserve">1863167128495428</t>
  </si>
  <si>
    <t xml:space="preserve">年年</t>
  </si>
  <si>
    <t xml:space="preserve">岳阳的滴滴司机这么有节目的吗？！
听爽了！！
#GAI #功夫胖 #山歌王#说唱 #gblock</t>
  </si>
  <si>
    <t/>
    <r>
      <rPr>
        <u val="single"/>
        <color theme="10"/>
      </rPr>
      <t>https://www.douyin.com/video/7630833058359450441</t>
    </r>
  </si>
  <si>
    <t xml:space="preserve">1863257322589451</t>
  </si>
  <si>
    <t xml:space="preserve">篠濲裲</t>
  </si>
  <si>
    <t xml:space="preserve">作为一个在南昌的外地人，经常刷到网上吐槽超雄司机，就让我来说说昨天晚上有幸打到的这位滴滴车司机师傅吧，晚上朋友邀请共同好友家中小聚，下雨被好朋友撑伞送到车门口，一上车按流程起步，我就扶额靠着车玻璃，做好了晕车的准备，因为本人很会晕车，特别吃饱了之后更加🤣，师傅看到就问候是否是晕车并开始有一句没一句的聊着分散着注意力，感觉确实也不怎么晕了，路上的雨一直是没有停的，途径滕王阁隧道，一进入隧道，师傅居然贴心的打开了车窗，此刻我真的是彻底的不晕车了，过完隧道师傅马上就关闭了车窗，晕车的不适感在此刻已经是彻底不见了，如此细心的师傅值得被更多人看见，衷心的祝您好运千万，平安回还，阖家幸福！ @南昌文旅 @滴滴出行司机中心官方账号 @滴滴客服-滴滴出行 @南昌新闻 #南昌</t>
  </si>
  <si>
    <t/>
    <r>
      <rPr>
        <u val="single"/>
        <color theme="10"/>
      </rPr>
      <t>https://www.douyin.com/note/7631161091032347131</t>
    </r>
  </si>
  <si>
    <t xml:space="preserve">1863257270992976</t>
  </si>
  <si>
    <t xml:space="preserve">妙童</t>
  </si>
  <si>
    <t xml:space="preserve">西安滴滴上大分，车内卫生，司机形象，司机服务，司机素养真是给西安贴金！西装，白手套，矿泉水，卫生纸，给你挑最短的路线跑，很温暖！👍#西安 #西安滴滴</t>
  </si>
  <si>
    <t/>
    <r>
      <rPr>
        <u val="single"/>
        <color theme="10"/>
      </rPr>
      <t>https://www.douyin.com/video/7631406422018455730</t>
    </r>
  </si>
  <si>
    <t xml:space="preserve">1863257202887049</t>
  </si>
  <si>
    <t xml:space="preserve">夏天</t>
  </si>
  <si>
    <t xml:space="preserve">打了个滴滴车回家路上看到一个老公公滑倒了，车都已经开过去了我跟司机说我要去帮他，司机也挺热心的，就立马路边停车跟着我一起过去了，下雨天太滑了他骑电动车滑倒了，脸朝地满脸都是血，一个人失魂落魄的趴在地上的几分钟，也不知道他在想什么，不知道是不是也会想年轻时候意气风发的模样，也不知道其他路过的人为啥都没有去帮助他，帮他叫了110和120，后来又帮忙把他扶起来了，后来警察来了我们也走了，不知道他是谁的老公，谁的爸爸，那一瞬间感觉有点心酸，人都是会老的，今天又做了一件好事，感觉很开心，想起前几年也救过一个中年人，发了抖音视频还小火了一下，相信做的好事都会有福报的，希望抖音也多宣传这种正能量#救人 #老人</t>
  </si>
  <si>
    <t/>
    <r>
      <rPr>
        <u val="single"/>
        <color theme="10"/>
      </rPr>
      <t>https://www.douyin.com/video/7631062852215782976</t>
    </r>
  </si>
  <si>
    <t xml:space="preserve">1863257134307512</t>
  </si>
  <si>
    <t xml:space="preserve">清泉~漂荷</t>
  </si>
  <si>
    <t xml:space="preserve">🚗这滴滴师傅也太会了吧！导航屏前插满鲜花💐瞬间治愈所有疲惫～生活美学不分职业！ #车载小确幸 #美来自生活</t>
  </si>
  <si>
    <t/>
    <r>
      <rPr>
        <u val="single"/>
        <color theme="10"/>
      </rPr>
      <t>https://www.douyin.com/video/7631159721408326771</t>
    </r>
  </si>
  <si>
    <t xml:space="preserve">1863353821676636</t>
  </si>
  <si>
    <t xml:space="preserve">沉积岩✨</t>
  </si>
  <si>
    <t xml:space="preserve">打车碰到的特别有趣而且经历丰富的司机师傅我不行了。#车内搞笑对话 #滴滴司机 #吃货日常分享</t>
  </si>
  <si>
    <t/>
    <r>
      <rPr>
        <u val="single"/>
        <color theme="10"/>
      </rPr>
      <t>https://www.douyin.com/video/7631919828249700068</t>
    </r>
  </si>
  <si>
    <t xml:space="preserve">1863353686366304</t>
  </si>
  <si>
    <t xml:space="preserve">垚外婆爱生活</t>
  </si>
  <si>
    <t xml:space="preserve">谁懂啊！早晨打车送外孙上学偶遇到退役军人司机，安全感直接拉满。师傅对着孩子说：“以前叔叔保家卫国，现在保你平安到学校～” #滴滴司机#退役军人#暖心瞬间#打车奇遇</t>
  </si>
  <si>
    <t/>
    <r>
      <rPr>
        <u val="single"/>
        <color theme="10"/>
      </rPr>
      <t>https://www.douyin.com/video/7631754234015477361</t>
    </r>
  </si>
  <si>
    <t xml:space="preserve">1863623570478355</t>
  </si>
  <si>
    <t xml:space="preserve">狼道大狮</t>
  </si>
  <si>
    <t xml:space="preserve">打卡春天里的第一趟网约公交车！#网约公交车 #常熟公交 #常熟</t>
  </si>
  <si>
    <t/>
    <r>
      <rPr>
        <u val="single"/>
        <color theme="10"/>
      </rPr>
      <t>https://www.douyin.com/video/7631754660667995892</t>
    </r>
  </si>
  <si>
    <t xml:space="preserve">1863623542868235</t>
  </si>
  <si>
    <t xml:space="preserve">CS第一深情798</t>
  </si>
  <si>
    <t xml:space="preserve">#常熟网约公共 特地去试乘了一下。蛮不错！！！</t>
  </si>
  <si>
    <t/>
    <r>
      <rPr>
        <u val="single"/>
        <color theme="10"/>
      </rPr>
      <t>https://www.douyin.com/video/7631938177683662579</t>
    </r>
  </si>
  <si>
    <t xml:space="preserve">1863623498431977</t>
  </si>
  <si>
    <t xml:space="preserve">小夭</t>
  </si>
  <si>
    <t xml:space="preserve">预约的6.35的车，早上6点就到了，师傅说他没事，就等着我，让我慢慢收拾，足足等了我快40分钟。滴滴师傅太不容易了，开着30多万的车接送乘客，勤劳工作，兢兢业业，在此也祝愿所有辛苦坚持工作，肩负家庭重担的平凡的我们，平安，幸福！#滴滴司机 #辛勤劳动者</t>
  </si>
  <si>
    <t/>
    <r>
      <rPr>
        <u val="single"/>
        <color theme="10"/>
      </rPr>
      <t>https://www.douyin.com/video/7632465056047360442</t>
    </r>
  </si>
  <si>
    <t xml:space="preserve">1863623374949656</t>
  </si>
  <si>
    <t xml:space="preserve">🐳小🐬</t>
  </si>
  <si>
    <t xml:space="preserve">都说东北人疼孩子，这下见识到了 打了个滴滴，是个东北司机，接单后先是帮我们放行李，说“早上挺冷的，抱着孩子赶紧上车”，然后在车上把导航放一边，特意给孩子打开动画片，又怕孩子听不见，还把声音放到最大，东北人疼孩子，具像化了👍🤣#上热门 #东北人疼孩子 #滴滴司机</t>
  </si>
  <si>
    <t/>
    <r>
      <rPr>
        <u val="single"/>
        <color theme="10"/>
      </rPr>
      <t>https://www.douyin.com/video/7632511512201008505</t>
    </r>
  </si>
  <si>
    <t xml:space="preserve">1863623346189796</t>
  </si>
  <si>
    <t xml:space="preserve">暴雨</t>
  </si>
  <si>
    <t xml:space="preserve">对我们女司机就是这样细心，外面飘的柳絮要开窗通风，还贴心的弄上了车窗网。车里也没有异味，也不会开车抽烟啥的#滴滴司机 #女司机 #柳絮</t>
  </si>
  <si>
    <t/>
    <r>
      <rPr>
        <u val="single"/>
        <color theme="10"/>
      </rPr>
      <t>https://www.douyin.com/note/7632617218002329514</t>
    </r>
  </si>
  <si>
    <t xml:space="preserve">1863623240853706</t>
  </si>
  <si>
    <t xml:space="preserve">Celestial Canvas</t>
  </si>
  <si>
    <t xml:space="preserve">花2美元坐豪华电动车，被按摩座椅直接惊到，直呼中国滴滴太香！ #老外看中国 #中国新能源汽车出行 #中国发展正能量 #美国人在中国真实体验 #英语听力</t>
  </si>
  <si>
    <t/>
    <r>
      <rPr>
        <u val="single"/>
        <color theme="10"/>
      </rPr>
      <t>https://www.douyin.com/video/7632889897694619264</t>
    </r>
  </si>
  <si>
    <t xml:space="preserve">1863711377802240</t>
  </si>
  <si>
    <t xml:space="preserve">1863711286022233</t>
  </si>
  <si>
    <t xml:space="preserve">悦己</t>
  </si>
  <si>
    <t xml:space="preserve">心若从容，万事不惊。 原本28-29号的行程，今早翻看通知发现是今天中午就要到场。距离发车仅剩一小时，脑子里瞬间理清所需物品，几分钟快速收拾完毕，从容叫车出发。 坐滴滴前往火车站，一路上轻松自在随口哼唱，刚好司机师傅也热爱听歌，一路同频合拍。闲聊间聊到家庭保障，师傅有意配置一份保单，保单已发送，返程再详细沟通。 越来越喜欢现在沉稳通透、遇事不慌的自己。一直深信，我永远都是运气最好的人。#车内温柔风 #温柔姐范儿</t>
  </si>
  <si>
    <t/>
    <r>
      <rPr>
        <u val="single"/>
        <color theme="10"/>
      </rPr>
      <t>https://www.douyin.com/video/7633260661108049226</t>
    </r>
  </si>
  <si>
    <t xml:space="preserve">1863811230939178</t>
  </si>
  <si>
    <t xml:space="preserve">林强</t>
  </si>
  <si>
    <t xml:space="preserve">滴滴网约车这哥们的车贴很有味道，直击人心，引人共鸣。所有的一切都瞬间被治愈了哈哈</t>
  </si>
  <si>
    <t/>
    <r>
      <rPr>
        <u val="single"/>
        <color theme="10"/>
      </rPr>
      <t>https://www.douyin.com/video/7632969984486313061</t>
    </r>
  </si>
  <si>
    <t xml:space="preserve">1863811061705739</t>
  </si>
  <si>
    <t xml:space="preserve">海韵</t>
  </si>
  <si>
    <t xml:space="preserve">这歌的小调调带勾勾儿，滴滴小哥儿的车摆件也挺搭！～</t>
  </si>
  <si>
    <t/>
    <r>
      <rPr>
        <u val="single"/>
        <color theme="10"/>
      </rPr>
      <t>https://www.douyin.com/video/7633007885915943606</t>
    </r>
  </si>
  <si>
    <t xml:space="preserve">1863810991328378</t>
  </si>
  <si>
    <t xml:space="preserve">梦姐</t>
  </si>
  <si>
    <t xml:space="preserve">今天坐出租车想唱歌，问师傅能否拍个抖音记录美好生活，师傅 #出租车司机 #即兴唱歌 #随拍</t>
  </si>
  <si>
    <t/>
    <r>
      <rPr>
        <u val="single"/>
        <color theme="10"/>
      </rPr>
      <t>https://www.douyin.com/video/7633786629181727609</t>
    </r>
  </si>
  <si>
    <t xml:space="preserve">1863810878172186</t>
  </si>
  <si>
    <t xml:space="preserve">娇娇与@导盲犬二锦锦的日常</t>
  </si>
  <si>
    <t xml:space="preserve">烟台滴滴出行师傅和芝罘湾码头工作人员太好了，鼓励看不见的我们 #多出来走走 #感谢工作人员你们辛苦了 </t>
  </si>
  <si>
    <t/>
    <r>
      <rPr>
        <u val="single"/>
        <color theme="10"/>
      </rPr>
      <t>https://www.douyin.com/video/7633750886359587048</t>
    </r>
  </si>
  <si>
    <t xml:space="preserve">1863893642891356</t>
  </si>
  <si>
    <t xml:space="preserve">多肉小城日记</t>
  </si>
  <si>
    <t xml:space="preserve">如果你在马鞍山打到这辆车，记得拿小礼物哟#滴滴打车 #滴滴司机 #网约车 #马鞍山 #宁马城际</t>
  </si>
  <si>
    <t/>
    <r>
      <rPr>
        <u val="single"/>
        <color theme="10"/>
      </rPr>
      <t>https://www.douyin.com/video/7633992971189784147</t>
    </r>
  </si>
  <si>
    <t xml:space="preserve">1863893521857548</t>
  </si>
  <si>
    <t xml:space="preserve">阿喆爱生活</t>
  </si>
  <si>
    <t xml:space="preserve">这个滴滴司机服务可以#滴滴</t>
  </si>
  <si>
    <t/>
    <r>
      <rPr>
        <u val="single"/>
        <color theme="10"/>
      </rPr>
      <t>https://www.douyin.com/video/7634026065808580795</t>
    </r>
  </si>
  <si>
    <t xml:space="preserve">1863893467681267</t>
  </si>
  <si>
    <t xml:space="preserve">芋泥啵啵</t>
  </si>
  <si>
    <t xml:space="preserve">我出门喜欢打专车的原因：专车司机穿戴整洁，文明礼貌，车里干干净净，没有异味，司机不会途中接电话，一句滴滴专车为您服务，行程中倍感亲切#滴滴专车 #专车接送 #滴滴司机</t>
  </si>
  <si>
    <t/>
    <r>
      <rPr>
        <u val="single"/>
        <color theme="10"/>
      </rPr>
      <t>https://www.douyin.com/note/7634169978048694630</t>
    </r>
  </si>
  <si>
    <t xml:space="preserve">1863893439989067</t>
  </si>
  <si>
    <t xml:space="preserve">小珍珠AH</t>
  </si>
  <si>
    <t xml:space="preserve">第一视角带大家乘坐蚌埠市区到滕湖机场的大巴#机场最新消息 #蚌埠 #蚌埠机场 #滕湖机场 #滕湖</t>
  </si>
  <si>
    <t/>
    <r>
      <rPr>
        <u val="single"/>
        <color theme="10"/>
      </rPr>
      <t>https://www.douyin.com/video/7634061256496521851</t>
    </r>
  </si>
  <si>
    <t xml:space="preserve">1863893395172855</t>
  </si>
  <si>
    <t xml:space="preserve">范思哲</t>
  </si>
  <si>
    <t xml:space="preserve">劫后余生。4.28 小记 昨天在这大山里发烧38.5，附近还没有车 甚至美团跑腿都不开通，方圆4公里都是山 一个药店都没有，有一种恐怖片的既视感 还好我冰雪聪明啊，直接使用滴滴打车 起点定到了市里的药房，终点定在了酒店 使用了一招钞能力，花了好几百打赏 让司机买了一瓶布洛芬软胶囊，救我狗命 摄影@元气爆爆 #度假 #旅游</t>
  </si>
  <si>
    <t/>
    <r>
      <rPr>
        <u val="single"/>
        <color theme="10"/>
      </rPr>
      <t>https://www.douyin.com/note/7634085219296901353</t>
    </r>
  </si>
  <si>
    <t xml:space="preserve">1864442322857160</t>
  </si>
  <si>
    <t xml:space="preserve">常熟热心姚阿姨</t>
  </si>
  <si>
    <t xml:space="preserve">滴滴小公交小可爱送我回家啦 </t>
  </si>
  <si>
    <t/>
    <r>
      <rPr>
        <u val="single"/>
        <color theme="10"/>
      </rPr>
      <t>https://www.douyin.com/video/7636034872154967707</t>
    </r>
  </si>
  <si>
    <t xml:space="preserve">1864442167282889</t>
  </si>
  <si>
    <t xml:space="preserve">Daniel_花木吴彦祖</t>
  </si>
  <si>
    <t xml:space="preserve">#公共交通 #巴士 人多出行的正确打开方式哦</t>
  </si>
  <si>
    <t/>
    <r>
      <rPr>
        <u val="single"/>
        <color theme="10"/>
      </rPr>
      <t>https://www.douyin.com/video/7635684064943428729</t>
    </r>
  </si>
  <si>
    <t xml:space="preserve">1864442075907081</t>
  </si>
  <si>
    <t xml:space="preserve">爱吃鱼的猫猫</t>
  </si>
  <si>
    <t xml:space="preserve">常熟市区新推出的滴滴公交，体验了一把。3元/人，随叫随到。#常熟#公交出行绿色低碳 #公交乘车体验 #公共交通</t>
  </si>
  <si>
    <t/>
    <r>
      <rPr>
        <u val="single"/>
        <color theme="10"/>
      </rPr>
      <t>https://www.douyin.com/note/7635922915368283775</t>
    </r>
  </si>
  <si>
    <t xml:space="preserve">1864442000198780</t>
  </si>
  <si>
    <t xml:space="preserve">寻找薇薇安·迈尔🎈</t>
  </si>
  <si>
    <t xml:space="preserve">滴滴的后座上，藏着一个被羽绒服裹得严严实实的小朋友。
司机师傅说，家里没人帮忙带，只能自己带着跑。
小小的他，大概是怕打扰到别人，把自己裹成一团，在衣服里为自己找了个安全的角落，一路都安安静静的。
我在想，如果我跟他说说话，他会不会就不觉得，自己坐在这里是一种麻烦？
试着搭话问他多大了、在哪上学，他才慢慢探出头，眼睛亮晶晶的，十岁的年纪，瘦瘦小小的。
下车的时候我跟他说小朋友拜拜，他认认真真地回了我好几遍。直到我关上车门，隔着车窗，还能听见他跟我道别。
能做的不多，在平台上给师傅发了个小红包，希望能给奔波的他们一点暖意。
希望今天之后，这个小小的孩子，不用再躲在衣服里小心翼翼，不再认为自己是个麻烦别人的小孩。</t>
  </si>
  <si>
    <t/>
    <r>
      <rPr>
        <u val="single"/>
        <color theme="10"/>
      </rPr>
      <t>https://www.douyin.com/note/7635545727879850313</t>
    </r>
  </si>
  <si>
    <t xml:space="preserve">1864441934068042</t>
  </si>
  <si>
    <t xml:space="preserve">马超Aster</t>
  </si>
  <si>
    <t xml:space="preserve">负债百万的滴滴司机告诉我，要好好爱自己 #滴滴司机 #爱情 #爱自己 #生活 #陌生人的温暖</t>
  </si>
  <si>
    <t/>
    <r>
      <rPr>
        <u val="single"/>
        <color theme="10"/>
      </rPr>
      <t>https://www.douyin.com/video/7636040612411755802</t>
    </r>
  </si>
  <si>
    <t xml:space="preserve">1864441868578000</t>
  </si>
  <si>
    <t xml:space="preserve">秋恋雪</t>
  </si>
  <si>
    <t xml:space="preserve">吹着长安街的晚风，邂逅天安门的夜色。遇到超暖心的滴滴师傅，细心放缓车速，成全每一份想定格盛世风景的心意。平凡人，最动人的温柔。#吃喝玩乐分享计划 #天安门 #北京夜景 #视觉冲击旅行 #视觉盛宴城市记忆</t>
  </si>
  <si>
    <t/>
    <r>
      <rPr>
        <u val="single"/>
        <color theme="10"/>
      </rPr>
      <t>https://www.douyin.com/video/7636020034524274043</t>
    </r>
  </si>
  <si>
    <t xml:space="preserve">1864441777438764</t>
  </si>
  <si>
    <t xml:space="preserve">吴安芝</t>
  </si>
  <si>
    <t xml:space="preserve">我评论了@浮生 的作品： 想起我之前夏天和朋友打车，朋友用的某地图打的一口价的车，司机就说，一口价的车没有空调服务司机还振振有词。我在某滴上打车，特惠也好特价也好，都有空调</t>
  </si>
  <si>
    <t/>
    <r>
      <rPr>
        <u val="single"/>
        <color theme="10"/>
      </rPr>
      <t>https://www.douyin.com/note/7636204932429437370</t>
    </r>
  </si>
  <si>
    <t xml:space="preserve">1864532074910819</t>
  </si>
  <si>
    <t xml:space="preserve">1864531923846564</t>
  </si>
  <si>
    <t xml:space="preserve">1864531771825208</t>
  </si>
  <si>
    <t xml:space="preserve">克莱因蓝</t>
  </si>
  <si>
    <t xml:space="preserve">现在滴滴瞬间都这么有品吗！#打车#出租车司机</t>
  </si>
  <si>
    <t/>
    <r>
      <rPr>
        <u val="single"/>
        <color theme="10"/>
      </rPr>
      <t>https://www.douyin.com/video/7637044455720278251</t>
    </r>
  </si>
  <si>
    <t xml:space="preserve">1864531483448548</t>
  </si>
  <si>
    <t xml:space="preserve">萬家幺女万和香</t>
  </si>
  <si>
    <t xml:space="preserve">今天坐滴滴车，师傅问我在哪里下单？我说在微信里面，他说怎么坐车的全部都是美女坐我的车？我说那你走桃花运了，他说美女，你气质太好，我说你也长得很帅，到底是他犯花痴，还是我犯花痴？都夸对方长得帅，其实夸对方帅也是一种礼貌</t>
  </si>
  <si>
    <t/>
    <r>
      <rPr>
        <u val="single"/>
        <color theme="10"/>
      </rPr>
      <t>https://www.douyin.com/video/7636826521273382309</t>
    </r>
  </si>
  <si>
    <t xml:space="preserve">1864627431004168</t>
  </si>
  <si>
    <t xml:space="preserve">1864627335958556</t>
  </si>
  <si>
    <t xml:space="preserve">吉玺</t>
  </si>
  <si>
    <t xml:space="preserve">家长是孩子的首任老师。现在只要有人对我们释放善意，孩子都会有感恩之心。比如昨天的滴滴司机，态度友善，还一路畅聊临下车我习惯性说了一声：“谢谢”！师傅立马说：期待下次还接你的订单，慢走！孩儿在旁边说：妈妈，给师傅一个好评吧，好评多了他的订单会多。 去餐厅吃饭，饭店老板炒了一大盆龙虾自己吃，我带着孩儿在邻桌吃，老板拿了孩子的筷子去夹了几只小龙虾笑眯眯地说：孩子你试试味道吧，我们都还没开始吃，是干净的，不辣的。瞬间我们的盘子里多了几只有温度、热气腾腾的虾，这个世界不缺善意，你要把爱先洒出去，能接住能量的人，爱出者爱返福往者福来。</t>
  </si>
  <si>
    <t/>
    <r>
      <rPr>
        <u val="single"/>
        <color theme="10"/>
      </rPr>
      <t>https://www.douyin.com/video/7636643841961216127</t>
    </r>
  </si>
  <si>
    <t xml:space="preserve">1864711080844361</t>
  </si>
  <si>
    <t xml:space="preserve">弦外故事</t>
  </si>
  <si>
    <t xml:space="preserve">刷爆朋友圈！谁能猜到网约车后座是歌神
陈奕迅打车偶遇歌迷沉浸式听歌
Eason忍不住开口跟唱恶搞司机
网友：滴滴现在还缺人么？ #陈奕迅 #唱歌 #明星 #删了她</t>
  </si>
  <si>
    <t/>
    <r>
      <rPr>
        <u val="single"/>
        <color theme="10"/>
      </rPr>
      <t>https://www.douyin.com/video/7637394139268615462</t>
    </r>
  </si>
  <si>
    <t xml:space="preserve">点赞评论-质量优先</t>
  </si>
  <si>
    <t xml:space="preserve">1864889771296812</t>
  </si>
  <si>
    <t xml:space="preserve">漫寻星📸.</t>
  </si>
  <si>
    <t xml:space="preserve">常熟这个不起眼的小城市，却有着网约公交😍不仅覆盖了部分公交线网空白，还方便了市民出行，别看车小，却总能跑出最快的时速，试运营期间，只需3元/人次，就能开启这段美妙旅程，非常有性价比🤓#公交车 #公交迷 #公共交通 #城市公交 #网约公交</t>
  </si>
  <si>
    <t/>
    <r>
      <rPr>
        <u val="single"/>
        <color theme="10"/>
      </rPr>
      <t>https://www.douyin.com/video/7637869144147080817</t>
    </r>
  </si>
  <si>
    <t xml:space="preserve">1865068424264896</t>
  </si>
  <si>
    <t xml:space="preserve">徐伟华</t>
  </si>
  <si>
    <t xml:space="preserve">出发啦！今天滴滴车司机是我的老乡，车内非常整洁！给他点赞！</t>
  </si>
  <si>
    <t/>
    <r>
      <rPr>
        <u val="single"/>
        <color theme="10"/>
      </rPr>
      <t>https://www.douyin.com/note/7638470477203931643</t>
    </r>
  </si>
  <si>
    <t xml:space="preserve">1865068346767592</t>
  </si>
  <si>
    <t xml:space="preserve">蘅若</t>
  </si>
  <si>
    <t xml:space="preserve">是不是南方的滴滴司机都帮忙拿行李呀，莫名的感觉很好</t>
  </si>
  <si>
    <t/>
    <r>
      <rPr>
        <u val="single"/>
        <color theme="10"/>
      </rPr>
      <t>https://www.douyin.com/note/7638835615421411577</t>
    </r>
  </si>
  <si>
    <t xml:space="preserve">1865249760710688</t>
  </si>
  <si>
    <t xml:space="preserve">骑境•路飞</t>
  </si>
  <si>
    <t xml:space="preserve">外胎爆了怎么办？ #扎胎了怎么办 #货拉拉 外胎首爆，完全没气，又穿鞋锁鞋，该咋么办呢？ 虽然只有2公里，但还是需要打车回家。 带自行车打车依旧很顺利：接单后提前给师傅说有自行车要带，到目的地后给一下感谢费……屡试不爽，但我还是不想爆胎打车</t>
  </si>
  <si>
    <t/>
    <r>
      <rPr>
        <u val="single"/>
        <color theme="10"/>
      </rPr>
      <t>https://www.douyin.com/video/7638908016368917681</t>
    </r>
  </si>
  <si>
    <t xml:space="preserve">1865249556421812</t>
  </si>
  <si>
    <t xml:space="preserve">不吃韭菜~</t>
  </si>
  <si>
    <t xml:space="preserve">第一次打到聋哑司机的车 当时赶着去上班 上车第一句话报了自己手机尾号 然而师傅没有理我 我抬头想继续说 司机师傅把手机给我 输入后四位 我才注意到 他是聋哑司机 瞬间愣住了 赶紧打开豆包搜了一下 原来聋哑师傅也能当滴滴司机 突然觉得他们这一行也好不容易 在车上我也不觉得危险⚠️ 师傅全程很认真的在开车 虽然医院🏥里有点绕 但师傅还是很耐心和我打手势问路 下车时我还是习惯性说了句谢谢师傅 然后用临时学的手语给他点赞👍 他也给我回了一个谢谢和赞👍的动作 然后笑着和我挥手🙋 努力生活的大家也一定要 全力以赴 奔赴远方！ #你们打车见过哪些神标语 #聋哑司机</t>
  </si>
  <si>
    <t/>
    <r>
      <rPr>
        <u val="single"/>
        <color theme="10"/>
      </rPr>
      <t>https://www.douyin.com/note/7639772595369289381</t>
    </r>
  </si>
  <si>
    <t xml:space="preserve">1865249516947616</t>
  </si>
  <si>
    <t xml:space="preserve">幕兮彤</t>
  </si>
  <si>
    <t xml:space="preserve">好可爱#拼车趣事 #滴滴司机</t>
  </si>
  <si>
    <t/>
    <r>
      <rPr>
        <u val="single"/>
        <color theme="10"/>
      </rPr>
      <t>https://www.douyin.com/note/7639700717046112383</t>
    </r>
  </si>
  <si>
    <t xml:space="preserve">1865249459190891</t>
  </si>
  <si>
    <t xml:space="preserve">婷宝儿💖</t>
  </si>
  <si>
    <t xml:space="preserve">平时上班打了这么多滴滴，第一次遇到这么干净又帅气的司机！坐起心情都要舒畅些</t>
  </si>
  <si>
    <t/>
    <r>
      <rPr>
        <u val="single"/>
        <color theme="10"/>
      </rPr>
      <t>https://www.douyin.com/video/7639539369804821434</t>
    </r>
  </si>
  <si>
    <t xml:space="preserve">1865249409391882</t>
  </si>
  <si>
    <t xml:space="preserve">美美姐🇨🇳🇭🇰</t>
  </si>
  <si>
    <t xml:space="preserve">5月12晚上我们在聚会回家叫的滴滴下车时把手机忘在了车上，回到家后大概半二十分钟左右发现手机不在，
电话一直都能打通，到天亮我一直没睡着，一直在回忆手机是不是在上没拿，手机里面太多东西才是最重要的，
天亮后我就登微信找到打车平台客服，客服说会加急帮我联系师傅，在联系我，等了差不小时我又打了客服电话，说他们也联系不上司机，
叫我报J帮我会快点，我就打了报J电话不到一分钟，我们住宅当地派出所就打电话过来了，叫我本人过去一下，我们过去十点多了简单问一下，给了他们车牌号，
几分钟后工作人员就出来大厅打电话给司机，问对方昨晚是不是去过某某地方车上有没有一部手机，对方回答是有一部，确认了一下手机型号，说叫我给车费帮我说过来，
工作人员把号码给让我们自已联系，我们就给师傅说你送过来我们会给你感谢费，做人要懂感恩，司傅叫我们加微信发定位给他晚上七八点送过来，事先转了一百车费过去，拿到手机后转的感谢费，
好在是师傅送完我们就回家了，他说拿到手机就帮我在车上的，
手机的归来让我重新感受到生活的温暖，惊喜交加，仿佛接力般传递着温暖。
手机失而复得，好运相伴，失而复得的喜悦难以言表。感谢那位好心人的善意，让我重新感受到了世界的温暖。
好人一生平安❤️#手机失而复得 #手机失回归原主 #失而复得的喜悦 @抖音小助手</t>
  </si>
  <si>
    <t/>
    <r>
      <rPr>
        <u val="single"/>
        <color theme="10"/>
      </rPr>
      <t>https://www.douyin.com/note/7639587991471701105</t>
    </r>
  </si>
  <si>
    <t xml:space="preserve">1865249350075428</t>
  </si>
  <si>
    <t xml:space="preserve">小六liu</t>
  </si>
  <si>
    <t xml:space="preserve">我将拥护滴滴打车#如何选择真正的靠谱平台 #女性安全 #滴滴出行</t>
  </si>
  <si>
    <t/>
    <r>
      <rPr>
        <u val="single"/>
        <color theme="10"/>
      </rPr>
      <t>https://www.douyin.com/note/7639360447649575034</t>
    </r>
  </si>
  <si>
    <t xml:space="preserve">1865249261714538</t>
  </si>
  <si>
    <t xml:space="preserve">宋疯恩🐌🦋</t>
  </si>
  <si>
    <t xml:space="preserve">我只敢在这个车里全程专心看手机 并且心里不会对路况感到担惊害怕#滴滴专车</t>
  </si>
  <si>
    <t/>
    <r>
      <rPr>
        <u val="single"/>
        <color theme="10"/>
      </rPr>
      <t>https://www.douyin.com/note/7639298762268064241</t>
    </r>
  </si>
  <si>
    <t xml:space="preserve">1865522349836665</t>
  </si>
  <si>
    <t xml:space="preserve">十亿少男的梦94</t>
  </si>
  <si>
    <t xml:space="preserve">宝宝巴士🚌 #新能源城市公交 #网约公交车谁懂啊！坐网约公交🚍有种坐宝宝巴士的快乐🎉</t>
  </si>
  <si>
    <t/>
    <r>
      <rPr>
        <u val="single"/>
        <color theme="10"/>
      </rPr>
      <t>https://www.douyin.com/video/7640834357934858225</t>
    </r>
  </si>
  <si>
    <t xml:space="preserve">1865522282156315</t>
  </si>
  <si>
    <t xml:space="preserve">FM101.6小仙</t>
  </si>
  <si>
    <t xml:space="preserve">和奶奶出门叫了个滴滴、师傅很热情，长得也挺帅，一路上聊的也挺嗨，结果奶奶拉着脸开始教育我，说我不要忘了自己结婚了，有老公还这样，说我不考虑孩子 我说我是叫的车、奶奶说你叫个个车也没见你付钱，然后说一声谢谢就下车了，你别以为我不知道，解释了半天，愣是没有解释清楚#搞笑奶奶 #搞笑视频</t>
  </si>
  <si>
    <t/>
    <r>
      <rPr>
        <u val="single"/>
        <color theme="10"/>
      </rPr>
      <t>https://www.douyin.com/video/7640775971604485993</t>
    </r>
  </si>
  <si>
    <t xml:space="preserve">1865522220324251</t>
  </si>
  <si>
    <t xml:space="preserve">小贝勒爷</t>
  </si>
  <si>
    <t xml:space="preserve">敬礼～安全感爆棚。打到中共党员师傅的车🚗 安全感直接拉满💯 这趟行程稳了，安全感爆棚～ #滴滴司机 #党员 #安全感 #滴滴</t>
  </si>
  <si>
    <t/>
    <r>
      <rPr>
        <u val="single"/>
        <color theme="10"/>
      </rPr>
      <t>https://www.douyin.com/note/7640097613844477669</t>
    </r>
  </si>
  <si>
    <t xml:space="preserve">1865522145434752</t>
  </si>
  <si>
    <t xml:space="preserve">逢时春迟月</t>
  </si>
  <si>
    <t xml:space="preserve">#特斯拉 上班打车打到特斯拉车主，开始以为我眼花了，我上车之后问叔叔，你开特斯拉跑滴滴啊，叔叔说那你觉得开特斯拉的应该干嘛，我说哪应该大部分白领吧，叔叔说开多好的车，也总不会一直都是顺风顺水，人生总会大起大落。#滴滴打车司机</t>
  </si>
  <si>
    <t/>
    <r>
      <rPr>
        <u val="single"/>
        <color theme="10"/>
      </rPr>
      <t>https://www.douyin.com/note/7640285558464104890</t>
    </r>
  </si>
  <si>
    <t xml:space="preserve">1865522035424633</t>
  </si>
  <si>
    <t xml:space="preserve">艾米</t>
  </si>
  <si>
    <t xml:space="preserve">咱也赶个时髦，头一次搭滴滴，还是个美女</t>
  </si>
  <si>
    <t/>
    <r>
      <rPr>
        <u val="single"/>
        <color theme="10"/>
      </rPr>
      <t>https://www.douyin.com/note/7640081270203342562</t>
    </r>
  </si>
  <si>
    <t xml:space="preserve">1865613579116544</t>
  </si>
  <si>
    <t xml:space="preserve">1865613478361284</t>
  </si>
  <si>
    <t xml:space="preserve">物是人非yaa(没回复就在睡觉或者在忙)</t>
  </si>
  <si>
    <t xml:space="preserve">#北川地震遗址2026年5月18日，绵阳安州区，天气暖和也不闷热。打了一辆滴滴去老北川地震遗址在聊天的过程中和滴滴师傅谈起来我这次去老北川地震遗址的想法，这位师傅姓郭，他自己也是512地震的经历者，他跟我谈起512的时候说，情况远比报道的还严重，具体的因为某些原因我就不说了。郭师傅人也是挺好的，他一边往老北川开过去，一边和我讲解路上的那些建筑情况。开到一座山上的时候，郭师傅说这条路以前是没有的，因为地震的原因，从两边劈开了，道路两侧仍可见巨大的石头，我说到:这么大的石头，郭师傅说:这还算小的勒。(继续往前走，可以看到通往外界的桥梁在地震中都已经断裂了)随后到达了老北川地震遗址入口处(如果你不是开车去的话，从那个北川酒店废墟门口那里也可以登记或者刷身份证进去)因为我们是开车的，所以往前面有停车的地方停下进去了。郭师傅是边走别跟我讲这里的情况，如果不是自己亲身经历的话，根本感觉不到地震的可怕，我察觉到了，郭师傅情绪有点不太好了，我叫他在门口等着，我进去看一下。(进到入口处登记的时候，天气稍微有点毛毛雨了，这时候郭师傅打来了电话问我要不要雨伞，我说不用)，之后我听进来的路边的一个阿姨说，她每次来这边看都会下雨，但又不下，不知道啥原因。进到废墟里面映入眼帘的是摇摇欲坠的危楼，这里的每家每户的楼房可以说是就像夹心饼干一样，被夹成了只有一层，只有遗址的图片介绍，才能展现出原先的外貌，警察局(县办公大楼)这边也有地震牺牲的警察(公职人员)，有的还很年轻，有的已经退休了。来到一个路口，往左边走上去，就是一个遇难者纪念碑，和被砸毁的车辆展示的地方(往右边那条小路过去就是公共卫生间)，可以见证当时灾情有多么严重了。之后老北川县城又经历了多次洪水，在一个电线杆还是什么的建筑上面刻有时间和洪水高度表。再往前走右边就有卖花的，15元一枝，买了一枝。往前走就是遇难者公墓了，往左手边楼梯上去就是景家山崩塌遗址，可以看到学校等其他所有建筑全部被巨石掩埋了(可以看见，能看得出之前楼梯台阶的形状其他的建筑完全被巨石所掩埋了)在正上方还有遇难者母亲，每年写给他(08)年16岁儿子贺川的信。在下方放有一排排的祭奠鲜花、小女孩喜欢的漂亮娃娃，小男孩喜欢的玩具手枪，最后我还去了趟位于任家坪的地震博物馆，但是星期一没开门。看到这些心里真的很不是滋味，就到这里吧，也不想说什么了。</t>
  </si>
  <si>
    <t/>
    <r>
      <rPr>
        <u val="single"/>
        <color theme="10"/>
      </rPr>
      <t>https://www.douyin.com/note/7641163045289481322</t>
    </r>
  </si>
  <si>
    <t xml:space="preserve">1865613435562154</t>
  </si>
  <si>
    <t xml:space="preserve">#专车接送 #出行 遇到好的司机真的是一种幸运，说话语气温和给人一种温暖，穿戴整齐干净给人一种清爽，这样的司机真的是自带财气的#滴滴专车 #专车</t>
  </si>
  <si>
    <t/>
    <r>
      <rPr>
        <u val="single"/>
        <color theme="10"/>
      </rPr>
      <t>https://www.douyin.com/video/7640813564869112942</t>
    </r>
  </si>
  <si>
    <t xml:space="preserve">1865613388515392</t>
  </si>
  <si>
    <t xml:space="preserve">丹哥🌈</t>
  </si>
  <si>
    <t xml:space="preserve">久了没打车，滴滴都是宝马#滴滴出行</t>
  </si>
  <si>
    <t/>
    <r>
      <rPr>
        <u val="single"/>
        <color theme="10"/>
      </rPr>
      <t>https://www.douyin.com/video/7640897437604151503</t>
    </r>
  </si>
  <si>
    <t xml:space="preserve">1865613328965664</t>
  </si>
  <si>
    <t xml:space="preserve">吃完芒果早点睡觉</t>
  </si>
  <si>
    <t xml:space="preserve">“人们常以缘分深厚作为亲近的借口，而以无缘，作为了却情谊的假辞而已，或许有一天真到了无路可去无法可解的地步，我也会说缘分已尽了吧。至于缘分，我总觉得事在人为，聚散离合，都不必拿缘分二字做托词。” 前段时间重新看《甄嬛传》的时候记下了这段话，后来我就想，缘分这两个字到底是什么样的。 上个月我去隔壁县城打一个比赛，嫌麻烦满课不想絮絮叨叨的和班主任解释一通再请假，周六十点的比赛，我买的当天一大早的火车票出发。从宿舍走到校门口的那段路我特别害怕，凌晨五点，在新疆还是半夜，一个手无缚鸡之力的女孩子要是真的遇到危险该怎么办。然后我在滴滴上叫车，有师傅接单的时候我仍然很紧张，再仔细一看，女司机，还是汉族的，我当时激动的立马发消息给我朋友：你知道半夜打车打到一个女司机的救赎感吗。我是真的特别感动，像是你正悬在半空中，有人伸手把你接住了。 上车后我很自然的和司机师傅说话：“姐，这个点遇到你我真是太安心了。”她乐了，说我是今天她接到的第一个客人，刚好往学校这边开就来单子了。那天我真的由衷的感叹我们俩非常有缘分。 正常来说故事到这里就该结束了。 直到前几天刚下周末放假前的最后一节课，我和朋友打车去环疆吃饭，校门口很多人叫车，我随便点了一个最便宜的快车想碰碰运气，正当我准备加价的时候刚好被接单了，后面出来没找到车接到师傅的电话，当时我就觉得声音很熟悉，上车之后愣神了好一会，我说：姐，我是不是坐过你车，你还记不记得。她也愣了，目光在后视镜里撞上，我急忙补充说就是有一天半夜去火车站，你说我是你第一个客人那个，她反应过来，笑着点头。虽然一路无言，但我心里特别踏实，和那天凌晨一样。下车的时候我说，谢谢姐，有缘再见，然后我们相继投入自己的生活里。 不知道为什么，越长大好像越来越相信缘分，相信因果，相信宿命。我和朋友聊天的时候总乐意讲到第一次认识的场景，回头想想，如果错一秒停留，少一回抬眼，换一种迟疑，天南地北人潮汹涌，是命运恰好松手，才让我们轻轻对上了榫卯，就是因为我们都正好做了什么事，才有了所谓缘分的果。 无数偏差构成的星河里，我们刚好共享了一刹的坐标。 可能有人会说，圈子这么小，该相遇的人早晚会相遇。可是遇到不同时刻的他，说了不同的话，交流了不一样的心情，也许故事的走向就大相径庭了吧。 一直有一个很热的讨论话题叫“如果结局注定分开，那相遇的意义是什么。”但是如果没有相遇，又何来分开的说辞，相遇不是为了一直在一起，而在于它本身激发的生命体验，缘起缘灭缘聚缘散，相识相遇相知都是缘，那么离别也是缘。 我说我念旧又重感情，其实我只是不擅长告别。每一个离开的人都在你的生命里留下了一场退不尽的潮，你给出了自己拼图的一块，也悄悄带走了对方的一块，你是所有相遇的产物，所以不要惦记遗憾，人生各有渡口各有归舟，只是缘分太浅，走过那么一段路也刚好。 #enfp #inmyfeeling #缘</t>
  </si>
  <si>
    <t/>
    <r>
      <rPr>
        <u val="single"/>
        <color theme="10"/>
      </rPr>
      <t>https://www.douyin.com/note/7640942718125977999</t>
    </r>
  </si>
  <si>
    <t xml:space="preserve">1865613253715043</t>
  </si>
  <si>
    <t xml:space="preserve">沧桑大叔</t>
  </si>
  <si>
    <t xml:space="preserve">【鲁BA29065】人啊一生能遇多少善良的人？感谢临沂好大哥滴滴出行夜班司机冒雨上百里地从胶州给我送回失物！！！#感谢好人一生平安 #两个龙虾🦞店为丁大哥终身免费吃#青岛好司机鲁BA29065</t>
  </si>
  <si>
    <t/>
    <r>
      <rPr>
        <u val="single"/>
        <color theme="10"/>
      </rPr>
      <t>https://www.douyin.com/video/7641120212301335651</t>
    </r>
  </si>
  <si>
    <t xml:space="preserve">1865881478766759</t>
  </si>
  <si>
    <t xml:space="preserve">冥币生产厂家～赵姐</t>
  </si>
  <si>
    <t xml:space="preserve">姐妹看看这是哪😃猜对有奖哈😂 温馨提示：此路段比较拥挤，不适合开车，滴滴出行比较方便，并且还能趁等车的时间抖音臭美🤣😂#我不尴尬尴尬的就是别人 🥱😳</t>
  </si>
  <si>
    <t/>
    <r>
      <rPr>
        <u val="single"/>
        <color theme="10"/>
      </rPr>
      <t>https://www.douyin.com/video/7641439405101877689</t>
    </r>
  </si>
  <si>
    <t xml:space="preserve">1865881441165448</t>
  </si>
  <si>
    <t xml:space="preserve">温良人间</t>
  </si>
  <si>
    <t xml:space="preserve">滴滴上叫了个车，等了13分钟才到，我都准备投诉了。｜温良人间 滴滴上叫了个车，13分钟才到。车窗降下来，副驾驶有人。一抬头，座椅后贴着一张纸。30年，她在他身边，他心里踏实。#人间真实 #夫妻相守 #暖心瞬间 #网约车司机 #温良人间 </t>
  </si>
  <si>
    <t/>
    <r>
      <rPr>
        <u val="single"/>
        <color theme="10"/>
      </rPr>
      <t>https://www.douyin.com/video/7641872986798179494</t>
    </r>
  </si>
  <si>
    <t xml:space="preserve">1865881393286313</t>
  </si>
  <si>
    <t xml:space="preserve">小绿绿绿📸</t>
  </si>
  <si>
    <t xml:space="preserve">有一种爱叫妈妈永远在#亲情#家的味道#人间观察计划</t>
  </si>
  <si>
    <t/>
    <r>
      <rPr>
        <u val="single"/>
        <color theme="10"/>
      </rPr>
      <t>https://www.douyin.com/video/7641922307711110454</t>
    </r>
  </si>
  <si>
    <t xml:space="preserve">1865881324559559</t>
  </si>
  <si>
    <t xml:space="preserve">@五月💘🌹</t>
  </si>
  <si>
    <t xml:space="preserve">滴滴车司机清唱的真好听😄#520</t>
  </si>
  <si>
    <t/>
    <r>
      <rPr>
        <u val="single"/>
        <color theme="10"/>
      </rPr>
      <t>https://www.douyin.com/video/7641921320654050427</t>
    </r>
  </si>
  <si>
    <t xml:space="preserve">1865881282904124</t>
  </si>
  <si>
    <t xml:space="preserve">SSKYLAR</t>
  </si>
  <si>
    <t xml:space="preserve">上班楠 #原相机乘乘的 今天的开心是因为滴滴司机巨帅啊啊啊啊啊啊啊啊 那我自己自拍这么多张沙意思？</t>
  </si>
  <si>
    <t/>
    <r>
      <rPr>
        <u val="single"/>
        <color theme="10"/>
      </rPr>
      <t>https://www.douyin.com/video/7641993475752266235</t>
    </r>
  </si>
  <si>
    <t xml:space="preserve">1865881232075836</t>
  </si>
  <si>
    <t xml:space="preserve">安安💓</t>
  </si>
  <si>
    <t xml:space="preserve">今天回一趟汕尾，坐滴滴车都感觉滴滴很高档，这辈子没有坐过，，，</t>
  </si>
  <si>
    <t/>
    <r>
      <rPr>
        <u val="single"/>
        <color theme="10"/>
      </rPr>
      <t>https://www.douyin.com/video/7641882679970377957</t>
    </r>
  </si>
  <si>
    <t xml:space="preserve">1865881160130627</t>
  </si>
  <si>
    <t xml:space="preserve">#专车接送 #出行 普通的520的下午，普通的小雅女士穿了很喜欢的牛仔鱼尾裙，化了个淡妆，乘坐了带有香味而且又很干净的专车，前往520聚集地，此刻司机开车平稳，礼貌待人，主动问好，情绪价值拉满，此时的小雅女士心情格外愉悦#滴滴专车 #专车</t>
  </si>
  <si>
    <t/>
    <r>
      <rPr>
        <u val="single"/>
        <color theme="10"/>
      </rPr>
      <t>https://www.douyin.com/video/7641875385806374833</t>
    </r>
  </si>
  <si>
    <t xml:space="preserve">1866155483426984</t>
  </si>
  <si>
    <t xml:space="preserve">娜妮妮</t>
  </si>
  <si>
    <t xml:space="preserve">手机失而复得，谢谢超光速滴滴侠，匆忙的路程变得温暖。生活的每一环都值得记录#好人好事 #滴滴小哥 #好司机</t>
  </si>
  <si>
    <t/>
    <r>
      <rPr>
        <u val="single"/>
        <color theme="10"/>
      </rPr>
      <t>https://www.douyin.com/video/7642987403964425702</t>
    </r>
  </si>
  <si>
    <t xml:space="preserve">1866155370517700</t>
  </si>
  <si>
    <t xml:space="preserve">顾秋的枫</t>
  </si>
  <si>
    <t xml:space="preserve">打车打到了辆很有意思的滴滴</t>
  </si>
  <si>
    <t/>
    <r>
      <rPr>
        <u val="single"/>
        <color theme="10"/>
      </rPr>
      <t>https://www.douyin.com/video/7642542991392131697</t>
    </r>
  </si>
  <si>
    <t xml:space="preserve">1866160458157068</t>
  </si>
  <si>
    <t xml:space="preserve">1866247534908283</t>
  </si>
  <si>
    <t xml:space="preserve">晶ᰔᩚ晶</t>
  </si>
  <si>
    <t xml:space="preserve">今天中午和爸爸从医院打车回家，因为拿的东西比较多，我想着打两辆车，这些行李和轮椅和凳子一车，我和爸爸在重新打个车，怕一个车进不去，然后滴滴司机师傅来了，我说可能放不进去东西太多，我先放行李吧，司机师傅说，差不多，就开始帮忙往车里塞，真的都装进去了，到了小区开进来的单元楼，我赶紧下车，先拿东西放门口，最后让爸爸下车，结果司机师傅帮忙一趟趟把行李拿到门口，又扶着我爸爸下车坐轮椅，一下子，真是我觉得这个世界挺美好的，因为和爸爸住院的这几天，我没睡觉，我也没劲了也，司机师傅的善举，真的我轻快了很多，谢谢您了，鲁J D90359师傅，我支付的时候没注意打赏再哪里，我又找出订单后。给您又单独发了5元红包，您别嫌少，谢谢您了。#滴滴司机正能量 #</t>
  </si>
  <si>
    <t/>
    <r>
      <rPr>
        <u val="single"/>
        <color theme="10"/>
      </rPr>
      <t>https://www.douyin.com/note/7643698260415278282</t>
    </r>
  </si>
  <si>
    <t xml:space="preserve">1866517068634539</t>
  </si>
  <si>
    <t xml:space="preserve">天才楠</t>
  </si>
  <si>
    <t xml:space="preserve">一个普通的清晨，着急赶飞机打了一辆车。这是我第一次被一个滴滴师傅激励到。车里非常干净，没有异味。手边放着鲜绿的盆栽，还有两盒小零食。副驾驶的前方粘着整齐成排小玩具。纸巾在专属的包厢里，包厢上贴着两面红旗。我前方的小篮子上有按需自取的小配件，小发夹，马年的钥匙扣，祝福词的钥匙扣，平安结绳。右边作座椅上有滴滴平台给他颁发的荣誉司机锦旗，全市只有100位可以获得。很难形容我当时的心情，突然觉得有些自愧不如，我并没像师傅一样，对我的工作作出我能做的一切。他也未必热爱这份职业，但是他很认真，很诚恳。只是可惜，因为着急赶飞机，下车就忘了给他五星好评，尽管他有数不尽的五星好评了。补一个⭐️⭐️⭐️⭐️⭐️ 锦旗上有一句话，也送给大家。祝每个在路上奔忙的日子都闪闪发光！ #滴滴司机 #天才楠</t>
  </si>
  <si>
    <t/>
    <r>
      <rPr>
        <u val="single"/>
        <color theme="10"/>
      </rPr>
      <t>https://www.douyin.com/note/7644884486891055345</t>
    </r>
  </si>
  <si>
    <t xml:space="preserve">1866517005391932</t>
  </si>
  <si>
    <t xml:space="preserve">小洸茫</t>
  </si>
  <si>
    <t xml:space="preserve">今日份小惊喜，打到一个特价车就算了，一看还是#小米su7 最好看的颜色，上车一看还是个美女司机，一路心情都变好啦！#打车#滴滴出行 #打车</t>
  </si>
  <si>
    <t/>
    <r>
      <rPr>
        <u val="single"/>
        <color theme="10"/>
      </rPr>
      <t>https://www.douyin.com/video/7644783522482479781</t>
    </r>
  </si>
  <si>
    <t xml:space="preserve">1866788628999844</t>
  </si>
  <si>
    <t xml:space="preserve">我是一个大天才</t>
  </si>
  <si>
    <t xml:space="preserve">#网约公交车 真是太方便啦！比打车还合适哈哈，车里空调足足的😂</t>
  </si>
  <si>
    <t/>
    <r>
      <rPr>
        <u val="single"/>
        <color theme="10"/>
      </rPr>
      <t>https://www.douyin.com/video/7645601096832956904</t>
    </r>
  </si>
  <si>
    <t xml:space="preserve">1866788572543072</t>
  </si>
  <si>
    <t xml:space="preserve">FM986</t>
  </si>
  <si>
    <t xml:space="preserve">#热门 关于我们一家子打了一辆#网约公交车</t>
  </si>
  <si>
    <t/>
    <r>
      <rPr>
        <u val="single"/>
        <color theme="10"/>
      </rPr>
      <t>https://www.douyin.com/video/7645700319447662666</t>
    </r>
  </si>
  <si>
    <t xml:space="preserve">1866788448463001</t>
  </si>
  <si>
    <t xml:space="preserve">SUXINTANG</t>
  </si>
  <si>
    <t xml:space="preserve">今天和姐妹准备打车出去时，看到这个，真的🥹#滴滴出行 #上热搜 #girlshelpgirls #女性安全 #正能量</t>
  </si>
  <si>
    <t/>
    <r>
      <rPr>
        <u val="single"/>
        <color theme="10"/>
      </rPr>
      <t>https://www.douyin.com/note/7645240445212140901</t>
    </r>
  </si>
  <si>
    <t xml:space="preserve">1866880979008528</t>
  </si>
  <si>
    <t xml:space="preserve">1866880890862681</t>
  </si>
  <si>
    <t xml:space="preserve">月嫂 苗苗 拒绝连赞</t>
  </si>
  <si>
    <t xml:space="preserve">滴滴打车平台真给力
还是女司机漂亮美女
车坐着舒服出发上班去了#车外风景</t>
  </si>
  <si>
    <t/>
    <r>
      <rPr>
        <u val="single"/>
        <color theme="10"/>
      </rPr>
      <t>https://www.douyin.com/video/7645956165910827377</t>
    </r>
  </si>
  <si>
    <t xml:space="preserve">1866967661693273</t>
  </si>
  <si>
    <t xml:space="preserve">1866967562751008</t>
  </si>
  <si>
    <t xml:space="preserve">蛋炒西红柿加番茄酱(求关注版)</t>
  </si>
  <si>
    <t xml:space="preserve">滴滴小程序和软件是都可以选择女司机的!#滴滴司机 #滴滴 #女性 #女性智慧 #女性成长</t>
  </si>
  <si>
    <t/>
    <r>
      <rPr>
        <u val="single"/>
        <color theme="10"/>
      </rPr>
      <t>https://www.douyin.com/note/7646632021980156346</t>
    </r>
  </si>
  <si>
    <t xml:space="preserve">1866967306652923</t>
  </si>
  <si>
    <t xml:space="preserve">小幸运888</t>
  </si>
  <si>
    <t xml:space="preserve">凌晨两点，那个沉默的司机救了我一命 我坐在出租屋的床上，抱着膝盖，眼泪已经干了。手机屏幕还亮着，是闺蜜十分钟前发来的消息：“到家了没？”我打了两个字：“到了。”然后删掉，又打了一遍“到了”，发出去。 我没敢告诉她今晚发生的事。 我今年二十四岁，在长沙一家设计公司做UI设计。那晚项目评审会拖到快十一点才结束，外面下着小雨，空气又湿又冷。我站在公司楼下的便利店门口等车，叫了辆滴滴，系统显示车主姓林，驾龄六年，评分4.9，开一辆白色轩逸。 车来了。车窗摇下来，是个三十岁左右的男人，穿黑色卫衣，瘦长脸，看起来不像坏人。我拉开后门坐进去，报了手机尾号，他点了下头，没说话。车里很干净，有一股淡淡的薄荷味，空调开得刚好。 我靠在后座刷短视频，脑子昏昏沉沉的。连着加了三天班，眼睛干涩得不行。车子开了大概一刻钟，我无意间抬头看了一眼窗外，心里猛地一咯噔。 这条路不对。 我在长沙住了两年，那条回家的路闭着眼都知道——应该从左边的匝道下高架，然后经过一个加油站、一个红绿灯，再拐进巷子。可现在高架早就下了，窗外是一条双向两车道的旧马路，路灯昏黄，两边全是关着门的小汽修店和废品站，雨丝在灯光里斜斜飘着，整条街看不到一个人。 我赶紧打开手机地图，定位显示我们偏离正常路线将近五公里，正往南边的老工业区开。 心跳直接飙上来了。我强忍着恐惧，尽量让声音听起来正常：“师傅，这条路对吗？我平时不走这边。” 他没有回头，语气很平：“前面有一段在修下水道，封路了，得绕一下。” 修下水道？我天天走那条路，昨天晚上还好好的。这个借口太敷衍了。我不敢再追问，手心全是汗。我悄悄把手机调成静音，打开微信给闺蜜发了实时定位，又打了一行字：“如果我半小时没联系你，帮我报警。”想了想，加了一句：“认真的。” 车子继续往前开，路灯越来越少，有一段路甚至连灯都没有，只有车灯照着前面一小截湿漉漉的柏油路。雨刷一左一右地摆着，发出单调的“咔嗒”声。我攥着手机，脑子里全是社会新闻里那些标题——姑娘深夜失联、女孩打网约车出事……我不敢往下想了。 突然，司机伸手把车内的顶灯关了。 车厢里一下子暗了下来，只有仪表盘幽幽地亮着蓝光。我整个人绷紧了，正要问他要干什么，他先开口了，声音压得很低很低：“姑娘，听我说，别回头。” 我僵住了。 “后面有一辆白色的SUV，没有开灯，从你上车就跟上了。”他语速很快，但每个字都说得很清楚，“我试过了——我减速他也减速，我变道他也变道。刚才我说修路绕道，就是故意绕了一圈，他还跟着。” 我倒吸了一口凉气，本能地想回头看。他立刻说：“别看！不要让他们知道我们发现了。” 我的手指开始发抖，眼泪已经在眼眶里打转了。我张了张嘴，声音都是颤的：“那……那怎么办？” “别怕，”他说，语气忽然稳了很多，“我以前在部队待过三年，这种情况我见过。前面三公里有个派出所，我直接开过去。你系好安全带，坐稳了。” 他没有等我回应，一脚油门踩下去，车子猛地往前一蹿。我死死抓着车门扶手，整个人被推得贴在座椅上。后面的白色SUV果然立刻加速追了上来，车灯唰地亮了，刺眼的白光从后窗照进来，晃得我睁不开眼。 两辆车在漆黑的工业区道路上展开了追逐。司机车技很老练，在狭窄的路口连续拐弯，轮胎碾过积水坑，发出沉闷的“咚”声。我紧紧闭着嘴，不敢喊，怕分散他的注意力。眼泪不争气地往下掉，模糊了视线。 大概过了五六分钟，前方出现了红蓝色的灯光——是派出所的院子。司机按了两下喇叭，直接冲进了大门。 那辆白色SUV在门口猛地刹住，停了大概三四秒，然后一个急掉头，消失在雨夜里。 车子熄火了。我瘫在后座上，浑身像被抽空了一样，连哭都哭不出声。司机从前座递过来一包纸巾，我没接，他就放在座位上，说了句：“没事了，安全了。” 我缓了好一会儿才下车。腿是软的，踩在地上像踩在棉花上。他陪着我一起进了派出所，我们做了笔录。民警调了那段路的监控，确认那辆白色SUV用的是假牌照，而且当晚在这片区域已经来回转了一个多小时，明显在物色目标。办案的民警拍了拍司机的肩膀：“老林，你这警惕性可以啊。” 从派出所出来，已经快凌晨一点了。雨小了很多，成了毛毛雨。林师傅坚持要送我回家，说顺路。我这次坐到了副驾驶。 路上他跟我说，他今年二十九岁，当了五年兵，退伍以后做过保安、送过外卖，前年开始跑网约车。他说他有个亲妹妹，今年二十二岁，在另一个城市上班，每次她夜里打车，他都会让她把车牌号和行程发过来。 “今天看到你一个人在路边上车，就多留了个心眼。”他笑了一下，语气很平淡，像在说一件很普通的事，“在部队的时候学过跟踪和反跟踪，没想到用在这上面了。” 到了小区楼下，我打开车门，想说声谢谢，嘴唇哆嗦了半天，只挤出两个字：“谢谢。”他摆摆手：“赶紧上去吧” 我站在楼门口，看着他的白色轩逸消失在街角，尾灯的红光一点一点暗下去。雨丝落在脸上，冰凉冰凉的，但胸口很暖。 #情感故事 #正能量传递</t>
  </si>
  <si>
    <t/>
    <r>
      <rPr>
        <u val="single"/>
        <color theme="10"/>
      </rPr>
      <t>https://www.douyin.com/note/7646727972648596218</t>
    </r>
  </si>
  <si>
    <t xml:space="preserve">1866968223644842</t>
  </si>
  <si>
    <t xml:space="preserve">天天有钱花女士</t>
  </si>
  <si>
    <t xml:space="preserve">滴滴打车。肯定是特别勤快又负责任的滴滴司机，接到我订单就立马过来了，结果我一看他衣服都穿反了😁，我该怎么不失礼貌又委婉的提醒他啊！在线等挺急的…#在线等</t>
  </si>
  <si>
    <t/>
    <r>
      <rPr>
        <u val="single"/>
        <color theme="10"/>
      </rPr>
      <t>https://www.douyin.com/note/7646701552317873787</t>
    </r>
  </si>
  <si>
    <t xml:space="preserve">1867059902855704</t>
  </si>
  <si>
    <t xml:space="preserve">悠游自在</t>
  </si>
  <si>
    <t xml:space="preserve">退休低成本快乐 #退休日常生活记录 #网约 #一日游玩</t>
  </si>
  <si>
    <t/>
    <r>
      <rPr>
        <u val="single"/>
        <color theme="10"/>
      </rPr>
      <t>https://www.douyin.com/video/7646742373196733811</t>
    </r>
  </si>
  <si>
    <t xml:space="preserve">1867059829276137</t>
  </si>
  <si>
    <t xml:space="preserve">七里</t>
  </si>
  <si>
    <t xml:space="preserve">前几天从医院出来，打车回家。上车以后才发现司机不会说话，是一位听障朋友。更要命的是，我还把上车地点定错了。我手忙脚乱地比划着请他先靠边停，又掏出手机打字给他看，他始终很耐心，没有半点不耐烦。重新设好目的地后，车子稳稳地开了一路。 下车前，我忽然想起大学时学过的手语，对他比了一个“谢谢”。他看到了，笑得特别开心。 后来我在网上查才知道，听障人士只要通过专门的考试，也可以开网约车。我很难想象，他从小到大要付出多少常人无法体会的努力，才能认字、考驾照、做好这份工作。同时我也觉得，这个时代真好，让努力的人都有路可走，也让我们有机会在路上遇见彼此，留下一段温暖的记忆。@滴滴 #滴滴网约车 #听障网约车司机 #滴滴出行</t>
  </si>
  <si>
    <t/>
    <r>
      <rPr>
        <u val="single"/>
        <color theme="10"/>
      </rPr>
      <t>https://www.douyin.com/video/7647214379003431907</t>
    </r>
  </si>
  <si>
    <t xml:space="preserve">1867059633677388</t>
  </si>
  <si>
    <t xml:space="preserve">1867062687445072</t>
  </si>
  <si>
    <t xml:space="preserve">1867151800229195</t>
  </si>
  <si>
    <t xml:space="preserve">LiLi_</t>
  </si>
  <si>
    <t xml:space="preserve">今天趁着好天气、打了一次滴滴公交车🚌还是很方便哒 #滴滴公交 #来晒一下手机实拍画质</t>
  </si>
  <si>
    <t/>
    <r>
      <rPr>
        <u val="single"/>
        <color theme="10"/>
      </rPr>
      <t>https://www.douyin.com/video/7647513382476541541</t>
    </r>
  </si>
  <si>
    <t xml:space="preserve">1867421517435980</t>
  </si>
  <si>
    <t xml:space="preserve">❤️心安੭ﾞ</t>
  </si>
  <si>
    <t xml:space="preserve">9237极速赶车第一人 3点26的高铁 3点02上的滴滴 司机帮我赶路程3点22下的滴滴 到检票口已经停止检票了，怎么检票口的妹妹说还可以进 一路呼呲带喘的赶到了月台 此刻 高铁马上到金华了 我下车了</t>
  </si>
  <si>
    <t/>
    <r>
      <rPr>
        <u val="single"/>
        <color theme="10"/>
      </rPr>
      <t>https://www.douyin.com/video/7647815865568169295</t>
    </r>
  </si>
  <si>
    <t xml:space="preserve">1867421409735849</t>
  </si>
  <si>
    <t xml:space="preserve">同时带两条导盲犬上车，偶遇热情大连司机，小小车程满是温暖 在大连旅顺行程结束，我带着导盲犬叮当和另一个盲人伙伴以及另一条导盲犬椰果和他的家人结伴，从酒店打滴滴前往附近地铁站。临走和同行的视障朋友挥手告别，相聚时间很短，下次见面不知什么时候，心里很舍不得。
路上碰到一位热心的滴滴司机，上车主动搀扶我们，帮忙把行李放进后备箱。开车途中，师傅不停夸赞两只导盲犬乖巧听话。闲聊时师傅说，之前一直以为培育一只导盲犬需要200万。
我们跟师傅解释，一只导盲犬选育、长年训练、考核上岗，整体成本在20万左右，师傅听完才了解实情。
到地铁站下车，师傅又贴心把行李从后备箱拿出来。
一趟短短的车程，实实在在感受到大连人的热心和善心，谢谢这位暖心司机，为大连点赞。
#导盲犬叮当 #滴滴出行 #大连 #无障碍出行 #青年创作者计划 </t>
  </si>
  <si>
    <t/>
    <r>
      <rPr>
        <u val="single"/>
        <color theme="10"/>
      </rPr>
      <t>https://www.douyin.com/video/7648092654844692970</t>
    </r>
  </si>
  <si>
    <t xml:space="preserve">1867514750838892</t>
  </si>
  <si>
    <t xml:space="preserve">车厘子的子</t>
  </si>
  <si>
    <t xml:space="preserve">来大连这几天给我的感受就是“大连 你美”
景色很美 人也不多 下楼走几步就是海边 体表温度很舒服
海鲜日料的食材都很新鲜 海胆饺子、小烧烤盲点外卖也不会踩雷 樱桃又大汁水又多
刘老根大舞台真的爆笑两小时 完全值回票价
还有一点就是作为滴滴专车忠实用户 必须夸夸大连专车司机们 会主动下车帮开车门 也太敬业了吧 
真想在这旅居一段时间
#大连 #大连美食 #大连旅游攻略 #滨海城市</t>
  </si>
  <si>
    <t/>
    <r>
      <rPr>
        <u val="single"/>
        <color theme="10"/>
      </rPr>
      <t>https://www.douyin.com/video/7648887011160830180</t>
    </r>
  </si>
  <si>
    <t xml:space="preserve">1867515649224752</t>
  </si>
  <si>
    <t xml:space="preserve">电气昊子📷</t>
  </si>
  <si>
    <t xml:space="preserve">算了，哈尔滨夏天14度的含金量，跟你们说不清楚 #哈尔滨 #晚霞 #城市的夜晚 #城市风景 #城市建设</t>
  </si>
  <si>
    <t/>
    <r>
      <rPr>
        <u val="single"/>
        <color theme="10"/>
      </rPr>
      <t>https://www.douyin.com/video/7647506813403365321</t>
    </r>
  </si>
  <si>
    <t xml:space="preserve">1867602674740328</t>
  </si>
  <si>
    <t xml:space="preserve">小小麻～🥕</t>
  </si>
  <si>
    <t xml:space="preserve">苏州站赶高铁 苏州站9:54的车，9:17才上车，滴滴出行写的预计36分钟。跟师傅一说赶高铁，师傅就起飞了...全程DJ嘿喂狗嘿喂狗，最后9:44到苏州站了。22公里，36分钟的车程，27分钟就到了，提前了10分钟！！天上飞机，地上苏E！！#车上的那些事儿 #天上飞机地上苏e</t>
  </si>
  <si>
    <t/>
    <r>
      <rPr>
        <u val="single"/>
        <color theme="10"/>
      </rPr>
      <t>https://www.douyin.com/video/7648840710867964325</t>
    </r>
  </si>
  <si>
    <t xml:space="preserve">1867602571789875</t>
  </si>
  <si>
    <t xml:space="preserve">1867603464547328</t>
  </si>
  <si>
    <t xml:space="preserve">夏荷</t>
  </si>
  <si>
    <t xml:space="preserve">#湖大到家里的温暖滴滴之旅。今天上午从湖大打车回家，遇到一位超贴心的美女师傅！ 🚕一上车就被车内环境惊艳到，干净得像刚洗过，连脚垫都一尘不染。师傅话不多但全程态度超温和，一路稳稳开着，还主动提醒我注意安全，就像贴心的朋友一样。 下车时师傅还笑着说“路上慢点”，瞬间觉得这趟出行暖进心里。原来美好的一天，真的可以从遇见这样温暖的人开始～ #最美滴滴司机#治愈系出行#湖大</t>
  </si>
  <si>
    <t/>
    <r>
      <rPr>
        <u val="single"/>
        <color theme="10"/>
      </rPr>
      <t>https://www.douyin.com/note/7649063213564689138</t>
    </r>
  </si>
  <si>
    <t xml:space="preserve">1867603359816807</t>
  </si>
  <si>
    <t xml:space="preserve">🐳洁</t>
  </si>
  <si>
    <t xml:space="preserve">体验济南网约公交车🚌体验感很好 #济南网约公交 #公共交通 #公共交通绿色出行 我也体验了一把网约公交的快乐，全程只需3元钱，送到指定位置，这趟车我包车啦哈哈😃绿色出行的快乐</t>
  </si>
  <si>
    <t/>
    <r>
      <rPr>
        <u val="single"/>
        <color theme="10"/>
      </rPr>
      <t>https://www.douyin.com/video/7648943448107741682</t>
    </r>
  </si>
  <si>
    <t xml:space="preserve">1867603279764551</t>
  </si>
  <si>
    <t xml:space="preserve">大鹏嘚吧嘚</t>
  </si>
  <si>
    <t xml:space="preserve">空调嘎嘎凉快，只需三块#网约公交车 #天津公交</t>
  </si>
  <si>
    <t/>
    <r>
      <rPr>
        <u val="single"/>
        <color theme="10"/>
      </rPr>
      <t>https://www.douyin.com/video/7648609080373822586</t>
    </r>
  </si>
  <si>
    <t xml:space="preserve">1867603160164681</t>
  </si>
  <si>
    <t xml:space="preserve">苏二小姐</t>
  </si>
  <si>
    <t xml:space="preserve">#滴滴公交车 #公交网约车 网约公交车来了🎈</t>
  </si>
  <si>
    <t/>
    <r>
      <rPr>
        <u val="single"/>
        <color theme="10"/>
      </rPr>
      <t>https://www.douyin.com/video/7648121194428425573</t>
    </r>
  </si>
  <si>
    <t xml:space="preserve">月份</t>
  </si>
  <si>
    <t xml:space="preserve">总互动量</t>
  </si>
  <si>
    <t xml:space="preserve">投放金额</t>
  </si>
  <si>
    <t xml:space="preserve">综合CPE</t>
  </si>
  <si>
    <t xml:space="preserve">1月</t>
  </si>
  <si>
    <t xml:space="preserve">2月</t>
  </si>
  <si>
    <t xml:space="preserve">3月</t>
  </si>
  <si>
    <t xml:space="preserve">4月</t>
  </si>
  <si>
    <t xml:space="preserve">5月</t>
  </si>
  <si>
    <t xml:space="preserve">6月</t>
  </si>
  <si>
    <t xml:space="preserve">合计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</si>
</sst>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164" formatCode="0.00_);(0.00)"/>
    <numFmt numFmtId="165" formatCode="yyyy/m/d"/>
    <numFmt numFmtId="166" formatCode="yyyy-MM-dd"/>
    <numFmt numFmtId="167" formatCode="#,##0"/>
    <numFmt numFmtId="168" formatCode="0.00_);(0.00)"/>
    <numFmt numFmtId="169" formatCode="yyyy/m/d"/>
    <numFmt numFmtId="170" formatCode="yyyy-MM-dd"/>
    <numFmt numFmtId="171" formatCode="0.00_);(0.00)"/>
    <numFmt numFmtId="172" formatCode="yyyy/m/d"/>
    <numFmt numFmtId="173" formatCode="yyyy-MM-dd"/>
    <numFmt numFmtId="174" formatCode="0.00_);(0.00)"/>
    <numFmt numFmtId="175" formatCode="yyyy/m/d"/>
    <numFmt numFmtId="176" formatCode="General"/>
    <numFmt numFmtId="177" formatCode="yyyy/m/d h:mm"/>
    <numFmt numFmtId="178" formatCode="0.00_);(0.00)"/>
  </numFmts>
  <fonts count="11">
    <font>
      <sz val="10"/>
      <color theme="1"/>
      <name val="Calibri"/>
      <family val="2"/>
      <scheme val="minor"/>
    </font>
    <font>
      <b val="true"/>
      <sz val="10"/>
      <color rgb="FF000000"/>
      <name val="Calibri"/>
      <family val="2"/>
      <scheme val="minor"/>
    </font>
    <font>
      <b val="true"/>
      <sz val="9"/>
      <color rgb="FF8F959E"/>
      <name val="Calibri"/>
      <family val="2"/>
      <scheme val="minor"/>
    </font>
    <font>
      <sz val="10"/>
      <color rgb="FF000000"/>
      <name val="Calibri"/>
      <family val="2"/>
      <scheme val="minor"/>
    </font>
    <font>
      <sz val="10"/>
      <color rgb="FF000000"/>
      <name val="Calibri"/>
      <family val="2"/>
      <scheme val="minor"/>
    </font>
    <font>
      <sz val="11"/>
      <color rgb="FF000000"/>
      <name val="Calibri"/>
      <family val="2"/>
      <scheme val="minor"/>
    </font>
    <font>
      <sz val="11"/>
      <color rgb="FF000000"/>
      <name val="宋体"/>
      <family val="2"/>
    </font>
    <font>
      <b val="true"/>
      <sz val="10"/>
      <color rgb="FF000000"/>
      <name val="Calibri"/>
      <family val="2"/>
      <scheme val="minor"/>
    </font>
    <font>
      <sz val="12"/>
      <color rgb="FF000000"/>
      <name val="Calibri"/>
      <family val="2"/>
      <scheme val="minor"/>
    </font>
    <font>
      <sz val="10"/>
      <color rgb="FFF54A45"/>
      <name val="Calibri"/>
      <family val="2"/>
      <scheme val="minor"/>
    </font>
    <font>
      <u val="single"/>
      <sz val="10"/>
      <color rgb="FF0000EE"/>
      <name val="Calibri"/>
      <family val="2"/>
      <scheme val="minor"/>
    </font>
  </fonts>
  <fills count="11">
    <fill>
      <patternFill patternType="none">
        <fgColor/>
        <bgColor/>
      </patternFill>
    </fill>
    <fill>
      <patternFill patternType="gray125">
        <fgColor/>
        <bgColor/>
      </patternFill>
    </fill>
    <fill>
      <patternFill patternType="solid">
        <fgColor rgb="FFF8F9FA"/>
        <bgColor/>
      </patternFill>
    </fill>
    <fill>
      <patternFill patternType="solid">
        <fgColor rgb="FFFFF258"/>
        <bgColor/>
      </patternFill>
    </fill>
    <fill>
      <patternFill patternType="solid">
        <fgColor rgb="FFFBBFBC"/>
        <bgColor/>
      </patternFill>
    </fill>
    <fill>
      <patternFill patternType="solid">
        <fgColor rgb="FF34C724"/>
        <bgColor/>
      </patternFill>
    </fill>
    <fill>
      <patternFill patternType="solid">
        <fgColor rgb="FFF8F9FA"/>
        <bgColor/>
      </patternFill>
    </fill>
    <fill>
      <patternFill patternType="solid">
        <fgColor rgb="FF34C724"/>
        <bgColor/>
      </patternFill>
    </fill>
    <fill>
      <patternFill patternType="solid">
        <fgColor rgb="FFF8F9FA"/>
        <bgColor/>
      </patternFill>
    </fill>
    <fill>
      <patternFill patternType="solid">
        <fgColor rgb="FF34C724"/>
        <bgColor/>
      </patternFill>
    </fill>
    <fill>
      <patternFill patternType="solid">
        <fgColor rgb="FFF8F9FA"/>
        <bgColor/>
      </patternFill>
    </fill>
  </fills>
  <borders count="5">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s>
  <cellStyleXfs count="1">
    <xf applyAlignment="true" applyBorder="false" applyFill="false" applyFont="false" applyNumberFormat="false" applyProtection="false" borderId="0" fillId="0" fontId="0" numFmtId="0"/>
  </cellStyleXfs>
  <cellXfs count="123">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0" fillId="2" fontId="1" numFmtId="0" xfId="0">
      <alignment horizontal="center" vertical="center"/>
    </xf>
    <xf applyAlignment="true" applyBorder="false" applyFill="true" applyFont="true" applyNumberFormat="false" applyProtection="false" borderId="0" fillId="2" fontId="1" numFmtId="0" xfId="0">
      <alignment horizontal="center" vertical="center"/>
    </xf>
    <xf applyAlignment="true" applyBorder="false" applyFill="true" applyFont="true" applyNumberFormat="false" applyProtection="false" borderId="0" fillId="2" fontId="1" numFmtId="0" xfId="0">
      <alignment horizontal="center" vertical="center"/>
    </xf>
    <xf applyAlignment="true" applyBorder="false" applyFill="true" applyFont="true" applyNumberFormat="false" applyProtection="false" borderId="0" fillId="2" fontId="1" numFmtId="0" xfId="0">
      <alignment horizontal="center" vertical="center"/>
    </xf>
    <xf applyAlignment="true" applyBorder="false" applyFill="true" applyFont="true" applyNumberFormat="true" applyProtection="false" borderId="0" fillId="2" fontId="1" numFmtId="164" xfId="0">
      <alignment horizontal="center" vertical="center"/>
    </xf>
    <xf applyAlignment="true" applyBorder="false" applyFill="true" applyFont="true" applyNumberFormat="false" applyProtection="false" borderId="0" fillId="2" fontId="1"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true" applyProtection="false" borderId="0" fillId="0" fontId="3" numFmtId="165" xfId="0">
      <alignment vertical="center"/>
    </xf>
    <xf applyAlignment="true" applyBorder="false" applyFill="true" applyFont="true" applyNumberFormat="true" applyProtection="false" borderId="0" fillId="3" fontId="3" numFmtId="165"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vertical="center" wrapText="true"/>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true" applyProtection="false" borderId="0" fillId="0" fontId="4" numFmtId="164" xfId="0">
      <alignment vertical="center"/>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0" fillId="0" fontId="5" numFmtId="0" xfId="0">
      <alignment horizontal="center" vertical="center"/>
    </xf>
    <xf applyAlignment="true" applyBorder="false" applyFill="true" applyFont="true" applyNumberFormat="true" applyProtection="false" borderId="0" fillId="4" fontId="4" numFmtId="164"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true" applyProtection="false" borderId="0" fillId="0" fontId="3" numFmtId="165"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true" applyProtection="false" borderId="0" fillId="0" fontId="4" numFmtId="166" xfId="0">
      <alignment vertical="center"/>
    </xf>
    <xf applyAlignment="true" applyBorder="false" applyFill="false" applyFont="true" applyNumberFormat="false" applyProtection="false" borderId="0" fillId="0" fontId="7" numFmtId="0" xfId="0">
      <alignment vertical="center"/>
    </xf>
    <xf applyAlignment="true" applyBorder="false" applyFill="true" applyFont="true" applyNumberFormat="true" applyProtection="false" borderId="0" fillId="5" fontId="4" numFmtId="164" xfId="0">
      <alignment vertical="center"/>
    </xf>
    <xf applyAlignment="true" applyBorder="false" applyFill="false" applyFont="true" applyNumberFormat="true" applyProtection="false" borderId="0" fillId="0" fontId="4" numFmtId="164" xfId="0">
      <alignment vertical="center"/>
    </xf>
    <xf applyAlignment="true" applyBorder="false" applyFill="false" applyFont="true" applyNumberFormat="true" applyProtection="false" borderId="0" fillId="0" fontId="8" numFmtId="167" xfId="0">
      <alignment vertical="bottom"/>
    </xf>
    <xf applyAlignment="true" applyBorder="false" applyFill="false" applyFont="true" applyNumberFormat="false" applyProtection="false" borderId="0" fillId="0" fontId="8" numFmtId="0" xfId="0">
      <alignment vertical="bottom"/>
    </xf>
    <xf applyAlignment="true" applyBorder="false" applyFill="false" applyFont="true" applyNumberFormat="true" applyProtection="false" borderId="0" fillId="0" fontId="3" numFmtId="166" xfId="0">
      <alignment vertical="center"/>
    </xf>
    <xf applyAlignment="true" applyBorder="false" applyFill="false" applyFont="true" applyNumberFormat="true" applyProtection="false" borderId="0" fillId="0" fontId="4" numFmtId="166" xfId="0">
      <alignment vertical="center"/>
    </xf>
    <xf applyAlignment="true" applyBorder="false" applyFill="true" applyFont="true" applyNumberFormat="false" applyProtection="false" borderId="0" fillId="6" fontId="1" numFmtId="0" xfId="0">
      <alignment horizontal="center" vertical="center"/>
    </xf>
    <xf applyAlignment="true" applyBorder="false" applyFill="true" applyFont="true" applyNumberFormat="false" applyProtection="false" borderId="0" fillId="6" fontId="1" numFmtId="0" xfId="0">
      <alignment horizontal="center" vertical="center"/>
    </xf>
    <xf applyAlignment="true" applyBorder="false" applyFill="true" applyFont="true" applyNumberFormat="false" applyProtection="false" borderId="0" fillId="6" fontId="1" numFmtId="0" xfId="0">
      <alignment horizontal="center" vertical="center"/>
    </xf>
    <xf applyAlignment="true" applyBorder="false" applyFill="true" applyFont="true" applyNumberFormat="false" applyProtection="false" borderId="0" fillId="6" fontId="1" numFmtId="0" xfId="0">
      <alignment horizontal="center" vertical="center"/>
    </xf>
    <xf applyAlignment="true" applyBorder="false" applyFill="true" applyFont="true" applyNumberFormat="true" applyProtection="false" borderId="0" fillId="6" fontId="1" numFmtId="168" xfId="0">
      <alignment horizontal="center" vertical="center"/>
    </xf>
    <xf applyAlignment="true" applyBorder="false" applyFill="true" applyFont="true" applyNumberFormat="false" applyProtection="false" borderId="0" fillId="6" fontId="1"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true" applyProtection="false" borderId="0" fillId="0" fontId="3" numFmtId="169" xfId="0">
      <alignment vertical="center"/>
    </xf>
    <xf applyAlignment="true" applyBorder="false" applyFill="false" applyFont="true" applyNumberFormat="true" applyProtection="false" borderId="0" fillId="0" fontId="3" numFmtId="169"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true" applyProtection="false" borderId="0" fillId="0" fontId="4" numFmtId="168"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vertical="center" wrapText="true"/>
    </xf>
    <xf applyAlignment="true" applyBorder="false" applyFill="false" applyFont="true" applyNumberFormat="true" applyProtection="false" borderId="0" fillId="0" fontId="4" numFmtId="168" xfId="0">
      <alignment vertical="center"/>
    </xf>
    <xf applyAlignment="true" applyBorder="false" applyFill="false" applyFont="true" applyNumberFormat="false" applyProtection="false" borderId="0" fillId="0" fontId="9"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4" numFmtId="0" xfId="0">
      <alignment vertical="center"/>
    </xf>
    <xf applyAlignment="true" applyBorder="false" applyFill="false" applyFont="true" applyNumberFormat="true" applyProtection="false" borderId="0" fillId="0" fontId="4" numFmtId="170" xfId="0">
      <alignment vertical="center"/>
    </xf>
    <xf applyAlignment="true" applyBorder="false" applyFill="true" applyFont="true" applyNumberFormat="true" applyProtection="false" borderId="0" fillId="7" fontId="4" numFmtId="168" xfId="0">
      <alignment vertical="center"/>
    </xf>
    <xf applyAlignment="true" applyBorder="false" applyFill="false" applyFont="true" applyNumberFormat="true" applyProtection="false" borderId="0" fillId="0" fontId="3" numFmtId="169" xfId="0">
      <alignment vertical="center"/>
    </xf>
    <xf applyAlignment="true" applyBorder="false" applyFill="false" applyFont="true" applyNumberFormat="true" applyProtection="false" borderId="0" fillId="0" fontId="3" numFmtId="170" xfId="0">
      <alignment vertical="center"/>
    </xf>
    <xf applyAlignment="true" applyBorder="false" applyFill="false" applyFont="true" applyNumberFormat="true" applyProtection="false" borderId="0" fillId="0" fontId="4" numFmtId="170" xfId="0">
      <alignment vertical="center"/>
    </xf>
    <xf applyAlignment="true" applyBorder="false" applyFill="true" applyFont="true" applyNumberFormat="false" applyProtection="false" borderId="0" fillId="8" fontId="1" numFmtId="0" xfId="0">
      <alignment horizontal="center" vertical="center"/>
    </xf>
    <xf applyAlignment="true" applyBorder="false" applyFill="true" applyFont="true" applyNumberFormat="false" applyProtection="false" borderId="0" fillId="8" fontId="1" numFmtId="0" xfId="0">
      <alignment horizontal="center" vertical="center"/>
    </xf>
    <xf applyAlignment="true" applyBorder="false" applyFill="true" applyFont="true" applyNumberFormat="false" applyProtection="false" borderId="0" fillId="8" fontId="1" numFmtId="0" xfId="0">
      <alignment horizontal="center" vertical="center"/>
    </xf>
    <xf applyAlignment="true" applyBorder="false" applyFill="true" applyFont="true" applyNumberFormat="false" applyProtection="false" borderId="0" fillId="8" fontId="1" numFmtId="0" xfId="0">
      <alignment horizontal="center" vertical="center"/>
    </xf>
    <xf applyAlignment="true" applyBorder="false" applyFill="true" applyFont="true" applyNumberFormat="true" applyProtection="false" borderId="0" fillId="8" fontId="1" numFmtId="171"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true" applyProtection="false" borderId="0" fillId="0" fontId="3" numFmtId="172" xfId="0">
      <alignment vertical="center"/>
    </xf>
    <xf applyAlignment="true" applyBorder="false" applyFill="false" applyFont="true" applyNumberFormat="true" applyProtection="false" borderId="0" fillId="0" fontId="3" numFmtId="172"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vertical="center" wrapText="true"/>
    </xf>
    <xf applyAlignment="true" applyBorder="false" applyFill="false" applyFont="true" applyNumberFormat="false" applyProtection="false" borderId="0" fillId="0" fontId="4" numFmtId="0" xfId="0">
      <alignment vertical="center"/>
    </xf>
    <xf applyAlignment="true" applyBorder="false" applyFill="false" applyFont="true" applyNumberFormat="true" applyProtection="false" borderId="0" fillId="0" fontId="4" numFmtId="171"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true" applyProtection="false" borderId="0" fillId="0" fontId="4" numFmtId="171" xfId="0">
      <alignment vertical="center"/>
    </xf>
    <xf applyAlignment="true" applyBorder="false" applyFill="true" applyFont="true" applyNumberFormat="true" applyProtection="false" borderId="0" fillId="9" fontId="4" numFmtId="171"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true" applyProtection="false" borderId="0" fillId="0" fontId="4" numFmtId="173"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true" applyProtection="false" borderId="0" fillId="0" fontId="3" numFmtId="173" xfId="0">
      <alignment vertical="center"/>
    </xf>
    <xf applyAlignment="true" applyBorder="false" applyFill="false" applyFont="true" applyNumberFormat="true" applyProtection="false" borderId="0" fillId="0" fontId="3" numFmtId="172"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true" applyProtection="false" borderId="0" fillId="0" fontId="4" numFmtId="171" xfId="0">
      <alignment vertical="center"/>
    </xf>
    <xf applyAlignment="true" applyBorder="false" applyFill="false" applyFont="true" applyNumberFormat="true" applyProtection="false" borderId="0" fillId="0" fontId="4" numFmtId="173" xfId="0">
      <alignment vertical="center"/>
    </xf>
    <xf applyAlignment="true" applyBorder="false" applyFill="true" applyFont="true" applyNumberFormat="false" applyProtection="false" borderId="0" fillId="10" fontId="1" numFmtId="0" xfId="0">
      <alignment horizontal="center" vertical="center"/>
    </xf>
    <xf applyAlignment="true" applyBorder="false" applyFill="true" applyFont="true" applyNumberFormat="false" applyProtection="false" borderId="0" fillId="10" fontId="1" numFmtId="0" xfId="0">
      <alignment horizontal="center" vertical="center"/>
    </xf>
    <xf applyAlignment="true" applyBorder="false" applyFill="true" applyFont="true" applyNumberFormat="false" applyProtection="false" borderId="0" fillId="10" fontId="1" numFmtId="0" xfId="0">
      <alignment horizontal="center" vertical="center"/>
    </xf>
    <xf applyAlignment="true" applyBorder="false" applyFill="true" applyFont="true" applyNumberFormat="false" applyProtection="false" borderId="0" fillId="10" fontId="1" numFmtId="0" xfId="0">
      <alignment horizontal="center" vertical="center"/>
    </xf>
    <xf applyAlignment="true" applyBorder="false" applyFill="true" applyFont="true" applyNumberFormat="true" applyProtection="false" borderId="0" fillId="10" fontId="1" numFmtId="174" xfId="0">
      <alignment horizontal="center" vertical="center"/>
    </xf>
    <xf applyAlignment="true" applyBorder="false" applyFill="false" applyFont="true" applyNumberFormat="true" applyProtection="false" borderId="0" fillId="0" fontId="4" numFmtId="175" xfId="0">
      <alignment vertical="center"/>
    </xf>
    <xf applyAlignment="true" applyBorder="false" applyFill="false" applyFont="true" applyNumberFormat="true" applyProtection="false" borderId="0" fillId="0" fontId="4" numFmtId="175"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true" applyProtection="false" borderId="0" fillId="0" fontId="4" numFmtId="174"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true" applyProtection="false" borderId="0" fillId="0" fontId="4" numFmtId="174"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true" applyProtection="false" borderId="0" fillId="0" fontId="4" numFmtId="175" xfId="0">
      <alignment vertical="center"/>
    </xf>
    <xf applyAlignment="true" applyBorder="false" applyFill="false" applyFont="true" applyNumberFormat="true" applyProtection="false" borderId="0" fillId="0" fontId="4" numFmtId="175"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1" fillId="0" fontId="3" numFmtId="0" xfId="0">
      <alignment horizontal="center" vertical="center"/>
    </xf>
    <xf applyAlignment="true" applyBorder="false" applyFill="false" applyFont="true" applyNumberFormat="false" applyProtection="false" borderId="2" fillId="0" fontId="3"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true" applyProtection="false" borderId="1" fillId="0" fontId="3" numFmtId="176" xfId="0">
      <alignment horizontal="center" vertical="bottom"/>
    </xf>
    <xf applyAlignment="true" applyBorder="false" applyFill="false" applyFont="true" applyNumberFormat="false" applyProtection="false" borderId="1" fillId="0" fontId="3" numFmtId="0" xfId="0">
      <alignment horizontal="center" vertical="bottom"/>
    </xf>
    <xf applyAlignment="true" applyBorder="false" applyFill="false" applyFont="true" applyNumberFormat="false" applyProtection="false" borderId="1" fillId="0" fontId="10" numFmtId="0" xfId="0">
      <alignment horizontal="center" vertical="bottom"/>
    </xf>
    <xf applyAlignment="true" applyBorder="false" applyFill="false" applyFont="true" applyNumberFormat="true" applyProtection="false" borderId="1" fillId="0" fontId="3" numFmtId="177" xfId="0">
      <alignment horizontal="center" vertical="bottom"/>
    </xf>
    <xf applyAlignment="true" applyBorder="false" applyFill="false" applyFont="true" applyNumberFormat="false" applyProtection="false" borderId="3" fillId="0" fontId="3" numFmtId="0" xfId="0">
      <alignment horizontal="center" vertical="bottom"/>
    </xf>
    <xf applyAlignment="true" applyBorder="false" applyFill="false" applyFont="true" applyNumberFormat="false" applyProtection="false" borderId="4" fillId="0" fontId="3" numFmtId="0" xfId="0">
      <alignment horizontal="center" vertical="bottom"/>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true" applyProtection="false" borderId="1" fillId="0" fontId="3" numFmtId="176" xfId="0">
      <alignment horizontal="center" vertical="bottom"/>
    </xf>
    <xf applyAlignment="true" applyBorder="false" applyFill="false" applyFont="true" applyNumberFormat="false" applyProtection="false" borderId="1" fillId="0" fontId="3" numFmtId="0" xfId="0">
      <alignment horizontal="center" vertical="bottom"/>
    </xf>
    <xf applyAlignment="true" applyBorder="false" applyFill="false" applyFont="true" applyNumberFormat="false" applyProtection="false" borderId="1" fillId="0" fontId="10" numFmtId="0" xfId="0">
      <alignment horizontal="center" vertical="bottom"/>
    </xf>
    <xf applyAlignment="true" applyBorder="false" applyFill="false" applyFont="true" applyNumberFormat="true" applyProtection="false" borderId="1" fillId="0" fontId="3" numFmtId="177" xfId="0">
      <alignment horizontal="center" vertical="bottom"/>
    </xf>
    <xf applyAlignment="true" applyBorder="false" applyFill="false" applyFont="true" applyNumberFormat="false" applyProtection="false" borderId="3" fillId="0" fontId="3" numFmtId="0" xfId="0">
      <alignment horizontal="center" vertical="bottom"/>
    </xf>
    <xf applyAlignment="true" applyBorder="false" applyFill="false" applyFont="true" applyNumberFormat="false" applyProtection="false" borderId="1" fillId="0" fontId="3" numFmtId="0" xfId="0">
      <alignment horizontal="center" vertical="center"/>
    </xf>
    <xf applyAlignment="true" applyBorder="false" applyFill="false" applyFont="true" applyNumberFormat="false" applyProtection="false" borderId="4" fillId="0" fontId="3" numFmtId="0" xfId="0">
      <alignment horizontal="center" vertical="bottom"/>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true" applyProtection="false" borderId="0" fillId="0" fontId="4" numFmtId="178"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4" numFmtId="0" xfId="0">
      <alignment vertical="center"/>
    </xf>
    <xf applyAlignment="true" applyBorder="false" applyFill="false" applyFont="true" applyNumberFormat="true" applyProtection="false" borderId="0" fillId="0" fontId="4" numFmtId="178"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https://www.douyin.com/video/7611192244423229139" Type="http://schemas.openxmlformats.org/officeDocument/2006/relationships/hyperlink" TargetMode="External"></Relationship><Relationship Id="rId2" Target="https://www.douyin.com/search/&#23041;&#28023;&#26053;&#28216;?enter_from=video_detail&amp;source=pc_click_hashtag_feed" Type="http://schemas.openxmlformats.org/officeDocument/2006/relationships/hyperlink" TargetMode="External"></Relationship><Relationship Id="rId3" Target="https://www.douyin.com/note/7615023865811614964" Type="http://schemas.openxmlformats.org/officeDocument/2006/relationships/hyperlink" TargetMode="External"></Relationship><Relationship Id="rId4" Target="https://www.douyin.com/note/7616006793667697893" Type="http://schemas.openxmlformats.org/officeDocument/2006/relationships/hyperlink" TargetMode="External"></Relationship><Relationship Id="rId5" Target="https://www.douyin.com/note/7619605942468253051" Type="http://schemas.openxmlformats.org/officeDocument/2006/relationships/hyperlink" TargetMode="External"></Relationship><Relationship Id="rId6" Target="https://www.douyin.com/video/7621131594221657457" Type="http://schemas.openxmlformats.org/officeDocument/2006/relationships/hyperlink" TargetMode="External"></Relationship><Relationship Id="rId7" Target="https://www.douyin.com/note/7621099857121775019" Type="http://schemas.openxmlformats.org/officeDocument/2006/relationships/hyperlink" TargetMode="External"></Relationship><Relationship Id="rId8" Target="https://www.douyin.com/note/7611499522330631857" Type="http://schemas.openxmlformats.org/officeDocument/2006/relationships/hyperlink" TargetMode="External"></Relationship><Relationship Id="rId9" Target="https://www.douyin.com/note/7613031533112581883" Type="http://schemas.openxmlformats.org/officeDocument/2006/relationships/hyperlink" TargetMode="External"></Relationship><Relationship Id="rId10" Target="https://www.douyin.com/video/7614841048691419327" Type="http://schemas.openxmlformats.org/officeDocument/2006/relationships/hyperlink" TargetMode="External"></Relationship><Relationship Id="rId11" Target="https://www.douyin.com/note/7616010066626177211" Type="http://schemas.openxmlformats.org/officeDocument/2006/relationships/hyperlink" TargetMode="External"></Relationship><Relationship Id="rId12" Target="https://www.douyin.com/note/7619093952427614843" Type="http://schemas.openxmlformats.org/officeDocument/2006/relationships/hyperlink" TargetMode="External"></Relationship><Relationship Id="rId13" Target="https://www.douyin.com/note/7619636679322387057" Type="http://schemas.openxmlformats.org/officeDocument/2006/relationships/hyperlink" TargetMode="External"></Relationship><Relationship Id="rId14" Target="https://www.douyin.com/search/&#28404;&#28404;?enter_from=video_detail&amp;source=pc_click_hashtag_feed" Type="http://schemas.openxmlformats.org/officeDocument/2006/relationships/hyperlink" TargetMode="External"></Relationship><Relationship Id="rId15" Target="https://www.douyin.com/video/7613759148690695077" Type="http://schemas.openxmlformats.org/officeDocument/2006/relationships/hyperlink" TargetMode="External"></Relationship><Relationship Id="rId16" Target="https://www.douyin.com/note/7615669310942601338" Type="http://schemas.openxmlformats.org/officeDocument/2006/relationships/hyperlink" TargetMode="External"></Relationship><Relationship Id="rId17" Target="https://www.douyin.com/video/7618525485648050938" Type="http://schemas.openxmlformats.org/officeDocument/2006/relationships/hyperlink" TargetMode="External"></Relationship><Relationship Id="rId18" Target="https://www.douyin.com/video/7620759348268759141" Type="http://schemas.openxmlformats.org/officeDocument/2006/relationships/hyperlink" TargetMode="External"></Relationship><Relationship Id="rId19" Target="https://www.douyin.com/note/7623066471988239337" Type="http://schemas.openxmlformats.org/officeDocument/2006/relationships/hyperlink" TargetMode="External"></Relationship><Relationship Id="rId20" Target="https://www.douyin.com/video/7611742459936919402" Type="http://schemas.openxmlformats.org/officeDocument/2006/relationships/hyperlink" TargetMode="External"></Relationship><Relationship Id="rId21" Target="https://www.douyin.com/video/7614604940937363313" Type="http://schemas.openxmlformats.org/officeDocument/2006/relationships/hyperlink" TargetMode="External"></Relationship><Relationship Id="rId22" Target="https://www.douyin.com/video/7616359394191938022" Type="http://schemas.openxmlformats.org/officeDocument/2006/relationships/hyperlink" TargetMode="External"></Relationship><Relationship Id="rId23" Target="https://www.douyin.com/note/7619935329013573091" Type="http://schemas.openxmlformats.org/officeDocument/2006/relationships/hyperlink" TargetMode="External"></Relationship><Relationship Id="rId24" Target="https://www.douyin.com/note/7620816046761141747" Type="http://schemas.openxmlformats.org/officeDocument/2006/relationships/hyperlink" TargetMode="External"></Relationship><Relationship Id="rId25" Target="https://www.douyin.com/note/7622970947830529457" Type="http://schemas.openxmlformats.org/officeDocument/2006/relationships/hyperlink" TargetMode="External"></Relationship><Relationship Id="rId26" Target="https://www.douyin.com/hashtag/1553617745212417" Type="http://schemas.openxmlformats.org/officeDocument/2006/relationships/hyperlink" TargetMode="External"></Relationship><Relationship Id="rId27" Target="https://www.douyin.com/note/7614679701290263147" Type="http://schemas.openxmlformats.org/officeDocument/2006/relationships/hyperlink" TargetMode="External"></Relationship><Relationship Id="rId28" Target="https://www.douyin.com/note/7615977113706843382" Type="http://schemas.openxmlformats.org/officeDocument/2006/relationships/hyperlink" TargetMode="External"></Relationship><Relationship Id="rId29" Target="https://www.douyin.com/video/7618932945290901903" Type="http://schemas.openxmlformats.org/officeDocument/2006/relationships/hyperlink" TargetMode="External"></Relationship><Relationship Id="rId30" Target="https://www.douyin.com/note/7620750244388744677" Type="http://schemas.openxmlformats.org/officeDocument/2006/relationships/hyperlink" TargetMode="External"></Relationship><Relationship Id="rId31" Target="https://www.douyin.com/video/7623358535632128435" Type="http://schemas.openxmlformats.org/officeDocument/2006/relationships/hyperlink" TargetMode="External"></Relationship><Relationship Id="rId32" Target="https://www.douyin.com/video/7618168504240308069" Type="http://schemas.openxmlformats.org/officeDocument/2006/relationships/hyperlink" TargetMode="External"></Relationship><Relationship Id="rId33" Target="https://www.douyin.com/note/7620767030497210778" Type="http://schemas.openxmlformats.org/officeDocument/2006/relationships/hyperlink" TargetMode="External"></Relationship><Relationship Id="rId34" Target="https://www.douyin.com/video/7623026166921225970" Type="http://schemas.openxmlformats.org/officeDocument/2006/relationships/hyperlink" TargetMode="External"></Relationship><Relationship Id="rId35" Target="https://www.douyin.com/note/7611432494563328113" Type="http://schemas.openxmlformats.org/officeDocument/2006/relationships/hyperlink" TargetMode="External"></Relationship><Relationship Id="rId36" Target="https://www.douyin.com/search/&#22825;&#23433;&#38376;&#22812;&#26223;?enter_from=video_detail&amp;source=pc_click_hashtag_feed" Type="http://schemas.openxmlformats.org/officeDocument/2006/relationships/hyperlink" TargetMode="External"></Relationship><Relationship Id="rId37" Target="https://www.douyin.com/search/&#21496;&#26426;&#24072;&#20613;?enter_from=video_detail&amp;source=pc_click_hashtag_feed" Type="http://schemas.openxmlformats.org/officeDocument/2006/relationships/hyperlink" TargetMode="External"></Relationship><Relationship Id="rId38" Target="https://www.douyin.com/note/7617498397310715327" Type="http://schemas.openxmlformats.org/officeDocument/2006/relationships/hyperlink" TargetMode="External"></Relationship><Relationship Id="rId39" Target="https://www.douyin.com/video/7620371187046075682" Type="http://schemas.openxmlformats.org/officeDocument/2006/relationships/hyperlink" TargetMode="External"></Relationship><Relationship Id="rId40" Target="https://www.douyin.com/note/7621941211725617849" Type="http://schemas.openxmlformats.org/officeDocument/2006/relationships/hyperlink" TargetMode="External"></Relationship><Relationship Id="rId41" Target="https://www.douyin.com/note/7611832044951303909" Type="http://schemas.openxmlformats.org/officeDocument/2006/relationships/hyperlink" TargetMode="External"></Relationship><Relationship Id="rId42" Target="https://www.douyin.com/note/7613787027502461352" Type="http://schemas.openxmlformats.org/officeDocument/2006/relationships/hyperlink" TargetMode="External"></Relationship><Relationship Id="rId43" Target="https://www.douyin.com/note/7615950184098960602" Type="http://schemas.openxmlformats.org/officeDocument/2006/relationships/hyperlink" TargetMode="External"></Relationship><Relationship Id="rId44" Target="https://www.douyin.com/video/7618222573041999345" Type="http://schemas.openxmlformats.org/officeDocument/2006/relationships/hyperlink" TargetMode="External"></Relationship><Relationship Id="rId45" Target="https://www.douyin.com/note/7619916215347607450" Type="http://schemas.openxmlformats.org/officeDocument/2006/relationships/hyperlink" TargetMode="External"></Relationship><Relationship Id="rId46" Target="https://www.douyin.com/note/7621904670667781553" Type="http://schemas.openxmlformats.org/officeDocument/2006/relationships/hyperlink" TargetMode="External"></Relationship><Relationship Id="rId47" Target="https://www.douyin.com/note/7612219889386191970" Type="http://schemas.openxmlformats.org/officeDocument/2006/relationships/hyperlink" TargetMode="External"></Relationship><Relationship Id="rId48" Target="https://www.douyin.com/video/7618960753446510009" Type="http://schemas.openxmlformats.org/officeDocument/2006/relationships/hyperlink" TargetMode="External"></Relationship><Relationship Id="rId49" Target="https://www.douyin.com/video/7620401522627016079" Type="http://schemas.openxmlformats.org/officeDocument/2006/relationships/hyperlink" TargetMode="External"></Relationship><Relationship Id="rId50" Target="https://www.douyin.com/video/7622531685897224689" Type="http://schemas.openxmlformats.org/officeDocument/2006/relationships/hyperlink" TargetMode="External"></Relationship><Relationship Id="rId51" Target="https://www.douyin.com/note/7612110532075037129" Type="http://schemas.openxmlformats.org/officeDocument/2006/relationships/hyperlink" TargetMode="External"></Relationship><Relationship Id="rId52" Target="https://www.douyin.com/note/7613350700244157626" Type="http://schemas.openxmlformats.org/officeDocument/2006/relationships/hyperlink" TargetMode="External"></Relationship><Relationship Id="rId53" Target="https://www.douyin.com/video/7615266309736562682" Type="http://schemas.openxmlformats.org/officeDocument/2006/relationships/hyperlink" TargetMode="External"></Relationship><Relationship Id="rId54" Target="https://www.douyin.com/note/7617137673777764465" Type="http://schemas.openxmlformats.org/officeDocument/2006/relationships/hyperlink" TargetMode="External"></Relationship><Relationship Id="rId55" Target="https://www.douyin.com/note/7619897380909579002" Type="http://schemas.openxmlformats.org/officeDocument/2006/relationships/hyperlink" TargetMode="External"></Relationship><Relationship Id="rId56" Target="https://www.douyin.com/video/7622625731391179151" Type="http://schemas.openxmlformats.org/officeDocument/2006/relationships/hyperlink" TargetMode="External"></Relationship><Relationship Id="rId57" Target="https://www.douyin.com/video/7612244922887857787" Type="http://schemas.openxmlformats.org/officeDocument/2006/relationships/hyperlink" TargetMode="External"></Relationship><Relationship Id="rId58" Target="https://www.douyin.com/video/7613215289803536101" Type="http://schemas.openxmlformats.org/officeDocument/2006/relationships/hyperlink" TargetMode="External"></Relationship><Relationship Id="rId59" Target="https://www.douyin.com/video/7613215289803536101" Type="http://schemas.openxmlformats.org/officeDocument/2006/relationships/hyperlink" TargetMode="External"></Relationship><Relationship Id="rId60" Target="https://www.douyin.com/note/7614899619931912369" Type="http://schemas.openxmlformats.org/officeDocument/2006/relationships/hyperlink" TargetMode="External"></Relationship><Relationship Id="rId61" Target="https://www.douyin.com/video/7616911882826256890" Type="http://schemas.openxmlformats.org/officeDocument/2006/relationships/hyperlink" TargetMode="External"></Relationship><Relationship Id="rId62" Target="https://www.douyin.com/note/7619346681800231592" Type="http://schemas.openxmlformats.org/officeDocument/2006/relationships/hyperlink" TargetMode="External"></Relationship><Relationship Id="rId63" Target="https://www.douyin.com/note/7621539907975294329" Type="http://schemas.openxmlformats.org/officeDocument/2006/relationships/hyperlink" TargetMode="External"></Relationship><Relationship Id="rId64" Target="https://www.douyin.com/search/&#22825;&#23433;&#38376;?enter_from=video_detail&amp;source=pc_click_hashtag_feed" Type="http://schemas.openxmlformats.org/officeDocument/2006/relationships/hyperlink" TargetMode="External"></Relationship><Relationship Id="rId65" Target="https://www.douyin.com/video/7612865593025511337" Type="http://schemas.openxmlformats.org/officeDocument/2006/relationships/hyperlink" TargetMode="External"></Relationship><Relationship Id="rId66" Target="https://www.douyin.com/video/7615713873504923322" Type="http://schemas.openxmlformats.org/officeDocument/2006/relationships/hyperlink" TargetMode="External"></Relationship><Relationship Id="rId67" Target="https://www.douyin.com/video/7617859050039070435" Type="http://schemas.openxmlformats.org/officeDocument/2006/relationships/hyperlink" TargetMode="External"></Relationship><Relationship Id="rId68" Target="https://www.douyin.com/video/7619392937248262208" Type="http://schemas.openxmlformats.org/officeDocument/2006/relationships/hyperlink" TargetMode="External"></Relationship><Relationship Id="rId69" Target="https://www.douyin.com/note/7621580768725255525" Type="http://schemas.openxmlformats.org/officeDocument/2006/relationships/hyperlink" TargetMode="External"></Relationship><Relationship Id="rId70" Target="https://www.douyin.com/video/7621965075905249910" Type="http://schemas.openxmlformats.org/officeDocument/2006/relationships/hyperlink" TargetMode="External"></Relationship><Relationship Id="rId71" Target="https://www.douyin.com/video/7612087271226903844" Type="http://schemas.openxmlformats.org/officeDocument/2006/relationships/hyperlink" TargetMode="External"></Relationship><Relationship Id="rId72" Target="https://www.douyin.com/video/7612918993481033330" Type="http://schemas.openxmlformats.org/officeDocument/2006/relationships/hyperlink" TargetMode="External"></Relationship><Relationship Id="rId73" Target="https://www.douyin.com/hashtag/1767586840628232" Type="http://schemas.openxmlformats.org/officeDocument/2006/relationships/hyperlink" TargetMode="External"></Relationship><Relationship Id="rId74" Target="https://www.douyin.com/video/7615783338746236337" Type="http://schemas.openxmlformats.org/officeDocument/2006/relationships/hyperlink" TargetMode="External"></Relationship><Relationship Id="rId75" Target="https://www.douyin.com/video/7617891266244423656" Type="http://schemas.openxmlformats.org/officeDocument/2006/relationships/hyperlink" TargetMode="External"></Relationship><Relationship Id="rId76" Target="https://www.douyin.com/video/7620296845138728549" Type="http://schemas.openxmlformats.org/officeDocument/2006/relationships/hyperlink" TargetMode="External"></Relationship><Relationship Id="rId77" Target="https://www.douyin.com/search/&#24191;&#24030;?enter_from=video_detail&amp;source=pc_click_hashtag_feed" Type="http://schemas.openxmlformats.org/officeDocument/2006/relationships/hyperlink" TargetMode="External"></Relationship><Relationship Id="rId78" Target="https://www.douyin.com/video/7612686487277578602" Type="http://schemas.openxmlformats.org/officeDocument/2006/relationships/hyperlink" TargetMode="External"></Relationship><Relationship Id="rId79" Target="https://www.douyin.com/video/7615259770899058779" Type="http://schemas.openxmlformats.org/officeDocument/2006/relationships/hyperlink" TargetMode="External"></Relationship><Relationship Id="rId80" Target="https://www.douyin.com/note/7616286705788479977" Type="http://schemas.openxmlformats.org/officeDocument/2006/relationships/hyperlink" TargetMode="External"></Relationship><Relationship Id="rId81" Target="https://www.douyin.com/note/7620309274209021605" Type="http://schemas.openxmlformats.org/officeDocument/2006/relationships/hyperlink" TargetMode="External"></Relationship><Relationship Id="rId82" Target="https://www.douyin.com/note/7622163930036053684" Type="http://schemas.openxmlformats.org/officeDocument/2006/relationships/hyperlink" TargetMode="External"></Relationship><Relationship Id="rId83" Target="https://www.douyin.com/note/7623407790573423066" Type="http://schemas.openxmlformats.org/officeDocument/2006/relationships/hyperlink" TargetMode="External"></Relationship><Relationship Id="rId84" Target="https://www.douyin.com/video/7612207816275352497" Type="http://schemas.openxmlformats.org/officeDocument/2006/relationships/hyperlink" TargetMode="External"></Relationship><Relationship Id="rId85" Target="https://www.douyin.com/video/7611743676641705295" Type="http://schemas.openxmlformats.org/officeDocument/2006/relationships/hyperlink" TargetMode="External"></Relationship><Relationship Id="rId86" Target="https://www.douyin.com/note/7614491818344720739" Type="http://schemas.openxmlformats.org/officeDocument/2006/relationships/hyperlink" TargetMode="External"></Relationship><Relationship Id="rId87" Target="https://www.douyin.com/note/7616183547221202259" Type="http://schemas.openxmlformats.org/officeDocument/2006/relationships/hyperlink" TargetMode="External"></Relationship><Relationship Id="rId88" Target="https://www.douyin.com/note/7619357588699109065" Type="http://schemas.openxmlformats.org/officeDocument/2006/relationships/hyperlink" TargetMode="External"></Relationship><Relationship Id="rId89" Target="https://www.douyin.com/note/7621196315842001280" Type="http://schemas.openxmlformats.org/officeDocument/2006/relationships/hyperlink" TargetMode="External"></Relationship><Relationship Id="rId90" Target="https://www.douyin.com/note/7615049142386066043" Type="http://schemas.openxmlformats.org/officeDocument/2006/relationships/hyperlink" TargetMode="External"></Relationship><Relationship Id="rId91" Target="https://www.douyin.com/note/7617431215097004667" Type="http://schemas.openxmlformats.org/officeDocument/2006/relationships/hyperlink" TargetMode="External"></Relationship><Relationship Id="rId92" Target="https://www.douyin.com/video/7619622592362705846" Type="http://schemas.openxmlformats.org/officeDocument/2006/relationships/hyperlink" TargetMode="External"></Relationship><Relationship Id="rId93" Target="https://www.douyin.com/video/7620717387695869226" Type="http://schemas.openxmlformats.org/officeDocument/2006/relationships/hyperlink" TargetMode="External"></Relationship><Relationship Id="rId94" Target="https://www.douyin.com/note/7623367834466321253" Type="http://schemas.openxmlformats.org/officeDocument/2006/relationships/hyperlink" TargetMode="External"></Relationship></Relationships>
</file>

<file path=xl/worksheets/_rels/sheet3.xml.rels><?xml version="1.0" encoding="UTF-8" standalone="yes"?>
<Relationships xmlns="http://schemas.openxmlformats.org/package/2006/relationships"><Relationship Id="rId1" Target="https://www.douyin.com/note/7626240521292568483" Type="http://schemas.openxmlformats.org/officeDocument/2006/relationships/hyperlink" TargetMode="External"></Relationship><Relationship Id="rId2" Target="https://www.douyin.com/note/7630280919329366708" Type="http://schemas.openxmlformats.org/officeDocument/2006/relationships/hyperlink" TargetMode="External"></Relationship><Relationship Id="rId3" Target="https://www.douyin.com/video/7631754234015477361" Type="http://schemas.openxmlformats.org/officeDocument/2006/relationships/hyperlink" TargetMode="External"></Relationship><Relationship Id="rId4" Target="https://www.douyin.com/video/7634061256496521851" Type="http://schemas.openxmlformats.org/officeDocument/2006/relationships/hyperlink" TargetMode="External"></Relationship><Relationship Id="rId5" Target="https://www.douyin.com/note/7626984999901013113" Type="http://schemas.openxmlformats.org/officeDocument/2006/relationships/hyperlink" TargetMode="External"></Relationship><Relationship Id="rId6" Target="https://www.douyin.com/video/7630433467185514597" Type="http://schemas.openxmlformats.org/officeDocument/2006/relationships/hyperlink" TargetMode="External"></Relationship><Relationship Id="rId7" Target="https://www.douyin.com/note/7632617218002329514" Type="http://schemas.openxmlformats.org/officeDocument/2006/relationships/hyperlink" TargetMode="External"></Relationship><Relationship Id="rId8" Target="https://www.douyin.com/note/7627440028503106771" Type="http://schemas.openxmlformats.org/officeDocument/2006/relationships/hyperlink" TargetMode="External"></Relationship><Relationship Id="rId9" Target="https://www.douyin.com/video/7629612388421693945" Type="http://schemas.openxmlformats.org/officeDocument/2006/relationships/hyperlink" TargetMode="External"></Relationship><Relationship Id="rId10" Target="https://www.douyin.com/video/7632511512201008505" Type="http://schemas.openxmlformats.org/officeDocument/2006/relationships/hyperlink" TargetMode="External"></Relationship><Relationship Id="rId11" Target="https://www.douyin.com/video/7626715483103183604" Type="http://schemas.openxmlformats.org/officeDocument/2006/relationships/hyperlink" TargetMode="External"></Relationship><Relationship Id="rId12" Target="https://www.douyin.com/video/7630071089049654198" Type="http://schemas.openxmlformats.org/officeDocument/2006/relationships/hyperlink" TargetMode="External"></Relationship><Relationship Id="rId13" Target="https://www.douyin.com/video/7632912964463542479" Type="http://schemas.openxmlformats.org/officeDocument/2006/relationships/hyperlink" TargetMode="External"></Relationship><Relationship Id="rId14" Target="https://www.douyin.com/video/7634026065808580795" Type="http://schemas.openxmlformats.org/officeDocument/2006/relationships/hyperlink" TargetMode="External"></Relationship><Relationship Id="rId15" Target="https://www.douyin.com/video/7627467421783603045" Type="http://schemas.openxmlformats.org/officeDocument/2006/relationships/hyperlink" TargetMode="External"></Relationship><Relationship Id="rId16" Target="https://www.douyin.com/video/7630474109919557051" Type="http://schemas.openxmlformats.org/officeDocument/2006/relationships/hyperlink" TargetMode="External"></Relationship><Relationship Id="rId17" Target="https://www.douyin.com/video/7632889897694619264" Type="http://schemas.openxmlformats.org/officeDocument/2006/relationships/hyperlink" TargetMode="External"></Relationship><Relationship Id="rId18" Target="https://www.douyin.com/video/7624862115832787121" Type="http://schemas.openxmlformats.org/officeDocument/2006/relationships/hyperlink" TargetMode="External"></Relationship><Relationship Id="rId19" Target="https://www.douyin.com/video/7627656361078613477" Type="http://schemas.openxmlformats.org/officeDocument/2006/relationships/hyperlink" TargetMode="External"></Relationship><Relationship Id="rId20" Target="https://www.douyin.com/video/7628568501427008241" Type="http://schemas.openxmlformats.org/officeDocument/2006/relationships/hyperlink" TargetMode="External"></Relationship><Relationship Id="rId21" Target="https://www.douyin.com/video/7630833058359450441" Type="http://schemas.openxmlformats.org/officeDocument/2006/relationships/hyperlink" TargetMode="External"></Relationship><Relationship Id="rId22" Target="https://www.douyin.com/video/7631754660667995892" Type="http://schemas.openxmlformats.org/officeDocument/2006/relationships/hyperlink" TargetMode="External"></Relationship><Relationship Id="rId23" Target="https://www.douyin.com/video/7624320840444438116" Type="http://schemas.openxmlformats.org/officeDocument/2006/relationships/hyperlink" TargetMode="External"></Relationship><Relationship Id="rId24" Target="https://www.douyin.com/video/7627890045047581027" Type="http://schemas.openxmlformats.org/officeDocument/2006/relationships/hyperlink" TargetMode="External"></Relationship><Relationship Id="rId25" Target="https://www.douyin.com/video/7631145389820062201" Type="http://schemas.openxmlformats.org/officeDocument/2006/relationships/hyperlink" TargetMode="External"></Relationship><Relationship Id="rId26" Target="https://www.douyin.com/video/7633260661108049226" Type="http://schemas.openxmlformats.org/officeDocument/2006/relationships/hyperlink" TargetMode="External"></Relationship><Relationship Id="rId27" Target="https://www.douyin.com/video/7623768838857578048" Type="http://schemas.openxmlformats.org/officeDocument/2006/relationships/hyperlink" TargetMode="External"></Relationship><Relationship Id="rId28" Target="https://www.douyin.com/video/7628055768176180586" Type="http://schemas.openxmlformats.org/officeDocument/2006/relationships/hyperlink" TargetMode="External"></Relationship><Relationship Id="rId29" Target="https://www.douyin.com/video/7629126711086685289" Type="http://schemas.openxmlformats.org/officeDocument/2006/relationships/hyperlink" TargetMode="External"></Relationship><Relationship Id="rId30" Target="https://www.douyin.com/video/7632465056047360442" Type="http://schemas.openxmlformats.org/officeDocument/2006/relationships/hyperlink" TargetMode="External"></Relationship><Relationship Id="rId31" Target="https://www.douyin.com/note/7624113880570299215" Type="http://schemas.openxmlformats.org/officeDocument/2006/relationships/hyperlink" TargetMode="External"></Relationship><Relationship Id="rId32" Target="https://www.douyin.com/video/7629141999672840169" Type="http://schemas.openxmlformats.org/officeDocument/2006/relationships/hyperlink" TargetMode="External"></Relationship><Relationship Id="rId33" Target="https://www.douyin.com/video/7628801934065316517" Type="http://schemas.openxmlformats.org/officeDocument/2006/relationships/hyperlink" TargetMode="External"></Relationship><Relationship Id="rId34" Target="https://www.douyin.com/video/7631938177683662579" Type="http://schemas.openxmlformats.org/officeDocument/2006/relationships/hyperlink" TargetMode="External"></Relationship><Relationship Id="rId35" Target="https://www.douyin.com/video/7625090564824947065" Type="http://schemas.openxmlformats.org/officeDocument/2006/relationships/hyperlink" TargetMode="External"></Relationship><Relationship Id="rId36" Target="https://www.douyin.com/video/7628928486560089529" Type="http://schemas.openxmlformats.org/officeDocument/2006/relationships/hyperlink" TargetMode="External"></Relationship><Relationship Id="rId37" Target="https://www.douyin.com/video/7631062852215782976" Type="http://schemas.openxmlformats.org/officeDocument/2006/relationships/hyperlink" TargetMode="External"></Relationship><Relationship Id="rId38" Target="https://www.douyin.com/video/7633007885915943606" Type="http://schemas.openxmlformats.org/officeDocument/2006/relationships/hyperlink" TargetMode="External"></Relationship><Relationship Id="rId39" Target="https://www.douyin.com/note/7625760714330410816" Type="http://schemas.openxmlformats.org/officeDocument/2006/relationships/hyperlink" TargetMode="External"></Relationship><Relationship Id="rId40" Target="https://www.douyin.com/video/7628593020561465713" Type="http://schemas.openxmlformats.org/officeDocument/2006/relationships/hyperlink" TargetMode="External"></Relationship><Relationship Id="rId41" Target="https://www.douyin.com/video/7631406422018455730" Type="http://schemas.openxmlformats.org/officeDocument/2006/relationships/hyperlink" TargetMode="External"></Relationship><Relationship Id="rId42" Target="https://www.douyin.com/video/7632969984486313061" Type="http://schemas.openxmlformats.org/officeDocument/2006/relationships/hyperlink" TargetMode="External"></Relationship><Relationship Id="rId43" Target="https://www.douyin.com/note/7625245014687938233" Type="http://schemas.openxmlformats.org/officeDocument/2006/relationships/hyperlink" TargetMode="External"></Relationship><Relationship Id="rId44" Target="https://www.douyin.com/video/7628175992222109553" Type="http://schemas.openxmlformats.org/officeDocument/2006/relationships/hyperlink" TargetMode="External"></Relationship><Relationship Id="rId45" Target="https://www.douyin.com/video/7631151287887270757" Type="http://schemas.openxmlformats.org/officeDocument/2006/relationships/hyperlink" TargetMode="External"></Relationship><Relationship Id="rId46" Target="https://www.douyin.com/video/7633750886359587048" Type="http://schemas.openxmlformats.org/officeDocument/2006/relationships/hyperlink" TargetMode="External"></Relationship><Relationship Id="rId47" Target="https://www.douyin.com/note/7624963816623740027" Type="http://schemas.openxmlformats.org/officeDocument/2006/relationships/hyperlink" TargetMode="External"></Relationship><Relationship Id="rId48" Target="https://www.douyin.com/video/7631159721408326771" Type="http://schemas.openxmlformats.org/officeDocument/2006/relationships/hyperlink" TargetMode="External"></Relationship><Relationship Id="rId49" Target="https://www.douyin.com/video/7633786629181727609" Type="http://schemas.openxmlformats.org/officeDocument/2006/relationships/hyperlink" TargetMode="External"></Relationship><Relationship Id="rId50" Target="https://www.douyin.com/video/7626383694223907429" Type="http://schemas.openxmlformats.org/officeDocument/2006/relationships/hyperlink" TargetMode="External"></Relationship><Relationship Id="rId51" Target="https://www.douyin.com/video/7630163601161398178" Type="http://schemas.openxmlformats.org/officeDocument/2006/relationships/hyperlink" TargetMode="External"></Relationship><Relationship Id="rId52" Target="https://www.douyin.com/video/7631803624960610230" Type="http://schemas.openxmlformats.org/officeDocument/2006/relationships/hyperlink" TargetMode="External"></Relationship><Relationship Id="rId53" Target="https://www.douyin.com/note/7634169978048694630" Type="http://schemas.openxmlformats.org/officeDocument/2006/relationships/hyperlink" TargetMode="External"></Relationship><Relationship Id="rId54" Target="https://www.douyin.com/note/7626557894406165434" Type="http://schemas.openxmlformats.org/officeDocument/2006/relationships/hyperlink" TargetMode="External"></Relationship><Relationship Id="rId55" Target="https://www.douyin.com/video/7629911775865505906" Type="http://schemas.openxmlformats.org/officeDocument/2006/relationships/hyperlink" TargetMode="External"></Relationship><Relationship Id="rId56" Target="https://www.douyin.com/video/7631919828249700068" Type="http://schemas.openxmlformats.org/officeDocument/2006/relationships/hyperlink" TargetMode="External"></Relationship><Relationship Id="rId57" Target="https://www.douyin.com/video/7633992971189784147" Type="http://schemas.openxmlformats.org/officeDocument/2006/relationships/hyperlink" TargetMode="External"></Relationship><Relationship Id="rId58" Target="https://www.douyin.com/note/7625846621917471208" Type="http://schemas.openxmlformats.org/officeDocument/2006/relationships/hyperlink" TargetMode="External"></Relationship><Relationship Id="rId59" Target="https://www.douyin.com/note/7630389147651540148" Type="http://schemas.openxmlformats.org/officeDocument/2006/relationships/hyperlink" TargetMode="External"></Relationship><Relationship Id="rId60" Target="https://www.douyin.com/note/7631161091032347131" Type="http://schemas.openxmlformats.org/officeDocument/2006/relationships/hyperlink" TargetMode="External"></Relationship><Relationship Id="rId61" Target="https://www.douyin.com/note/7634085219296901353" Type="http://schemas.openxmlformats.org/officeDocument/2006/relationships/hyperlink" TargetMode="External"></Relationship></Relationships>
</file>

<file path=xl/worksheets/_rels/sheet4.xml.rels><?xml version="1.0" encoding="UTF-8" standalone="yes"?>
<Relationships xmlns="http://schemas.openxmlformats.org/package/2006/relationships"><Relationship Id="rId1" Target="https://www.douyin.com/video/7640897437604151503" Type="http://schemas.openxmlformats.org/officeDocument/2006/relationships/hyperlink" TargetMode="External"></Relationship><Relationship Id="rId2" Target="https://www.douyin.com/note/7641875385806374833" Type="http://schemas.openxmlformats.org/officeDocument/2006/relationships/hyperlink" TargetMode="External"></Relationship><Relationship Id="rId3" Target="https://www.douyin.com/video/7642987403964425702" Type="http://schemas.openxmlformats.org/officeDocument/2006/relationships/hyperlink" TargetMode="External"></Relationship><Relationship Id="rId4" Target="https://www.douyin.com/video/7636439919821352357" Type="http://schemas.openxmlformats.org/officeDocument/2006/relationships/hyperlink" TargetMode="External"></Relationship><Relationship Id="rId5" Target="https://www.douyin.com/video/7637044455720278251" Type="http://schemas.openxmlformats.org/officeDocument/2006/relationships/hyperlink" TargetMode="External"></Relationship><Relationship Id="rId6" Target="https://www.douyin.com/note/7639772595369289381" Type="http://schemas.openxmlformats.org/officeDocument/2006/relationships/hyperlink" TargetMode="External"></Relationship><Relationship Id="rId7" Target="https://www.douyin.com/note/7639360447649575034" Type="http://schemas.openxmlformats.org/officeDocument/2006/relationships/hyperlink" TargetMode="External"></Relationship><Relationship Id="rId8" Target="https://www.douyin.com/note/7640097613844477669" Type="http://schemas.openxmlformats.org/officeDocument/2006/relationships/hyperlink" TargetMode="External"></Relationship><Relationship Id="rId9" Target="https://www.douyin.com/note/7641163045289481322" Type="http://schemas.openxmlformats.org/officeDocument/2006/relationships/hyperlink" TargetMode="External"></Relationship><Relationship Id="rId10" Target="https://www.douyin.com/video/7642542991392131697" Type="http://schemas.openxmlformats.org/officeDocument/2006/relationships/hyperlink" TargetMode="External"></Relationship><Relationship Id="rId11" Target="https://www.douyin.com/note/7636204932429437370" Type="http://schemas.openxmlformats.org/officeDocument/2006/relationships/hyperlink" TargetMode="External"></Relationship><Relationship Id="rId12" Target="https://www.douyin.com/video/7636020034524274043" Type="http://schemas.openxmlformats.org/officeDocument/2006/relationships/hyperlink" TargetMode="External"></Relationship><Relationship Id="rId13" Target="https://www.douyin.com/video/7636826521273382309" Type="http://schemas.openxmlformats.org/officeDocument/2006/relationships/hyperlink" TargetMode="External"></Relationship><Relationship Id="rId14" Target="https://www.douyin.com/note/7640285558464104890" Type="http://schemas.openxmlformats.org/officeDocument/2006/relationships/hyperlink" TargetMode="External"></Relationship><Relationship Id="rId15" Target="https://www.douyin.com/note/7641993475752266235" Type="http://schemas.openxmlformats.org/officeDocument/2006/relationships/hyperlink" TargetMode="External"></Relationship><Relationship Id="rId16" Target="https://www.douyin.com/note/7644783522482479781" Type="http://schemas.openxmlformats.org/officeDocument/2006/relationships/hyperlink" TargetMode="External"></Relationship><Relationship Id="rId17" Target="https://www.douyin.com/note/7635545727879850313" Type="http://schemas.openxmlformats.org/officeDocument/2006/relationships/hyperlink" TargetMode="External"></Relationship><Relationship Id="rId18" Target="https://www.douyin.com/video/7637394139268615462" Type="http://schemas.openxmlformats.org/officeDocument/2006/relationships/hyperlink" TargetMode="External"></Relationship><Relationship Id="rId19" Target="https://www.douyin.com/note/7639298762268064241" Type="http://schemas.openxmlformats.org/officeDocument/2006/relationships/hyperlink" TargetMode="External"></Relationship><Relationship Id="rId20" Target="https://www.douyin.com/video/7640834357934858225" Type="http://schemas.openxmlformats.org/officeDocument/2006/relationships/hyperlink" TargetMode="External"></Relationship><Relationship Id="rId21" Target="https://www.douyin.com/video/7641882679970377957" Type="http://schemas.openxmlformats.org/officeDocument/2006/relationships/hyperlink" TargetMode="External"></Relationship><Relationship Id="rId22" Target="https://www.douyin.com/note/7643698260415278282" Type="http://schemas.openxmlformats.org/officeDocument/2006/relationships/hyperlink" TargetMode="External"></Relationship><Relationship Id="rId23" Target="https://www.douyin.com/video/7636040612411755802" Type="http://schemas.openxmlformats.org/officeDocument/2006/relationships/hyperlink" TargetMode="External"></Relationship><Relationship Id="rId24" Target="https://www.douyin.com/video/7636643841961216127" Type="http://schemas.openxmlformats.org/officeDocument/2006/relationships/hyperlink" TargetMode="External"></Relationship><Relationship Id="rId25" Target="https://www.douyin.com/note/7638908016368917681" Type="http://schemas.openxmlformats.org/officeDocument/2006/relationships/hyperlink" TargetMode="External"></Relationship><Relationship Id="rId26" Target="https://www.douyin.com/video/7641922307711110454" Type="http://schemas.openxmlformats.org/officeDocument/2006/relationships/hyperlink" TargetMode="External"></Relationship><Relationship Id="rId27" Target="https://www.douyin.com/note/7645240445212140901" Type="http://schemas.openxmlformats.org/officeDocument/2006/relationships/hyperlink" TargetMode="External"></Relationship><Relationship Id="rId28" Target="https://www.douyin.com/video/7637869144147080817" Type="http://schemas.openxmlformats.org/officeDocument/2006/relationships/hyperlink" TargetMode="External"></Relationship><Relationship Id="rId29" Target="https://www.douyin.com/note/7639587991471701105" Type="http://schemas.openxmlformats.org/officeDocument/2006/relationships/hyperlink" TargetMode="External"></Relationship><Relationship Id="rId30" Target="https://www.douyin.com/video/7640775971604485993" Type="http://schemas.openxmlformats.org/officeDocument/2006/relationships/hyperlink" TargetMode="External"></Relationship><Relationship Id="rId31" Target="https://www.douyin.com/note/7640942718125977999" Type="http://schemas.openxmlformats.org/officeDocument/2006/relationships/hyperlink" TargetMode="External"></Relationship><Relationship Id="rId32" Target="https://www.douyin.com/video/7641921320654050427" Type="http://schemas.openxmlformats.org/officeDocument/2006/relationships/hyperlink" TargetMode="External"></Relationship><Relationship Id="rId33" Target="https://www.douyin.com/note/7644884486891055345" Type="http://schemas.openxmlformats.org/officeDocument/2006/relationships/hyperlink" TargetMode="External"></Relationship><Relationship Id="rId34" Target="https://www.douyin.com/video/7635684064943428729" Type="http://schemas.openxmlformats.org/officeDocument/2006/relationships/hyperlink" TargetMode="External"></Relationship><Relationship Id="rId35" Target="https://www.douyin.com/video/7637703323614063275" Type="http://schemas.openxmlformats.org/officeDocument/2006/relationships/hyperlink" TargetMode="External"></Relationship><Relationship Id="rId36" Target="https://www.douyin.com/note/7639700717046112383" Type="http://schemas.openxmlformats.org/officeDocument/2006/relationships/hyperlink" TargetMode="External"></Relationship><Relationship Id="rId37" Target="https://www.douyin.com/video/7641120212301335651" Type="http://schemas.openxmlformats.org/officeDocument/2006/relationships/hyperlink" TargetMode="External"></Relationship><Relationship Id="rId38" Target="https://www.douyin.com/video/7641439405101877689" Type="http://schemas.openxmlformats.org/officeDocument/2006/relationships/hyperlink" TargetMode="External"></Relationship><Relationship Id="rId39" Target="https://www.douyin.com/user/MS4wLjABAAAA_7cgS9jyMObeRftEnQsxCj3kgz23c5BEfSOrqxibHa0?from_tab_name=main&amp;modal_id=7645601096832956904&amp;vid=7645601096832956904" Type="http://schemas.openxmlformats.org/officeDocument/2006/relationships/hyperlink" TargetMode="External"></Relationship><Relationship Id="rId40" Target="https://www.douyin.com/note/7635922915368283775" Type="http://schemas.openxmlformats.org/officeDocument/2006/relationships/hyperlink" TargetMode="External"></Relationship><Relationship Id="rId41" Target="https://www.douyin.com/note/7638470477203931643" Type="http://schemas.openxmlformats.org/officeDocument/2006/relationships/hyperlink" TargetMode="External"></Relationship><Relationship Id="rId42" Target="https://www.douyin.com/video/7639539369804821434" Type="http://schemas.openxmlformats.org/officeDocument/2006/relationships/hyperlink" TargetMode="External"></Relationship><Relationship Id="rId43" Target="https://www.douyin.com/note/7640813564869112942" Type="http://schemas.openxmlformats.org/officeDocument/2006/relationships/hyperlink" TargetMode="External"></Relationship><Relationship Id="rId44" Target="https://www.douyin.com/video/7641872986798179494" Type="http://schemas.openxmlformats.org/officeDocument/2006/relationships/hyperlink" TargetMode="External"></Relationship><Relationship Id="rId45" Target="https://www.douyin.com/user/MS4wLjABAAAAHiNlZYZTggesEkYjsQOZAMiIoZx92Px0Ly_6HDjpSMc?from_tab_name=main&amp;modal_id=7645700319447662666&amp;vid=7645700319447662666" Type="http://schemas.openxmlformats.org/officeDocument/2006/relationships/hyperlink" TargetMode="External"></Relationship><Relationship Id="rId46" Target="https://www.douyin.com/video/7636034872154967707" Type="http://schemas.openxmlformats.org/officeDocument/2006/relationships/hyperlink" TargetMode="External"></Relationship><Relationship Id="rId47" Target="https://www.douyin.com/note/7638835615421411577" Type="http://schemas.openxmlformats.org/officeDocument/2006/relationships/hyperlink" TargetMode="External"></Relationship><Relationship Id="rId48" Target="https://www.douyin.com/note/7640081270203342562" Type="http://schemas.openxmlformats.org/officeDocument/2006/relationships/hyperlink" TargetMode="External"></Relationship></Relationships>
</file>

<file path=xl/worksheets/_rels/sheet5.xml.rels><?xml version="1.0" encoding="UTF-8" standalone="yes"?>
<Relationships xmlns="http://schemas.openxmlformats.org/package/2006/relationships"><Relationship Id="rId1" Target="https://www.douyin.com/video/7648121194428425573" Type="http://schemas.openxmlformats.org/officeDocument/2006/relationships/hyperlink" TargetMode="External"></Relationship><Relationship Id="rId2" Target="https://www.douyin.com/video/7645956165910827377" Type="http://schemas.openxmlformats.org/officeDocument/2006/relationships/hyperlink" TargetMode="External"></Relationship><Relationship Id="rId3" Target="https://www.douyin.com/video/7647214379003431907" Type="http://schemas.openxmlformats.org/officeDocument/2006/relationships/hyperlink" TargetMode="External"></Relationship><Relationship Id="rId4" Target="https://www.douyin.com/note/7647815865568169295" Type="http://schemas.openxmlformats.org/officeDocument/2006/relationships/hyperlink" TargetMode="External"></Relationship><Relationship Id="rId5" Target="https://www.douyin.com/note/7649063213564689138" Type="http://schemas.openxmlformats.org/officeDocument/2006/relationships/hyperlink" TargetMode="External"></Relationship><Relationship Id="rId6" Target="https://www.douyin.com/note/7646632021980156346" Type="http://schemas.openxmlformats.org/officeDocument/2006/relationships/hyperlink" TargetMode="External"></Relationship><Relationship Id="rId7" Target="https://www.douyin.com/video/7648092654844692970" Type="http://schemas.openxmlformats.org/officeDocument/2006/relationships/hyperlink" TargetMode="External"></Relationship><Relationship Id="rId8" Target="https://www.douyin.com/video/7648840710867964325" Type="http://schemas.openxmlformats.org/officeDocument/2006/relationships/hyperlink" TargetMode="External"></Relationship><Relationship Id="rId9" Target="https://www.douyin.com/video/7648943448107741682" Type="http://schemas.openxmlformats.org/officeDocument/2006/relationships/hyperlink" TargetMode="External"></Relationship><Relationship Id="rId10" Target="https://www.douyin.com/video/7651235777007377787" Type="http://schemas.openxmlformats.org/officeDocument/2006/relationships/hyperlink" TargetMode="External"></Relationship><Relationship Id="rId11" Target="https://www.douyin.com/note/7646701552317873787" Type="http://schemas.openxmlformats.org/officeDocument/2006/relationships/hyperlink" TargetMode="External"></Relationship><Relationship Id="rId12" Target="https://www.douyin.com/user/MS4wLjABAAAAuZvZ6VAA6cysm3VWXGSfj4yJnWGSOUFbZFAky1iC_1Q?from_tab_name=main&amp;modal_id=7647513382476541541&amp;vid=7647513382476541541" Type="http://schemas.openxmlformats.org/officeDocument/2006/relationships/hyperlink" TargetMode="External"></Relationship><Relationship Id="rId13" Target="https://www.douyin.com/video/7648887011160830180" Type="http://schemas.openxmlformats.org/officeDocument/2006/relationships/hyperlink" TargetMode="External"></Relationship><Relationship Id="rId14" Target="https://www.douyin.com/video/7648609080373822586" Type="http://schemas.openxmlformats.org/officeDocument/2006/relationships/hyperlink" TargetMode="External"></Relationship><Relationship Id="rId15" Target="https://www.douyin.com/video/7651087551021976177" Type="http://schemas.openxmlformats.org/officeDocument/2006/relationships/hyperlink" TargetMode="External"></Relationship><Relationship Id="rId16" Target="https://www.douyin.com/note/7646727972648596218" Type="http://schemas.openxmlformats.org/officeDocument/2006/relationships/hyperlink" TargetMode="External"></Relationship><Relationship Id="rId17" Target="https://www.douyin.com/user/MS4wLjABAAAAJT00acZ9BEt6-OB1zk6oV1GFf2azeh_kQhjcxcwY0X8k-_kXcxTTL2JwWJUF35x1?from_tab_name=main&amp;modal_id=7646742373196733811" Type="http://schemas.openxmlformats.org/officeDocument/2006/relationships/hyperlink" TargetMode="External"></Relationship><Relationship Id="rId18" Target="https://www.douyin.com/video/7647506813403365321" Type="http://schemas.openxmlformats.org/officeDocument/2006/relationships/hyperlink" TargetMode="External"></Relationship></Relationships>
</file>

<file path=xl/worksheets/_rels/sheet6.xml.rels><?xml version="1.0" encoding="UTF-8" standalone="yes"?>
<Relationships xmlns="http://schemas.openxmlformats.org/package/2006/relationships"><Relationship Id="rId1" Target="https://www.douyin.com/video/7620371187046075682" Type="http://schemas.openxmlformats.org/officeDocument/2006/relationships/hyperlink" TargetMode="External"></Relationship><Relationship Id="rId2" Target="https://www.douyin.com/note/7627440028503106771" Type="http://schemas.openxmlformats.org/officeDocument/2006/relationships/hyperlink" TargetMode="External"></Relationship><Relationship Id="rId3" Target="https://www.douyin.com/video/7632889897694619264" Type="http://schemas.openxmlformats.org/officeDocument/2006/relationships/hyperlink" TargetMode="External"></Relationship><Relationship Id="rId4" Target="https://www.douyin.com/note/7639298762268064241" Type="http://schemas.openxmlformats.org/officeDocument/2006/relationships/hyperlink" TargetMode="External"></Relationship><Relationship Id="rId5" Target="https://www.douyin.com/video/7647815865568169295" Type="http://schemas.openxmlformats.org/officeDocument/2006/relationships/hyperlink" TargetMode="External"></Relationship><Relationship Id="rId6" Target="https://www.douyin.com/video/7615713873504923322" Type="http://schemas.openxmlformats.org/officeDocument/2006/relationships/hyperlink" TargetMode="External"></Relationship><Relationship Id="rId7" Target="https://www.douyin.com/video/7615713873504923322" Type="http://schemas.openxmlformats.org/officeDocument/2006/relationships/hyperlink" TargetMode="External"></Relationship><Relationship Id="rId8" Target="https://www.douyin.com/video/7615713873504923322" Type="http://schemas.openxmlformats.org/officeDocument/2006/relationships/hyperlink" TargetMode="External"></Relationship><Relationship Id="rId9" Target="https://www.douyin.com/video/7615713873504923322" Type="http://schemas.openxmlformats.org/officeDocument/2006/relationships/hyperlink" TargetMode="External"></Relationship><Relationship Id="rId10" Target="https://www.douyin.com/video/7615713873504923322" Type="http://schemas.openxmlformats.org/officeDocument/2006/relationships/hyperlink" TargetMode="External"></Relationship><Relationship Id="rId11" Target="https://www.douyin.com/video/7615713873504923322" Type="http://schemas.openxmlformats.org/officeDocument/2006/relationships/hyperlink" TargetMode="External"></Relationship><Relationship Id="rId12" Target="https://www.douyin.com/video/7620401522627016079" Type="http://schemas.openxmlformats.org/officeDocument/2006/relationships/hyperlink" TargetMode="External"></Relationship><Relationship Id="rId13" Target="https://www.douyin.com/video/7627890045047581027" Type="http://schemas.openxmlformats.org/officeDocument/2006/relationships/hyperlink" TargetMode="External"></Relationship><Relationship Id="rId14" Target="https://www.douyin.com/note/7632617218002329514" Type="http://schemas.openxmlformats.org/officeDocument/2006/relationships/hyperlink" TargetMode="External"></Relationship><Relationship Id="rId15" Target="https://www.douyin.com/note/7632617218002329514" Type="http://schemas.openxmlformats.org/officeDocument/2006/relationships/hyperlink" TargetMode="External"></Relationship><Relationship Id="rId16" Target="https://www.douyin.com/note/7639360447649575034" Type="http://schemas.openxmlformats.org/officeDocument/2006/relationships/hyperlink" TargetMode="External"></Relationship><Relationship Id="rId17" Target="https://www.douyin.com/video/7647214379003431907" Type="http://schemas.openxmlformats.org/officeDocument/2006/relationships/hyperlink" TargetMode="External"></Relationship><Relationship Id="rId18" Target="https://www.douyin.com/video/7647513382476541541" Type="http://schemas.openxmlformats.org/officeDocument/2006/relationships/hyperlink" TargetMode="External"></Relationship><Relationship Id="rId19" Target="https://www.douyin.com/note/7616006793667697893" Type="http://schemas.openxmlformats.org/officeDocument/2006/relationships/hyperlink" TargetMode="External"></Relationship><Relationship Id="rId20" Target="https://www.douyin.com/note/7620816046761141747" Type="http://schemas.openxmlformats.org/officeDocument/2006/relationships/hyperlink" TargetMode="External"></Relationship><Relationship Id="rId21" Target="https://www.douyin.com/video/7626383694223907429" Type="http://schemas.openxmlformats.org/officeDocument/2006/relationships/hyperlink" TargetMode="External"></Relationship><Relationship Id="rId22" Target="https://www.douyin.com/video/7632511512201008505" Type="http://schemas.openxmlformats.org/officeDocument/2006/relationships/hyperlink" TargetMode="External"></Relationship><Relationship Id="rId23" Target="https://www.douyin.com/note/7639587991471701105" Type="http://schemas.openxmlformats.org/officeDocument/2006/relationships/hyperlink" TargetMode="External"></Relationship><Relationship Id="rId24" Target="https://www.douyin.com/video/7646742373196733811" Type="http://schemas.openxmlformats.org/officeDocument/2006/relationships/hyperlink" TargetMode="External"></Relationship><Relationship Id="rId25" Target="https://www.douyin.com/note/7615950184098960602" Type="http://schemas.openxmlformats.org/officeDocument/2006/relationships/hyperlink" TargetMode="External"></Relationship><Relationship Id="rId26" Target="https://www.douyin.com/video/7620759348268759141" Type="http://schemas.openxmlformats.org/officeDocument/2006/relationships/hyperlink" TargetMode="External"></Relationship><Relationship Id="rId27" Target="https://www.douyin.com/note/7626557894406165434" Type="http://schemas.openxmlformats.org/officeDocument/2006/relationships/hyperlink" TargetMode="External"></Relationship><Relationship Id="rId28" Target="https://www.douyin.com/video/7632465056047360442" Type="http://schemas.openxmlformats.org/officeDocument/2006/relationships/hyperlink" TargetMode="External"></Relationship><Relationship Id="rId29" Target="https://www.douyin.com/video/7636643841961216127" Type="http://schemas.openxmlformats.org/officeDocument/2006/relationships/hyperlink" TargetMode="External"></Relationship><Relationship Id="rId30" Target="https://www.douyin.com/note/7644884486891055345" Type="http://schemas.openxmlformats.org/officeDocument/2006/relationships/hyperlink" TargetMode="External"></Relationship><Relationship Id="rId31" Target="https://www.douyin.com/note/7615669310942601338" Type="http://schemas.openxmlformats.org/officeDocument/2006/relationships/hyperlink" TargetMode="External"></Relationship><Relationship Id="rId32" Target="https://www.douyin.com/note/7620767030497210778" Type="http://schemas.openxmlformats.org/officeDocument/2006/relationships/hyperlink" TargetMode="External"></Relationship><Relationship Id="rId33" Target="https://www.douyin.com/video/7625090564824947065" Type="http://schemas.openxmlformats.org/officeDocument/2006/relationships/hyperlink" TargetMode="External"></Relationship><Relationship Id="rId34" Target="https://www.douyin.com/video/7630833058359450441" Type="http://schemas.openxmlformats.org/officeDocument/2006/relationships/hyperlink" TargetMode="External"></Relationship><Relationship Id="rId35" Target="https://www.douyin.com/video/7636826521273382309" Type="http://schemas.openxmlformats.org/officeDocument/2006/relationships/hyperlink" TargetMode="External"></Relationship><Relationship Id="rId36" Target="https://www.douyin.com/note/7643698260415278282" Type="http://schemas.openxmlformats.org/officeDocument/2006/relationships/hyperlink" TargetMode="External"></Relationship><Relationship Id="rId37" Target="https://www.douyin.com/note/7616010066626177211" Type="http://schemas.openxmlformats.org/officeDocument/2006/relationships/hyperlink" TargetMode="External"></Relationship><Relationship Id="rId38" Target="https://www.douyin.com/video/7619605942468253051" Type="http://schemas.openxmlformats.org/officeDocument/2006/relationships/hyperlink" TargetMode="External"></Relationship><Relationship Id="rId39" Target="https://www.douyin.com/video/7624113880570299215" Type="http://schemas.openxmlformats.org/officeDocument/2006/relationships/hyperlink" TargetMode="External"></Relationship><Relationship Id="rId40" Target="https://www.douyin.com/video/7631145389820062201" Type="http://schemas.openxmlformats.org/officeDocument/2006/relationships/hyperlink" TargetMode="External"></Relationship><Relationship Id="rId41" Target="https://www.douyin.com/video/7637044455720278251" Type="http://schemas.openxmlformats.org/officeDocument/2006/relationships/hyperlink" TargetMode="External"></Relationship><Relationship Id="rId42" Target="https://www.douyin.com/video/7642542991392131697" Type="http://schemas.openxmlformats.org/officeDocument/2006/relationships/hyperlink" TargetMode="External"></Relationship><Relationship Id="rId43" Target="https://www.douyin.com/note/7613787027502461352" Type="http://schemas.openxmlformats.org/officeDocument/2006/relationships/hyperlink" TargetMode="External"></Relationship><Relationship Id="rId44" Target="https://www.douyin.com/note/7613787027502461352" Type="http://schemas.openxmlformats.org/officeDocument/2006/relationships/hyperlink" TargetMode="External"></Relationship><Relationship Id="rId45" Target="https://www.douyin.com/note/7619935329013573091" Type="http://schemas.openxmlformats.org/officeDocument/2006/relationships/hyperlink" TargetMode="External"></Relationship><Relationship Id="rId46" Target="https://www.douyin.com/note/7623407790573423066" Type="http://schemas.openxmlformats.org/officeDocument/2006/relationships/hyperlink" TargetMode="External"></Relationship><Relationship Id="rId47" Target="https://www.douyin.com/video/7631151287887270757" Type="http://schemas.openxmlformats.org/officeDocument/2006/relationships/hyperlink" TargetMode="External"></Relationship><Relationship Id="rId48" Target="https://www.douyin.com/note/7636204932429437370" Type="http://schemas.openxmlformats.org/officeDocument/2006/relationships/hyperlink" TargetMode="External"></Relationship><Relationship Id="rId49" Target="https://www.douyin.com/note/7636204932429437370" Type="http://schemas.openxmlformats.org/officeDocument/2006/relationships/hyperlink" TargetMode="External"></Relationship><Relationship Id="rId50" Target="https://www.douyin.com/video/7642987403964425702" Type="http://schemas.openxmlformats.org/officeDocument/2006/relationships/hyperlink" TargetMode="External"></Relationship><Relationship Id="rId51" Target="https://www.douyin.com/video/7614841048691419327" Type="http://schemas.openxmlformats.org/officeDocument/2006/relationships/hyperlink" TargetMode="External"></Relationship><Relationship Id="rId52" Target="https://www.douyin.com/video/7614841048691419327" Type="http://schemas.openxmlformats.org/officeDocument/2006/relationships/hyperlink" TargetMode="External"></Relationship><Relationship Id="rId53" Target="https://www.douyin.com/video/7614841048691419327" Type="http://schemas.openxmlformats.org/officeDocument/2006/relationships/hyperlink" TargetMode="External"></Relationship><Relationship Id="rId54" Target="https://www.douyin.com/video/7619622592362705846" Type="http://schemas.openxmlformats.org/officeDocument/2006/relationships/hyperlink" TargetMode="External"></Relationship><Relationship Id="rId55" Target="https://www.douyin.com/video/7623768838857578048" Type="http://schemas.openxmlformats.org/officeDocument/2006/relationships/hyperlink" TargetMode="External"></Relationship><Relationship Id="rId56" Target="https://www.douyin.com/note/7630389147651540148" Type="http://schemas.openxmlformats.org/officeDocument/2006/relationships/hyperlink" TargetMode="External"></Relationship><Relationship Id="rId57" Target="https://www.douyin.com/note/7638835615421411577" Type="http://schemas.openxmlformats.org/officeDocument/2006/relationships/hyperlink" TargetMode="External"></Relationship><Relationship Id="rId58" Target="https://www.douyin.com/note/7645240445212140901" Type="http://schemas.openxmlformats.org/officeDocument/2006/relationships/hyperlink" TargetMode="External"></Relationship><Relationship Id="rId59" Target="https://www.douyin.com/video/7614604940937363313" Type="http://schemas.openxmlformats.org/officeDocument/2006/relationships/hyperlink" TargetMode="External"></Relationship><Relationship Id="rId60" Target="https://www.douyin.com/video/7614604940937363313" Type="http://schemas.openxmlformats.org/officeDocument/2006/relationships/hyperlink" TargetMode="External"></Relationship><Relationship Id="rId61" Target="https://www.douyin.com/video/7614604940937363313" Type="http://schemas.openxmlformats.org/officeDocument/2006/relationships/hyperlink" TargetMode="External"></Relationship><Relationship Id="rId62" Target="https://www.douyin.com/note/7619357588699109065" Type="http://schemas.openxmlformats.org/officeDocument/2006/relationships/hyperlink" TargetMode="External"></Relationship><Relationship Id="rId63" Target="https://www.douyin.com/video/7624862115832787121" Type="http://schemas.openxmlformats.org/officeDocument/2006/relationships/hyperlink" TargetMode="External"></Relationship><Relationship Id="rId64" Target="https://www.douyin.com/video/7624862115832787121" Type="http://schemas.openxmlformats.org/officeDocument/2006/relationships/hyperlink" TargetMode="External"></Relationship><Relationship Id="rId65" Target="https://www.douyin.com/video/7631159721408326771" Type="http://schemas.openxmlformats.org/officeDocument/2006/relationships/hyperlink" TargetMode="External"></Relationship><Relationship Id="rId66" Target="https://www.douyin.com/note/7638470477203931643" Type="http://schemas.openxmlformats.org/officeDocument/2006/relationships/hyperlink" TargetMode="External"></Relationship><Relationship Id="rId67" Target="https://www.douyin.com/video/7645700319447662666" Type="http://schemas.openxmlformats.org/officeDocument/2006/relationships/hyperlink" TargetMode="External"></Relationship><Relationship Id="rId68" Target="https://www.douyin.com/video/7645700319447662666" Type="http://schemas.openxmlformats.org/officeDocument/2006/relationships/hyperlink" TargetMode="External"></Relationship><Relationship Id="rId69" Target="https://www.douyin.com/video/7645700319447662666" Type="http://schemas.openxmlformats.org/officeDocument/2006/relationships/hyperlink" TargetMode="External"></Relationship><Relationship Id="rId70" Target="https://www.douyin.com/video/7645700319447662666" Type="http://schemas.openxmlformats.org/officeDocument/2006/relationships/hyperlink" TargetMode="External"></Relationship><Relationship Id="rId71" Target="https://www.douyin.com/note/7614491818344720739" Type="http://schemas.openxmlformats.org/officeDocument/2006/relationships/hyperlink" TargetMode="External"></Relationship><Relationship Id="rId72" Target="https://www.douyin.com/note/7614491818344720739" Type="http://schemas.openxmlformats.org/officeDocument/2006/relationships/hyperlink" TargetMode="External"></Relationship><Relationship Id="rId73" Target="https://www.douyin.com/note/7619897380909579002" Type="http://schemas.openxmlformats.org/officeDocument/2006/relationships/hyperlink" TargetMode="External"></Relationship><Relationship Id="rId74" Target="https://www.douyin.com/video/7624320840444438116" Type="http://schemas.openxmlformats.org/officeDocument/2006/relationships/hyperlink" TargetMode="External"></Relationship><Relationship Id="rId75" Target="https://www.douyin.com/video/7631062852215782976" Type="http://schemas.openxmlformats.org/officeDocument/2006/relationships/hyperlink" TargetMode="External"></Relationship><Relationship Id="rId76" Target="https://www.douyin.com/video/7637869144147080817" Type="http://schemas.openxmlformats.org/officeDocument/2006/relationships/hyperlink" TargetMode="External"></Relationship><Relationship Id="rId77" Target="https://www.douyin.com/video/7645601096832956904" Type="http://schemas.openxmlformats.org/officeDocument/2006/relationships/hyperlink" TargetMode="External"></Relationship><Relationship Id="rId78" Target="https://www.douyin.com/video/7615259770899058779" Type="http://schemas.openxmlformats.org/officeDocument/2006/relationships/hyperlink" TargetMode="External"></Relationship><Relationship Id="rId79" Target="https://www.douyin.com/video/7619392937248262208" Type="http://schemas.openxmlformats.org/officeDocument/2006/relationships/hyperlink" TargetMode="External"></Relationship><Relationship Id="rId80" Target="https://www.douyin.com/note/7625245014687938233" Type="http://schemas.openxmlformats.org/officeDocument/2006/relationships/hyperlink" TargetMode="External"></Relationship><Relationship Id="rId81" Target="https://www.douyin.com/video/7631406422018455730" Type="http://schemas.openxmlformats.org/officeDocument/2006/relationships/hyperlink" TargetMode="External"></Relationship><Relationship Id="rId82" Target="https://www.douyin.com/video/7637394139268615462" Type="http://schemas.openxmlformats.org/officeDocument/2006/relationships/hyperlink" TargetMode="External"></Relationship><Relationship Id="rId83" Target="https://www.douyin.com/video/7644783522482479781" Type="http://schemas.openxmlformats.org/officeDocument/2006/relationships/hyperlink" TargetMode="External"></Relationship><Relationship Id="rId84" Target="https://www.douyin.com/note/7615023865811614964" Type="http://schemas.openxmlformats.org/officeDocument/2006/relationships/hyperlink" TargetMode="External"></Relationship><Relationship Id="rId85" Target="https://www.douyin.com/note/7619346681800231592" Type="http://schemas.openxmlformats.org/officeDocument/2006/relationships/hyperlink" TargetMode="External"></Relationship><Relationship Id="rId86" Target="https://www.douyin.com/note/7619346681800231592" Type="http://schemas.openxmlformats.org/officeDocument/2006/relationships/hyperlink" TargetMode="External"></Relationship><Relationship Id="rId87" Target="https://www.douyin.com/note/7619346681800231592" Type="http://schemas.openxmlformats.org/officeDocument/2006/relationships/hyperlink" TargetMode="External"></Relationship><Relationship Id="rId88" Target="https://www.douyin.com/video/7624963816623740027" Type="http://schemas.openxmlformats.org/officeDocument/2006/relationships/hyperlink" TargetMode="External"></Relationship><Relationship Id="rId89" Target="https://www.douyin.com/video/7624963816623740027" Type="http://schemas.openxmlformats.org/officeDocument/2006/relationships/hyperlink" TargetMode="External"></Relationship><Relationship Id="rId90" Target="https://www.douyin.com/video/7624963816623740027" Type="http://schemas.openxmlformats.org/officeDocument/2006/relationships/hyperlink" TargetMode="External"></Relationship><Relationship Id="rId91" Target="https://www.douyin.com/video/7624963816623740027" Type="http://schemas.openxmlformats.org/officeDocument/2006/relationships/hyperlink" TargetMode="External"></Relationship><Relationship Id="rId92" Target="https://www.douyin.com/note/7631161091032347131" Type="http://schemas.openxmlformats.org/officeDocument/2006/relationships/hyperlink" TargetMode="External"></Relationship><Relationship Id="rId93" Target="https://www.douyin.com/video/7635684064943428729" Type="http://schemas.openxmlformats.org/officeDocument/2006/relationships/hyperlink" TargetMode="External"></Relationship><Relationship Id="rId94" Target="https://www.douyin.com/note/7615049142386066043" Type="http://schemas.openxmlformats.org/officeDocument/2006/relationships/hyperlink" TargetMode="External"></Relationship><Relationship Id="rId95" Target="https://www.douyin.com/note/7620309274209021605" Type="http://schemas.openxmlformats.org/officeDocument/2006/relationships/hyperlink" TargetMode="External"></Relationship><Relationship Id="rId96" Target="https://www.douyin.com/note/7623066471988239337" Type="http://schemas.openxmlformats.org/officeDocument/2006/relationships/hyperlink" TargetMode="External"></Relationship><Relationship Id="rId97" Target="https://www.douyin.com/note/7623066471988239337" Type="http://schemas.openxmlformats.org/officeDocument/2006/relationships/hyperlink" TargetMode="External"></Relationship><Relationship Id="rId98" Target="https://www.douyin.com/note/7623066471988239337" Type="http://schemas.openxmlformats.org/officeDocument/2006/relationships/hyperlink" TargetMode="External"></Relationship><Relationship Id="rId99" Target="https://www.douyin.com/video/7636034872154967707" Type="http://schemas.openxmlformats.org/officeDocument/2006/relationships/hyperlink" TargetMode="External"></Relationship><Relationship Id="rId100" Target="https://www.douyin.com/video/7641922307711110454" Type="http://schemas.openxmlformats.org/officeDocument/2006/relationships/hyperlink" TargetMode="External"></Relationship><Relationship Id="rId101" Target="https://www.douyin.com/video/7641922307711110454" Type="http://schemas.openxmlformats.org/officeDocument/2006/relationships/hyperlink" TargetMode="External"></Relationship><Relationship Id="rId102" Target="https://www.douyin.com/note/7614899619931912369" Type="http://schemas.openxmlformats.org/officeDocument/2006/relationships/hyperlink" TargetMode="External"></Relationship><Relationship Id="rId103" Target="https://www.douyin.com/video/7622531685897224689" Type="http://schemas.openxmlformats.org/officeDocument/2006/relationships/hyperlink" TargetMode="External"></Relationship><Relationship Id="rId104" Target="https://www.douyin.com/video/7630163601161398178" Type="http://schemas.openxmlformats.org/officeDocument/2006/relationships/hyperlink" TargetMode="External"></Relationship><Relationship Id="rId105" Target="https://www.douyin.com/note/7634085219296901353" Type="http://schemas.openxmlformats.org/officeDocument/2006/relationships/hyperlink" TargetMode="External"></Relationship><Relationship Id="rId106" Target="https://www.douyin.com/video/7641872986798179494" Type="http://schemas.openxmlformats.org/officeDocument/2006/relationships/hyperlink" TargetMode="External"></Relationship><Relationship Id="rId107" Target="https://www.douyin.com/video/7613031533112581883" Type="http://schemas.openxmlformats.org/officeDocument/2006/relationships/hyperlink" TargetMode="External"></Relationship><Relationship Id="rId108" Target="https://www.douyin.com/video/7618525485648050938" Type="http://schemas.openxmlformats.org/officeDocument/2006/relationships/hyperlink" TargetMode="External"></Relationship><Relationship Id="rId109" Target="https://www.douyin.com/video/7622625731391179151" Type="http://schemas.openxmlformats.org/officeDocument/2006/relationships/hyperlink" TargetMode="External"></Relationship><Relationship Id="rId110" Target="https://www.douyin.com/video/7630433467185514597" Type="http://schemas.openxmlformats.org/officeDocument/2006/relationships/hyperlink" TargetMode="External"></Relationship><Relationship Id="rId111" Target="https://www.douyin.com/video/7634061256496521851" Type="http://schemas.openxmlformats.org/officeDocument/2006/relationships/hyperlink" TargetMode="External"></Relationship><Relationship Id="rId112" Target="https://www.douyin.com/video/7641439405101877689" Type="http://schemas.openxmlformats.org/officeDocument/2006/relationships/hyperlink" TargetMode="External"></Relationship><Relationship Id="rId113" Target="https://www.douyin.com/video/7611742459936919402" Type="http://schemas.openxmlformats.org/officeDocument/2006/relationships/hyperlink" TargetMode="External"></Relationship><Relationship Id="rId114" Target="https://www.douyin.com/note/7619093952427614843" Type="http://schemas.openxmlformats.org/officeDocument/2006/relationships/hyperlink" TargetMode="External"></Relationship><Relationship Id="rId115" Target="https://www.douyin.com/video/7621965075905249910" Type="http://schemas.openxmlformats.org/officeDocument/2006/relationships/hyperlink" TargetMode="External"></Relationship><Relationship Id="rId116" Target="https://www.douyin.com/video/7621965075905249910" Type="http://schemas.openxmlformats.org/officeDocument/2006/relationships/hyperlink" TargetMode="External"></Relationship><Relationship Id="rId117" Target="https://www.douyin.com/video/7629126711086685289" Type="http://schemas.openxmlformats.org/officeDocument/2006/relationships/hyperlink" TargetMode="External"></Relationship><Relationship Id="rId118" Target="https://www.douyin.com/video/7636020034524274043" Type="http://schemas.openxmlformats.org/officeDocument/2006/relationships/hyperlink" TargetMode="External"></Relationship><Relationship Id="rId119" Target="https://www.douyin.com/video/7641120212301335651" Type="http://schemas.openxmlformats.org/officeDocument/2006/relationships/hyperlink" TargetMode="External"></Relationship><Relationship Id="rId120" Target="https://www.douyin.com/video/7612686487277578602" Type="http://schemas.openxmlformats.org/officeDocument/2006/relationships/hyperlink" TargetMode="External"></Relationship><Relationship Id="rId121" Target="https://www.douyin.com/video/7612686487277578602" Type="http://schemas.openxmlformats.org/officeDocument/2006/relationships/hyperlink" TargetMode="External"></Relationship><Relationship Id="rId122" Target="https://www.douyin.com/video/7617498397310715327" Type="http://schemas.openxmlformats.org/officeDocument/2006/relationships/hyperlink" TargetMode="External"></Relationship><Relationship Id="rId123" Target="https://www.douyin.com/video/7623026166921225970" Type="http://schemas.openxmlformats.org/officeDocument/2006/relationships/hyperlink" TargetMode="External"></Relationship><Relationship Id="rId124" Target="https://www.douyin.com/video/7628928486560089529" Type="http://schemas.openxmlformats.org/officeDocument/2006/relationships/hyperlink" TargetMode="External"></Relationship><Relationship Id="rId125" Target="https://www.douyin.com/video/7636040612411755802" Type="http://schemas.openxmlformats.org/officeDocument/2006/relationships/hyperlink" TargetMode="External"></Relationship><Relationship Id="rId126" Target="https://www.douyin.com/video/7636040612411755802" Type="http://schemas.openxmlformats.org/officeDocument/2006/relationships/hyperlink" TargetMode="External"></Relationship><Relationship Id="rId127" Target="https://www.douyin.com/video/7636040612411755802" Type="http://schemas.openxmlformats.org/officeDocument/2006/relationships/hyperlink" TargetMode="External"></Relationship><Relationship Id="rId128" Target="https://www.douyin.com/video/7641875385806374833" Type="http://schemas.openxmlformats.org/officeDocument/2006/relationships/hyperlink" TargetMode="External"></Relationship><Relationship Id="rId129" Target="https://www.douyin.com/video/7611192244423229139" Type="http://schemas.openxmlformats.org/officeDocument/2006/relationships/hyperlink" TargetMode="External"></Relationship><Relationship Id="rId130" Target="https://www.douyin.com/video/7618168504240308069" Type="http://schemas.openxmlformats.org/officeDocument/2006/relationships/hyperlink" TargetMode="External"></Relationship><Relationship Id="rId131" Target="https://www.douyin.com/video/7623358535632128435" Type="http://schemas.openxmlformats.org/officeDocument/2006/relationships/hyperlink" TargetMode="External"></Relationship><Relationship Id="rId132" Target="https://www.douyin.com/note/7630280919329366708" Type="http://schemas.openxmlformats.org/officeDocument/2006/relationships/hyperlink" TargetMode="External"></Relationship><Relationship Id="rId133" Target="https://www.douyin.com/note/7635545727879850313" Type="http://schemas.openxmlformats.org/officeDocument/2006/relationships/hyperlink" TargetMode="External"></Relationship><Relationship Id="rId134" Target="https://www.douyin.com/video/7641882679970377957" Type="http://schemas.openxmlformats.org/officeDocument/2006/relationships/hyperlink" TargetMode="External"></Relationship><Relationship Id="rId135" Target="https://www.douyin.com/note/7613350700244157626" Type="http://schemas.openxmlformats.org/officeDocument/2006/relationships/hyperlink" TargetMode="External"></Relationship><Relationship Id="rId136" Target="https://www.douyin.com/video/7619636679322387057" Type="http://schemas.openxmlformats.org/officeDocument/2006/relationships/hyperlink" TargetMode="External"></Relationship><Relationship Id="rId137" Target="https://www.douyin.com/video/7619636679322387057" Type="http://schemas.openxmlformats.org/officeDocument/2006/relationships/hyperlink" TargetMode="External"></Relationship><Relationship Id="rId138" Target="https://www.douyin.com/video/7619636679322387057" Type="http://schemas.openxmlformats.org/officeDocument/2006/relationships/hyperlink" TargetMode="External"></Relationship><Relationship Id="rId139" Target="https://www.douyin.com/note/7623367834466321253" Type="http://schemas.openxmlformats.org/officeDocument/2006/relationships/hyperlink" TargetMode="External"></Relationship><Relationship Id="rId140" Target="https://www.douyin.com/video/7629911775865505906" Type="http://schemas.openxmlformats.org/officeDocument/2006/relationships/hyperlink" TargetMode="External"></Relationship><Relationship Id="rId141" Target="https://www.douyin.com/note/7635922915368283775" Type="http://schemas.openxmlformats.org/officeDocument/2006/relationships/hyperlink" TargetMode="External"></Relationship><Relationship Id="rId142" Target="https://www.douyin.com/video/7641993475752266235" Type="http://schemas.openxmlformats.org/officeDocument/2006/relationships/hyperlink" TargetMode="External"></Relationship><Relationship Id="rId143" Target="https://www.douyin.com/video/7648840710867964325" Type="http://schemas.openxmlformats.org/officeDocument/2006/relationships/hyperlink" TargetMode="External"></Relationship><Relationship Id="rId144" Target="https://www.douyin.com/note/7612219889386191970" Type="http://schemas.openxmlformats.org/officeDocument/2006/relationships/hyperlink" TargetMode="External"></Relationship><Relationship Id="rId145" Target="https://www.douyin.com/video/7618932945290901903" Type="http://schemas.openxmlformats.org/officeDocument/2006/relationships/hyperlink" TargetMode="External"></Relationship><Relationship Id="rId146" Target="https://www.douyin.com/note/7622970947830529457" Type="http://schemas.openxmlformats.org/officeDocument/2006/relationships/hyperlink" TargetMode="External"></Relationship><Relationship Id="rId147" Target="https://www.douyin.com/video/7630071089049654198" Type="http://schemas.openxmlformats.org/officeDocument/2006/relationships/hyperlink" TargetMode="External"></Relationship><Relationship Id="rId148" Target="https://www.douyin.com/video/7633786629181727609" Type="http://schemas.openxmlformats.org/officeDocument/2006/relationships/hyperlink" TargetMode="External"></Relationship><Relationship Id="rId149" Target="https://www.douyin.com/video/7641921320654050427" Type="http://schemas.openxmlformats.org/officeDocument/2006/relationships/hyperlink" TargetMode="External"></Relationship><Relationship Id="rId150" Target="https://www.douyin.com/video/7647506813403365321" Type="http://schemas.openxmlformats.org/officeDocument/2006/relationships/hyperlink" TargetMode="External"></Relationship><Relationship Id="rId151" Target="https://www.douyin.com/video/7647506813403365321" Type="http://schemas.openxmlformats.org/officeDocument/2006/relationships/hyperlink" TargetMode="External"></Relationship><Relationship Id="rId152" Target="https://www.douyin.com/video/7613215289803536101" Type="http://schemas.openxmlformats.org/officeDocument/2006/relationships/hyperlink" TargetMode="External"></Relationship><Relationship Id="rId153" Target="https://www.douyin.com/video/7613215289803536101" Type="http://schemas.openxmlformats.org/officeDocument/2006/relationships/hyperlink" TargetMode="External"></Relationship><Relationship Id="rId154" Target="https://www.douyin.com/video/7613215289803536101" Type="http://schemas.openxmlformats.org/officeDocument/2006/relationships/hyperlink" TargetMode="External"></Relationship><Relationship Id="rId155" Target="https://www.douyin.com/video/7618960753446510009" Type="http://schemas.openxmlformats.org/officeDocument/2006/relationships/hyperlink" TargetMode="External"></Relationship><Relationship Id="rId156" Target="https://www.douyin.com/video/7618960753446510009" Type="http://schemas.openxmlformats.org/officeDocument/2006/relationships/hyperlink" TargetMode="External"></Relationship><Relationship Id="rId157" Target="https://www.douyin.com/video/7621099857121775019" Type="http://schemas.openxmlformats.org/officeDocument/2006/relationships/hyperlink" TargetMode="External"></Relationship><Relationship Id="rId158" Target="https://www.douyin.com/video/7630474109919557051" Type="http://schemas.openxmlformats.org/officeDocument/2006/relationships/hyperlink" TargetMode="External"></Relationship><Relationship Id="rId159" Target="https://www.douyin.com/video/7633007885915943606" Type="http://schemas.openxmlformats.org/officeDocument/2006/relationships/hyperlink" TargetMode="External"></Relationship><Relationship Id="rId160" Target="https://www.douyin.com/note/7640081270203342562" Type="http://schemas.openxmlformats.org/officeDocument/2006/relationships/hyperlink" TargetMode="External"></Relationship><Relationship Id="rId161" Target="https://www.douyin.com/video/7648887011160830180" Type="http://schemas.openxmlformats.org/officeDocument/2006/relationships/hyperlink" TargetMode="External"></Relationship><Relationship Id="rId162" Target="https://www.douyin.com/video/7612918993481033330" Type="http://schemas.openxmlformats.org/officeDocument/2006/relationships/hyperlink" TargetMode="External"></Relationship><Relationship Id="rId163" Target="https://www.douyin.com/video/7618222573041999345" Type="http://schemas.openxmlformats.org/officeDocument/2006/relationships/hyperlink" TargetMode="External"></Relationship><Relationship Id="rId164" Target="https://www.douyin.com/video/7621131594221657457" Type="http://schemas.openxmlformats.org/officeDocument/2006/relationships/hyperlink" TargetMode="External"></Relationship><Relationship Id="rId165" Target="https://www.douyin.com/video/7628055768176180586" Type="http://schemas.openxmlformats.org/officeDocument/2006/relationships/hyperlink" TargetMode="External"></Relationship><Relationship Id="rId166" Target="https://www.douyin.com/video/7632969984486313061" Type="http://schemas.openxmlformats.org/officeDocument/2006/relationships/hyperlink" TargetMode="External"></Relationship><Relationship Id="rId167" Target="https://www.douyin.com/note/7640285558464104890" Type="http://schemas.openxmlformats.org/officeDocument/2006/relationships/hyperlink" TargetMode="External"></Relationship><Relationship Id="rId168" Target="https://www.douyin.com/note/7640285558464104890" Type="http://schemas.openxmlformats.org/officeDocument/2006/relationships/hyperlink" TargetMode="External"></Relationship><Relationship Id="rId169" Target="https://www.douyin.com/video/7648092654844692970" Type="http://schemas.openxmlformats.org/officeDocument/2006/relationships/hyperlink" TargetMode="External"></Relationship><Relationship Id="rId170" Target="https://www.douyin.com/note/7612110532075037129" Type="http://schemas.openxmlformats.org/officeDocument/2006/relationships/hyperlink" TargetMode="External"></Relationship><Relationship Id="rId171" Target="https://www.douyin.com/note/7612110532075037129" Type="http://schemas.openxmlformats.org/officeDocument/2006/relationships/hyperlink" TargetMode="External"></Relationship><Relationship Id="rId172" Target="https://www.douyin.com/note/7617137673777764465" Type="http://schemas.openxmlformats.org/officeDocument/2006/relationships/hyperlink" TargetMode="External"></Relationship><Relationship Id="rId173" Target="https://www.douyin.com/note/7621580768725255525" Type="http://schemas.openxmlformats.org/officeDocument/2006/relationships/hyperlink" TargetMode="External"></Relationship><Relationship Id="rId174" Target="https://www.douyin.com/note/7621580768725255525" Type="http://schemas.openxmlformats.org/officeDocument/2006/relationships/hyperlink" TargetMode="External"></Relationship><Relationship Id="rId175" Target="https://www.douyin.com/note/7621580768725255525" Type="http://schemas.openxmlformats.org/officeDocument/2006/relationships/hyperlink" TargetMode="External"></Relationship><Relationship Id="rId176" Target="https://www.douyin.com/note/7621580768725255525" Type="http://schemas.openxmlformats.org/officeDocument/2006/relationships/hyperlink" TargetMode="External"></Relationship><Relationship Id="rId177" Target="https://www.douyin.com/video/7627656361078613477" Type="http://schemas.openxmlformats.org/officeDocument/2006/relationships/hyperlink" TargetMode="External"></Relationship><Relationship Id="rId178" Target="https://www.douyin.com/video/7633260661108049226" Type="http://schemas.openxmlformats.org/officeDocument/2006/relationships/hyperlink" TargetMode="External"></Relationship><Relationship Id="rId179" Target="https://www.douyin.com/note/7640097613844477669" Type="http://schemas.openxmlformats.org/officeDocument/2006/relationships/hyperlink" TargetMode="External"></Relationship><Relationship Id="rId180" Target="https://www.douyin.com/video/7648121194428425573" Type="http://schemas.openxmlformats.org/officeDocument/2006/relationships/hyperlink" TargetMode="External"></Relationship><Relationship Id="rId181" Target="https://www.douyin.com/video/7612244922887857787" Type="http://schemas.openxmlformats.org/officeDocument/2006/relationships/hyperlink" TargetMode="External"></Relationship><Relationship Id="rId182" Target="https://www.douyin.com/video/7612244922887857787" Type="http://schemas.openxmlformats.org/officeDocument/2006/relationships/hyperlink" TargetMode="External"></Relationship><Relationship Id="rId183" Target="https://www.douyin.com/note/7616183547221202259" Type="http://schemas.openxmlformats.org/officeDocument/2006/relationships/hyperlink" TargetMode="External"></Relationship><Relationship Id="rId184" Target="https://www.douyin.com/video/7616359394191938022" Type="http://schemas.openxmlformats.org/officeDocument/2006/relationships/hyperlink" TargetMode="External"></Relationship><Relationship Id="rId185" Target="https://www.douyin.com/video/7621539907975294329" Type="http://schemas.openxmlformats.org/officeDocument/2006/relationships/hyperlink" TargetMode="External"></Relationship><Relationship Id="rId186" Target="https://www.douyin.com/video/7627467421783603045" Type="http://schemas.openxmlformats.org/officeDocument/2006/relationships/hyperlink" TargetMode="External"></Relationship><Relationship Id="rId187" Target="https://www.douyin.com/video/7627467421783603045" Type="http://schemas.openxmlformats.org/officeDocument/2006/relationships/hyperlink" TargetMode="External"></Relationship><Relationship Id="rId188" Target="https://www.douyin.com/video/7627467421783603045" Type="http://schemas.openxmlformats.org/officeDocument/2006/relationships/hyperlink" TargetMode="External"></Relationship><Relationship Id="rId189" Target="https://www.douyin.com/note/7634169978048694630" Type="http://schemas.openxmlformats.org/officeDocument/2006/relationships/hyperlink" TargetMode="External"></Relationship><Relationship Id="rId190" Target="https://www.douyin.com/video/7640775971604485993" Type="http://schemas.openxmlformats.org/officeDocument/2006/relationships/hyperlink" TargetMode="External"></Relationship><Relationship Id="rId191" Target="https://www.douyin.com/video/7648609080373822586" Type="http://schemas.openxmlformats.org/officeDocument/2006/relationships/hyperlink" TargetMode="External"></Relationship><Relationship Id="rId192" Target="https://www.douyin.com/video/7611743676641705295" Type="http://schemas.openxmlformats.org/officeDocument/2006/relationships/hyperlink" TargetMode="External"></Relationship><Relationship Id="rId193" Target="https://www.douyin.com/note/7616286705788479977" Type="http://schemas.openxmlformats.org/officeDocument/2006/relationships/hyperlink" TargetMode="External"></Relationship><Relationship Id="rId194" Target="https://www.douyin.com/video/7622163930036053684" Type="http://schemas.openxmlformats.org/officeDocument/2006/relationships/hyperlink" TargetMode="External"></Relationship><Relationship Id="rId195" Target="https://www.douyin.com/note/7626984999901013113" Type="http://schemas.openxmlformats.org/officeDocument/2006/relationships/hyperlink" TargetMode="External"></Relationship><Relationship Id="rId196" Target="https://www.douyin.com/video/7634026065808580795" Type="http://schemas.openxmlformats.org/officeDocument/2006/relationships/hyperlink" TargetMode="External"></Relationship><Relationship Id="rId197" Target="https://www.douyin.com/note/7640942718125977999" Type="http://schemas.openxmlformats.org/officeDocument/2006/relationships/hyperlink" TargetMode="External"></Relationship><Relationship Id="rId198" Target="https://www.douyin.com/video/7648943448107741682" Type="http://schemas.openxmlformats.org/officeDocument/2006/relationships/hyperlink" TargetMode="External"></Relationship><Relationship Id="rId199" Target="https://www.douyin.com/video/7612207816275352497" Type="http://schemas.openxmlformats.org/officeDocument/2006/relationships/hyperlink" TargetMode="External"></Relationship><Relationship Id="rId200" Target="https://www.douyin.com/video/7612207816275352497" Type="http://schemas.openxmlformats.org/officeDocument/2006/relationships/hyperlink" TargetMode="External"></Relationship><Relationship Id="rId201" Target="https://www.douyin.com/video/7612207816275352497" Type="http://schemas.openxmlformats.org/officeDocument/2006/relationships/hyperlink" TargetMode="External"></Relationship><Relationship Id="rId202" Target="https://www.douyin.com/video/7612207816275352497" Type="http://schemas.openxmlformats.org/officeDocument/2006/relationships/hyperlink" TargetMode="External"></Relationship><Relationship Id="rId203" Target="https://www.douyin.com/video/7612207816275352497" Type="http://schemas.openxmlformats.org/officeDocument/2006/relationships/hyperlink" TargetMode="External"></Relationship><Relationship Id="rId204" Target="https://www.douyin.com/video/7617891266244423656" Type="http://schemas.openxmlformats.org/officeDocument/2006/relationships/hyperlink" TargetMode="External"></Relationship><Relationship Id="rId205" Target="https://www.douyin.com/video/7621904670667781553" Type="http://schemas.openxmlformats.org/officeDocument/2006/relationships/hyperlink" TargetMode="External"></Relationship><Relationship Id="rId206" Target="https://www.douyin.com/video/7621904670667781553" Type="http://schemas.openxmlformats.org/officeDocument/2006/relationships/hyperlink" TargetMode="External"></Relationship><Relationship Id="rId207" Target="https://www.douyin.com/video/7621904670667781553" Type="http://schemas.openxmlformats.org/officeDocument/2006/relationships/hyperlink" TargetMode="External"></Relationship><Relationship Id="rId208" Target="https://www.douyin.com/video/7621904670667781553" Type="http://schemas.openxmlformats.org/officeDocument/2006/relationships/hyperlink" TargetMode="External"></Relationship><Relationship Id="rId209" Target="https://www.douyin.com/video/7628175992222109553" Type="http://schemas.openxmlformats.org/officeDocument/2006/relationships/hyperlink" TargetMode="External"></Relationship><Relationship Id="rId210" Target="https://www.douyin.com/video/7633992971189784147" Type="http://schemas.openxmlformats.org/officeDocument/2006/relationships/hyperlink" TargetMode="External"></Relationship><Relationship Id="rId211" Target="https://www.douyin.com/video/7640897437604151503" Type="http://schemas.openxmlformats.org/officeDocument/2006/relationships/hyperlink" TargetMode="External"></Relationship><Relationship Id="rId212" Target="https://www.douyin.com/note/7649063213564689138" Type="http://schemas.openxmlformats.org/officeDocument/2006/relationships/hyperlink" TargetMode="External"></Relationship><Relationship Id="rId213" Target="https://www.douyin.com/note/7611499522330631857" Type="http://schemas.openxmlformats.org/officeDocument/2006/relationships/hyperlink" TargetMode="External"></Relationship><Relationship Id="rId214" Target="https://www.douyin.com/note/7611499522330631857" Type="http://schemas.openxmlformats.org/officeDocument/2006/relationships/hyperlink" TargetMode="External"></Relationship><Relationship Id="rId215" Target="https://www.douyin.com/note/7611499522330631857" Type="http://schemas.openxmlformats.org/officeDocument/2006/relationships/hyperlink" TargetMode="External"></Relationship><Relationship Id="rId216" Target="https://www.douyin.com/video/7617859050039070435" Type="http://schemas.openxmlformats.org/officeDocument/2006/relationships/hyperlink" TargetMode="External"></Relationship><Relationship Id="rId217" Target="https://www.douyin.com/note/7621941211725617849" Type="http://schemas.openxmlformats.org/officeDocument/2006/relationships/hyperlink" TargetMode="External"></Relationship><Relationship Id="rId218" Target="https://www.douyin.com/note/7621941211725617849" Type="http://schemas.openxmlformats.org/officeDocument/2006/relationships/hyperlink" TargetMode="External"></Relationship><Relationship Id="rId219" Target="https://www.douyin.com/video/7629141999672840169" Type="http://schemas.openxmlformats.org/officeDocument/2006/relationships/hyperlink" TargetMode="External"></Relationship><Relationship Id="rId220" Target="https://www.douyin.com/video/7629141999672840169" Type="http://schemas.openxmlformats.org/officeDocument/2006/relationships/hyperlink" TargetMode="External"></Relationship><Relationship Id="rId221" Target="https://www.douyin.com/video/7633750886359587048" Type="http://schemas.openxmlformats.org/officeDocument/2006/relationships/hyperlink" TargetMode="External"></Relationship><Relationship Id="rId222" Target="https://www.douyin.com/video/7640813564869112942" Type="http://schemas.openxmlformats.org/officeDocument/2006/relationships/hyperlink" TargetMode="External"></Relationship><Relationship Id="rId223" Target="https://www.douyin.com/note/7611432494563328113" Type="http://schemas.openxmlformats.org/officeDocument/2006/relationships/hyperlink" TargetMode="External"></Relationship><Relationship Id="rId224" Target="https://www.douyin.com/note/7611432494563328113" Type="http://schemas.openxmlformats.org/officeDocument/2006/relationships/hyperlink" TargetMode="External"></Relationship><Relationship Id="rId225" Target="https://www.douyin.com/note/7611432494563328113" Type="http://schemas.openxmlformats.org/officeDocument/2006/relationships/hyperlink" TargetMode="External"></Relationship><Relationship Id="rId226" Target="https://www.douyin.com/note/7617431215097004667" Type="http://schemas.openxmlformats.org/officeDocument/2006/relationships/hyperlink" TargetMode="External"></Relationship><Relationship Id="rId227" Target="https://www.douyin.com/note/7621196315842001280" Type="http://schemas.openxmlformats.org/officeDocument/2006/relationships/hyperlink" TargetMode="External"></Relationship><Relationship Id="rId228" Target="https://www.douyin.com/video/7628568501427008241" Type="http://schemas.openxmlformats.org/officeDocument/2006/relationships/hyperlink" TargetMode="External"></Relationship><Relationship Id="rId229" Target="https://www.douyin.com/video/7639539369804821434" Type="http://schemas.openxmlformats.org/officeDocument/2006/relationships/hyperlink" TargetMode="External"></Relationship><Relationship Id="rId230" Target="https://www.douyin.com/note/7641163045289481322" Type="http://schemas.openxmlformats.org/officeDocument/2006/relationships/hyperlink" TargetMode="External"></Relationship><Relationship Id="rId231" Target="https://www.douyin.com/note/7611832044951303909" Type="http://schemas.openxmlformats.org/officeDocument/2006/relationships/hyperlink" TargetMode="External"></Relationship><Relationship Id="rId232" Target="https://www.douyin.com/video/7616911882826256890" Type="http://schemas.openxmlformats.org/officeDocument/2006/relationships/hyperlink" TargetMode="External"></Relationship><Relationship Id="rId233" Target="https://www.douyin.com/video/7626715483103183604" Type="http://schemas.openxmlformats.org/officeDocument/2006/relationships/hyperlink" TargetMode="External"></Relationship><Relationship Id="rId234" Target="https://www.douyin.com/video/7628593020561465713" Type="http://schemas.openxmlformats.org/officeDocument/2006/relationships/hyperlink" TargetMode="External"></Relationship><Relationship Id="rId235" Target="https://www.douyin.com/video/7631938177683662579" Type="http://schemas.openxmlformats.org/officeDocument/2006/relationships/hyperlink" TargetMode="External"></Relationship><Relationship Id="rId236" Target="https://www.douyin.com/note/7639700717046112383" Type="http://schemas.openxmlformats.org/officeDocument/2006/relationships/hyperlink" TargetMode="External"></Relationship><Relationship Id="rId237" Target="https://www.douyin.com/note/7646701552317873787" Type="http://schemas.openxmlformats.org/officeDocument/2006/relationships/hyperlink" TargetMode="External"></Relationship><Relationship Id="rId238" Target="https://www.douyin.com/video/7612087271226903844" Type="http://schemas.openxmlformats.org/officeDocument/2006/relationships/hyperlink" TargetMode="External"></Relationship><Relationship Id="rId239" Target="https://www.douyin.com/video/7612087271226903844" Type="http://schemas.openxmlformats.org/officeDocument/2006/relationships/hyperlink" TargetMode="External"></Relationship><Relationship Id="rId240" Target="https://www.douyin.com/video/7612087271226903844" Type="http://schemas.openxmlformats.org/officeDocument/2006/relationships/hyperlink" TargetMode="External"></Relationship><Relationship Id="rId241" Target="https://www.douyin.com/video/7612087271226903844" Type="http://schemas.openxmlformats.org/officeDocument/2006/relationships/hyperlink" TargetMode="External"></Relationship><Relationship Id="rId242" Target="https://www.douyin.com/video/7612087271226903844" Type="http://schemas.openxmlformats.org/officeDocument/2006/relationships/hyperlink" TargetMode="External"></Relationship><Relationship Id="rId243" Target="https://www.douyin.com/note/7620750244388744677" Type="http://schemas.openxmlformats.org/officeDocument/2006/relationships/hyperlink" TargetMode="External"></Relationship><Relationship Id="rId244" Target="https://www.douyin.com/note/7620750244388744677" Type="http://schemas.openxmlformats.org/officeDocument/2006/relationships/hyperlink" TargetMode="External"></Relationship><Relationship Id="rId245" Target="https://www.douyin.com/video/7626240521292568483" Type="http://schemas.openxmlformats.org/officeDocument/2006/relationships/hyperlink" TargetMode="External"></Relationship><Relationship Id="rId246" Target="https://www.douyin.com/video/7631754660667995892" Type="http://schemas.openxmlformats.org/officeDocument/2006/relationships/hyperlink" TargetMode="External"></Relationship><Relationship Id="rId247" Target="https://www.douyin.com/note/7639772595369289381" Type="http://schemas.openxmlformats.org/officeDocument/2006/relationships/hyperlink" TargetMode="External"></Relationship><Relationship Id="rId248" Target="https://www.douyin.com/note/7646727972648596218" Type="http://schemas.openxmlformats.org/officeDocument/2006/relationships/hyperlink" TargetMode="External"></Relationship><Relationship Id="rId249" Target="https://www.douyin.com/note/7646727972648596218" Type="http://schemas.openxmlformats.org/officeDocument/2006/relationships/hyperlink" TargetMode="External"></Relationship><Relationship Id="rId250" Target="https://www.douyin.com/video/7615977113706843382" Type="http://schemas.openxmlformats.org/officeDocument/2006/relationships/hyperlink" TargetMode="External"></Relationship><Relationship Id="rId251" Target="https://www.douyin.com/video/7620717387695869226" Type="http://schemas.openxmlformats.org/officeDocument/2006/relationships/hyperlink" TargetMode="External"></Relationship><Relationship Id="rId252" Target="https://www.douyin.com/video/7620717387695869226" Type="http://schemas.openxmlformats.org/officeDocument/2006/relationships/hyperlink" TargetMode="External"></Relationship><Relationship Id="rId253" Target="https://www.douyin.com/note/7625760714330410816" Type="http://schemas.openxmlformats.org/officeDocument/2006/relationships/hyperlink" TargetMode="External"></Relationship><Relationship Id="rId254" Target="https://www.douyin.com/video/7631754234015477361" Type="http://schemas.openxmlformats.org/officeDocument/2006/relationships/hyperlink" TargetMode="External"></Relationship><Relationship Id="rId255" Target="https://www.douyin.com/video/7638908016368917681" Type="http://schemas.openxmlformats.org/officeDocument/2006/relationships/hyperlink" TargetMode="External"></Relationship><Relationship Id="rId256" Target="https://www.douyin.com/note/7646632021980156346" Type="http://schemas.openxmlformats.org/officeDocument/2006/relationships/hyperlink" TargetMode="External"></Relationship><Relationship Id="rId257" Target="https://www.douyin.com/video/7615266309736562682" Type="http://schemas.openxmlformats.org/officeDocument/2006/relationships/hyperlink" TargetMode="External"></Relationship><Relationship Id="rId258" Target="https://www.douyin.com/video/7620296845138728549" Type="http://schemas.openxmlformats.org/officeDocument/2006/relationships/hyperlink" TargetMode="External"></Relationship><Relationship Id="rId259" Target="https://www.douyin.com/video/7620296845138728549" Type="http://schemas.openxmlformats.org/officeDocument/2006/relationships/hyperlink" TargetMode="External"></Relationship><Relationship Id="rId260" Target="https://www.douyin.com/video/7625846621917471208" Type="http://schemas.openxmlformats.org/officeDocument/2006/relationships/hyperlink" TargetMode="External"></Relationship><Relationship Id="rId261" Target="https://www.douyin.com/video/7631919828249700068" Type="http://schemas.openxmlformats.org/officeDocument/2006/relationships/hyperlink" TargetMode="External"></Relationship><Relationship Id="rId262" Target="https://www.douyin.com/video/7640834357934858225" Type="http://schemas.openxmlformats.org/officeDocument/2006/relationships/hyperlink" TargetMode="External"></Relationship><Relationship Id="rId263" Target="https://www.douyin.com/video/7645956165910827377" Type="http://schemas.openxmlformats.org/officeDocument/2006/relationships/hyperlink" TargetMode="External"></Relationship><Relationship Id="rId264" Target="https://www.douyin.com/video/7615783338746236337" Type="http://schemas.openxmlformats.org/officeDocument/2006/relationships/hyperlink" TargetMode="External"></Relationship><Relationship Id="rId265" Target="https://www.douyin.com/video/7615783338746236337" Type="http://schemas.openxmlformats.org/officeDocument/2006/relationships/hyperlink" TargetMode="External"></Relationship><Relationship Id="rId266" Target="https://www.douyin.com/video/7615783338746236337" Type="http://schemas.openxmlformats.org/officeDocument/2006/relationships/hyperlink" TargetMode="External"></Relationship><Relationship Id="rId267" Target="https://www.douyin.com/video/7615783338746236337" Type="http://schemas.openxmlformats.org/officeDocument/2006/relationships/hyperlink" TargetMode="External"></Relationship><Relationship Id="rId268" Target="https://www.douyin.com/video/7615783338746236337"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F2" xSplit="5" ySplit="1"/>
    </sheetView>
  </sheetViews>
  <sheetFormatPr defaultColWidth="14" defaultRowHeight="19"/>
  <cols>
    <col collapsed="false" customWidth="true" hidden="false" max="1" min="1" style="0" width="11"/>
    <col collapsed="false" customWidth="true" hidden="false" max="2" min="2" style="0" width="12"/>
    <col collapsed="false" customWidth="true" hidden="false" max="4" min="4" style="0" width="14"/>
    <col collapsed="false" customWidth="true" hidden="false" max="5" min="5" style="0" width="15"/>
    <col collapsed="false" customWidth="true" hidden="false" max="6" min="6" style="0" width="21"/>
    <col collapsed="false" customWidth="true" hidden="false" max="7" min="7" style="0" width="90"/>
  </cols>
  <sheetData>
    <row r="1">
      <c r="A1" s="1" t="s">
        <v>1</v>
      </c>
      <c r="B1" s="1" t="s">
        <v>2</v>
      </c>
      <c r="C1" s="2" t="s">
        <v>3</v>
      </c>
      <c r="D1" s="1" t="s">
        <v>4</v>
      </c>
      <c r="E1" s="2" t="s">
        <v>5</v>
      </c>
      <c r="F1" s="3" t="s">
        <v>6</v>
      </c>
      <c r="G1" s="2" t="s">
        <v>7</v>
      </c>
      <c r="H1" s="3" t="s">
        <v>8</v>
      </c>
      <c r="I1" s="4" t="s">
        <v>9</v>
      </c>
      <c r="J1" s="3" t="s">
        <v>10</v>
      </c>
      <c r="K1" s="3" t="s">
        <v>11</v>
      </c>
      <c r="L1" s="5" t="s">
        <v>12</v>
      </c>
      <c r="M1" s="3" t="s">
        <v>13</v>
      </c>
      <c r="N1" s="2" t="s">
        <v>14</v>
      </c>
      <c r="O1" s="2" t="s">
        <v>15</v>
      </c>
      <c r="P1" s="1" t="s">
        <v>16</v>
      </c>
      <c r="Q1" s="6" t="s">
        <v>17</v>
      </c>
      <c r="R1" s="7"/>
      <c r="S1" s="7"/>
      <c r="T1" s="7"/>
      <c r="U1" s="7"/>
      <c r="V1" s="7"/>
      <c r="W1" s="7"/>
      <c r="X1" s="7"/>
    </row>
    <row r="2">
      <c r="A2" s="1" t="s">
        <v>18</v>
      </c>
      <c r="B2" s="1"/>
      <c r="C2" s="1"/>
      <c r="D2" s="1"/>
      <c r="E2" s="1"/>
      <c r="F2" s="1"/>
      <c r="G2" s="1"/>
      <c r="H2" s="4" t="s">
        <v>19</v>
      </c>
      <c r="I2" s="4" t="s">
        <v>19</v>
      </c>
      <c r="J2" s="3">
        <f>SUM(J3:J99)</f>
      </c>
      <c r="K2" s="3">
        <f>SUM(K3:K99)</f>
      </c>
      <c r="L2" s="5">
        <f t="shared" ref="L2:L21" si="7">K2/J2</f>
      </c>
      <c r="M2" s="3"/>
      <c r="N2" s="2"/>
      <c r="O2" s="2"/>
      <c r="P2" s="2">
        <f>SUM(P3:P98)</f>
      </c>
      <c r="Q2" s="7"/>
      <c r="R2" s="7"/>
      <c r="S2" s="7"/>
      <c r="T2" s="7"/>
      <c r="U2" s="7"/>
      <c r="V2" s="7"/>
      <c r="W2" s="7"/>
      <c r="X2" s="7"/>
    </row>
    <row r="3">
      <c r="A3" s="8">
        <v>46082</v>
      </c>
      <c r="B3" s="9">
        <f t="shared" ref="B3:B88" si="0">A3+7</f>
      </c>
      <c r="C3" s="7" t="s">
        <v>20</v>
      </c>
      <c r="D3" s="10" t="s">
        <v>21</v>
      </c>
      <c r="E3" s="11" t="s">
        <v>22</v>
      </c>
      <c r="F3" s="12" t="s">
        <v>23</v>
      </c>
      <c r="G3" s="11" t="s">
        <v>24</v>
      </c>
      <c r="H3" s="13">
        <v>112</v>
      </c>
      <c r="I3">
        <f>'详细数据'!AC2+'详细数据'!AC16+'详细数据'!AC20+'详细数据'!AC26+'详细数据'!AC38</f>
      </c>
      <c r="J3" s="13">
        <v>37471</v>
      </c>
      <c r="K3" s="14">
        <f>1000+500+500+'详细数据'!J26+'详细数据'!J38</f>
      </c>
      <c r="L3" s="15">
        <f t="shared" si="7"/>
      </c>
      <c r="M3" s="16" t="s">
        <v>25</v>
      </c>
      <c r="N3" s="16" t="s">
        <v>26</v>
      </c>
      <c r="P3" s="13">
        <v>37471</v>
      </c>
      <c r="Q3">
        <f t="shared" ref="Q3:Q14" si="1">IF(J3="","",IF(J3&gt;=500000,"S 级",IF(J3&gt;=100000,"A 级",IF(J3&gt;=50000,"B 级","C 级"))))</f>
      </c>
    </row>
    <row r="4">
      <c r="A4" s="8">
        <v>46081</v>
      </c>
      <c r="B4" s="9">
        <f t="shared" si="0"/>
      </c>
      <c r="C4" s="7" t="s">
        <v>20</v>
      </c>
      <c r="D4" s="10" t="s">
        <v>27</v>
      </c>
      <c r="E4" s="10" t="s">
        <v>28</v>
      </c>
      <c r="F4" s="12" t="s">
        <v>29</v>
      </c>
      <c r="G4" s="11" t="s">
        <v>30</v>
      </c>
      <c r="H4" s="13">
        <v>74</v>
      </c>
      <c r="I4">
        <v>1094</v>
      </c>
      <c r="J4" s="13">
        <v>1204</v>
      </c>
      <c r="K4" s="17">
        <v>500</v>
      </c>
      <c r="L4" s="18">
        <f t="shared" si="7"/>
      </c>
      <c r="M4" s="16" t="s">
        <v>31</v>
      </c>
      <c r="N4" s="16" t="s">
        <v>32</v>
      </c>
      <c r="P4" s="13">
        <v>1204</v>
      </c>
      <c r="Q4">
        <f t="shared" si="1"/>
      </c>
    </row>
    <row r="5">
      <c r="A5" s="8">
        <v>46082</v>
      </c>
      <c r="B5" s="9">
        <f t="shared" si="0"/>
      </c>
      <c r="C5" s="7" t="s">
        <v>20</v>
      </c>
      <c r="D5" s="10" t="s">
        <v>33</v>
      </c>
      <c r="E5" s="10" t="s">
        <v>34</v>
      </c>
      <c r="F5" s="12" t="s">
        <v>35</v>
      </c>
      <c r="G5" s="10" t="s">
        <v>36</v>
      </c>
      <c r="H5" s="13">
        <v>128</v>
      </c>
      <c r="I5">
        <f>1427+'详细数据'!AC14</f>
      </c>
      <c r="J5" s="13">
        <v>5167</v>
      </c>
      <c r="K5" s="14">
        <v>1500</v>
      </c>
      <c r="L5" s="18">
        <f t="shared" si="7"/>
      </c>
      <c r="M5" s="16" t="s">
        <v>25</v>
      </c>
      <c r="N5" s="16" t="s">
        <v>37</v>
      </c>
      <c r="P5" s="13">
        <v>5167</v>
      </c>
      <c r="Q5">
        <f t="shared" si="1"/>
      </c>
    </row>
    <row r="6">
      <c r="A6" s="8">
        <v>46082</v>
      </c>
      <c r="B6" s="9">
        <f t="shared" si="0"/>
      </c>
      <c r="C6" s="7" t="s">
        <v>20</v>
      </c>
      <c r="D6" s="10" t="s">
        <v>38</v>
      </c>
      <c r="E6" s="10" t="s">
        <v>39</v>
      </c>
      <c r="F6" s="12" t="s">
        <v>35</v>
      </c>
      <c r="G6" s="10" t="s">
        <v>40</v>
      </c>
      <c r="H6" s="13">
        <v>909</v>
      </c>
      <c r="I6">
        <f>1280+'详细数据'!AC13</f>
      </c>
      <c r="J6" s="13">
        <v>5887</v>
      </c>
      <c r="K6" s="14">
        <v>1500</v>
      </c>
      <c r="L6" s="18">
        <f t="shared" si="7"/>
      </c>
      <c r="M6" s="16" t="s">
        <v>41</v>
      </c>
      <c r="N6" s="16" t="s">
        <v>42</v>
      </c>
      <c r="P6" s="13">
        <v>5887</v>
      </c>
      <c r="Q6">
        <f t="shared" si="1"/>
      </c>
    </row>
    <row r="7">
      <c r="A7" s="8">
        <v>46082</v>
      </c>
      <c r="B7" s="9">
        <f t="shared" si="0"/>
      </c>
      <c r="C7" s="7" t="s">
        <v>20</v>
      </c>
      <c r="D7" s="10" t="s">
        <v>43</v>
      </c>
      <c r="E7" s="11" t="s">
        <v>44</v>
      </c>
      <c r="F7" s="12" t="s">
        <v>23</v>
      </c>
      <c r="G7" s="11" t="s">
        <v>45</v>
      </c>
      <c r="H7" s="13">
        <v>1056</v>
      </c>
      <c r="I7">
        <f>2871+'详细数据'!AC12+'详细数据'!AC21+'详细数据'!AC31+'详细数据'!AC37</f>
      </c>
      <c r="J7" s="13">
        <v>36628</v>
      </c>
      <c r="K7" s="14">
        <f>1000+500+500+'详细数据'!J31+'详细数据'!J37</f>
      </c>
      <c r="L7" s="15">
        <f t="shared" si="7"/>
      </c>
      <c r="M7" s="16" t="s">
        <v>46</v>
      </c>
      <c r="N7" s="16" t="s">
        <v>47</v>
      </c>
      <c r="P7" s="13">
        <v>36628</v>
      </c>
      <c r="Q7">
        <f t="shared" si="1"/>
      </c>
    </row>
    <row r="8">
      <c r="A8" s="8">
        <v>46081</v>
      </c>
      <c r="B8" s="9">
        <f t="shared" si="0"/>
      </c>
      <c r="C8" s="7" t="s">
        <v>20</v>
      </c>
      <c r="D8" s="10" t="s">
        <v>48</v>
      </c>
      <c r="E8" s="10" t="s">
        <v>49</v>
      </c>
      <c r="F8" s="12" t="s">
        <v>29</v>
      </c>
      <c r="G8" s="10" t="s">
        <v>50</v>
      </c>
      <c r="H8" s="13">
        <v>99</v>
      </c>
      <c r="I8">
        <v>1073</v>
      </c>
      <c r="J8" s="13">
        <v>1222</v>
      </c>
      <c r="K8" s="17">
        <v>500</v>
      </c>
      <c r="L8" s="18">
        <f t="shared" si="7"/>
      </c>
      <c r="M8" s="16" t="s">
        <v>46</v>
      </c>
      <c r="N8" s="16" t="s">
        <v>51</v>
      </c>
      <c r="P8" s="13">
        <v>1222</v>
      </c>
      <c r="Q8">
        <f t="shared" si="1"/>
      </c>
    </row>
    <row r="9">
      <c r="A9" s="8">
        <v>46080</v>
      </c>
      <c r="B9" s="9">
        <f t="shared" si="0"/>
      </c>
      <c r="C9" s="7" t="s">
        <v>20</v>
      </c>
      <c r="D9" s="10" t="s">
        <v>52</v>
      </c>
      <c r="E9" s="11" t="s">
        <v>53</v>
      </c>
      <c r="F9" s="12" t="s">
        <v>54</v>
      </c>
      <c r="G9" s="10" t="s">
        <v>55</v>
      </c>
      <c r="H9" s="13">
        <v>985</v>
      </c>
      <c r="I9">
        <f>1292+'详细数据'!AC15+'详细数据'!AC19</f>
      </c>
      <c r="J9" s="13">
        <v>8264</v>
      </c>
      <c r="K9" s="14">
        <f t="shared" ref="K9:K10" si="6">1000+500+500</f>
      </c>
      <c r="L9" s="18">
        <f t="shared" si="7"/>
      </c>
      <c r="M9" s="16" t="s">
        <v>46</v>
      </c>
      <c r="N9" s="16" t="s">
        <v>56</v>
      </c>
      <c r="P9" s="13">
        <v>8264</v>
      </c>
      <c r="Q9">
        <f t="shared" si="1"/>
      </c>
    </row>
    <row r="10">
      <c r="A10" s="8">
        <v>46080</v>
      </c>
      <c r="B10" s="9">
        <f t="shared" si="0"/>
      </c>
      <c r="C10" s="7" t="s">
        <v>20</v>
      </c>
      <c r="D10" s="10" t="s">
        <v>57</v>
      </c>
      <c r="E10" s="11" t="s">
        <v>58</v>
      </c>
      <c r="F10" s="12" t="s">
        <v>54</v>
      </c>
      <c r="G10" s="10" t="s">
        <v>59</v>
      </c>
      <c r="H10" s="13">
        <v>261</v>
      </c>
      <c r="I10" s="13">
        <f>1301+'详细数据'!AC11+'详细数据'!AC22</f>
      </c>
      <c r="J10" s="13">
        <v>7509</v>
      </c>
      <c r="K10" s="14">
        <f t="shared" si="6"/>
      </c>
      <c r="L10" s="18">
        <f t="shared" si="7"/>
      </c>
      <c r="M10" s="16" t="s">
        <v>25</v>
      </c>
      <c r="N10" s="16" t="s">
        <v>60</v>
      </c>
      <c r="P10" s="13">
        <v>7509</v>
      </c>
      <c r="Q10">
        <f t="shared" si="1"/>
      </c>
    </row>
    <row r="11">
      <c r="A11" s="8">
        <v>46079</v>
      </c>
      <c r="B11" s="9">
        <f t="shared" si="0"/>
      </c>
      <c r="C11" s="7" t="s">
        <v>20</v>
      </c>
      <c r="D11" s="10" t="s">
        <v>61</v>
      </c>
      <c r="E11" s="10" t="s">
        <v>62</v>
      </c>
      <c r="F11" s="12" t="s">
        <v>29</v>
      </c>
      <c r="G11" s="10" t="s">
        <v>63</v>
      </c>
      <c r="H11" s="13">
        <v>147</v>
      </c>
      <c r="I11">
        <v>1145</v>
      </c>
      <c r="J11" s="13">
        <v>1371</v>
      </c>
      <c r="K11" s="17">
        <v>500</v>
      </c>
      <c r="L11" s="18">
        <f t="shared" si="7"/>
      </c>
      <c r="M11" s="16" t="s">
        <v>64</v>
      </c>
      <c r="N11" s="16" t="s">
        <v>65</v>
      </c>
      <c r="P11" s="13">
        <v>1371</v>
      </c>
      <c r="Q11">
        <f t="shared" si="1"/>
      </c>
    </row>
    <row r="12">
      <c r="A12" s="8">
        <v>46079</v>
      </c>
      <c r="B12" s="9">
        <f t="shared" si="0"/>
      </c>
      <c r="C12" s="7" t="s">
        <v>20</v>
      </c>
      <c r="D12" s="11" t="s">
        <v>66</v>
      </c>
      <c r="E12" s="11" t="s">
        <v>67</v>
      </c>
      <c r="F12" s="13" t="s">
        <v>68</v>
      </c>
      <c r="G12" s="11" t="s">
        <v>69</v>
      </c>
      <c r="H12" s="13">
        <v>71</v>
      </c>
      <c r="I12">
        <f>'详细数据'!AC18</f>
      </c>
      <c r="J12" s="13">
        <v>282</v>
      </c>
      <c r="K12" s="17">
        <v>500</v>
      </c>
      <c r="L12" s="18">
        <f t="shared" si="7"/>
      </c>
      <c r="M12" s="16" t="s">
        <v>46</v>
      </c>
      <c r="N12" s="16" t="s">
        <v>70</v>
      </c>
      <c r="P12" s="13">
        <v>282</v>
      </c>
      <c r="Q12">
        <f t="shared" si="1"/>
      </c>
    </row>
    <row r="13">
      <c r="A13" s="8">
        <v>46083</v>
      </c>
      <c r="B13" s="9">
        <f t="shared" si="0"/>
      </c>
      <c r="C13" t="s">
        <v>20</v>
      </c>
      <c r="D13" s="11" t="s">
        <v>71</v>
      </c>
      <c r="E13" s="11" t="s">
        <v>72</v>
      </c>
      <c r="F13" s="12" t="s">
        <v>73</v>
      </c>
      <c r="G13" s="11" t="s">
        <v>74</v>
      </c>
      <c r="H13" s="13">
        <v>93</v>
      </c>
      <c r="I13">
        <f>'详细数据'!AC17+'详细数据'!AC23</f>
      </c>
      <c r="J13" s="13">
        <v>4251</v>
      </c>
      <c r="K13" s="17">
        <f>500+500</f>
      </c>
      <c r="L13" s="18">
        <f t="shared" si="7"/>
      </c>
      <c r="M13" s="16" t="s">
        <v>46</v>
      </c>
      <c r="N13" s="16" t="s">
        <v>70</v>
      </c>
      <c r="P13" s="13">
        <v>4251</v>
      </c>
      <c r="Q13">
        <f t="shared" si="1"/>
      </c>
    </row>
    <row r="14">
      <c r="A14" s="8">
        <v>46084</v>
      </c>
      <c r="B14" s="9">
        <f t="shared" si="0"/>
      </c>
      <c r="C14" t="s">
        <v>20</v>
      </c>
      <c r="D14" s="10" t="s">
        <v>75</v>
      </c>
      <c r="E14" s="11" t="s">
        <v>76</v>
      </c>
      <c r="F14" s="13" t="s">
        <v>77</v>
      </c>
      <c r="G14" s="10" t="s">
        <v>78</v>
      </c>
      <c r="H14" s="13">
        <v>90</v>
      </c>
      <c r="I14">
        <f>'详细数据'!AC25</f>
      </c>
      <c r="J14" s="13">
        <v>2159</v>
      </c>
      <c r="K14" s="13">
        <v>500</v>
      </c>
      <c r="L14" s="18">
        <f t="shared" si="7"/>
      </c>
      <c r="M14" s="16" t="s">
        <v>64</v>
      </c>
      <c r="N14" s="16" t="s">
        <v>79</v>
      </c>
      <c r="P14" s="13">
        <v>2159</v>
      </c>
      <c r="Q14">
        <f t="shared" si="1"/>
      </c>
    </row>
    <row r="15">
      <c r="A15" s="8"/>
      <c r="B15" s="9">
        <f t="shared" si="0"/>
      </c>
      <c r="C15" t="s">
        <v>80</v>
      </c>
      <c r="D15" s="11" t="s">
        <v>81</v>
      </c>
      <c r="E15" s="11" t="s">
        <v>82</v>
      </c>
      <c r="F15" s="13" t="s">
        <v>77</v>
      </c>
      <c r="G15" s="11" t="s">
        <v>83</v>
      </c>
      <c r="H15" s="13">
        <v>108</v>
      </c>
      <c r="I15" s="13">
        <v>0</v>
      </c>
      <c r="K15" s="13">
        <v>0</v>
      </c>
      <c r="L15" s="18">
        <f t="shared" si="7"/>
      </c>
      <c r="M15" s="7" t="s">
        <v>46</v>
      </c>
    </row>
    <row r="16">
      <c r="A16" s="8">
        <v>46084</v>
      </c>
      <c r="B16" s="9">
        <f t="shared" si="0"/>
      </c>
      <c r="C16" t="s">
        <v>20</v>
      </c>
      <c r="D16" s="11" t="s">
        <v>84</v>
      </c>
      <c r="E16" s="11" t="s">
        <v>85</v>
      </c>
      <c r="F16" s="13" t="s">
        <v>77</v>
      </c>
      <c r="G16" s="11" t="s">
        <v>86</v>
      </c>
      <c r="H16" s="13">
        <v>199</v>
      </c>
      <c r="I16">
        <f>'详细数据'!AC24</f>
      </c>
      <c r="J16" s="13">
        <v>1870</v>
      </c>
      <c r="K16" s="13">
        <v>500</v>
      </c>
      <c r="L16" s="18">
        <f t="shared" si="7"/>
      </c>
      <c r="M16" s="16" t="s">
        <v>41</v>
      </c>
      <c r="N16" s="16" t="s">
        <v>87</v>
      </c>
      <c r="P16" s="13">
        <v>1870</v>
      </c>
      <c r="Q16">
        <f t="shared" ref="Q16:Q21" si="2">IF(J16="","",IF(J16&gt;=500000,"S 级",IF(J16&gt;=100000,"A 级",IF(J16&gt;=50000,"B 级","C 级"))))</f>
      </c>
    </row>
    <row r="17">
      <c r="A17" s="8">
        <v>46085</v>
      </c>
      <c r="B17" s="9">
        <f t="shared" si="0"/>
      </c>
      <c r="C17" t="s">
        <v>20</v>
      </c>
      <c r="D17" s="11" t="s">
        <v>88</v>
      </c>
      <c r="E17" s="10" t="s">
        <v>89</v>
      </c>
      <c r="F17" s="12" t="s">
        <v>90</v>
      </c>
      <c r="G17" s="10" t="s">
        <v>91</v>
      </c>
      <c r="H17" s="13">
        <v>91</v>
      </c>
      <c r="I17">
        <f>'详细数据'!AC27+'详细数据'!AC36</f>
      </c>
      <c r="J17" s="13">
        <v>3769</v>
      </c>
      <c r="K17" s="13">
        <f>500+'详细数据'!J36</f>
      </c>
      <c r="L17" s="15">
        <f t="shared" si="7"/>
      </c>
      <c r="M17" s="16" t="s">
        <v>25</v>
      </c>
      <c r="N17" s="16" t="s">
        <v>26</v>
      </c>
      <c r="P17" s="13">
        <v>3769</v>
      </c>
      <c r="Q17">
        <f t="shared" si="2"/>
      </c>
    </row>
    <row r="18">
      <c r="A18" s="8">
        <v>46086</v>
      </c>
      <c r="B18" s="9">
        <f t="shared" si="0"/>
      </c>
      <c r="C18" t="s">
        <v>20</v>
      </c>
      <c r="D18" s="11" t="s">
        <v>92</v>
      </c>
      <c r="E18" s="10" t="s">
        <v>93</v>
      </c>
      <c r="F18" s="13" t="s">
        <v>94</v>
      </c>
      <c r="G18" s="11" t="s">
        <v>95</v>
      </c>
      <c r="H18" s="13">
        <v>155</v>
      </c>
      <c r="I18">
        <f>'详细数据'!AC29</f>
      </c>
      <c r="J18" s="13">
        <v>1556</v>
      </c>
      <c r="K18" s="13">
        <v>500</v>
      </c>
      <c r="L18" s="18">
        <f t="shared" si="7"/>
      </c>
      <c r="M18" s="16" t="s">
        <v>25</v>
      </c>
      <c r="N18" s="16" t="s">
        <v>37</v>
      </c>
      <c r="P18" s="13">
        <v>1556</v>
      </c>
      <c r="Q18">
        <f t="shared" si="2"/>
      </c>
    </row>
    <row r="19">
      <c r="A19" s="8">
        <v>46082</v>
      </c>
      <c r="B19" s="9">
        <f t="shared" si="0"/>
      </c>
      <c r="C19" t="s">
        <v>20</v>
      </c>
      <c r="D19" s="11" t="s">
        <v>96</v>
      </c>
      <c r="E19" s="10" t="s">
        <v>97</v>
      </c>
      <c r="F19" s="13" t="s">
        <v>94</v>
      </c>
      <c r="G19" s="11" t="s">
        <v>98</v>
      </c>
      <c r="H19" s="13">
        <v>71</v>
      </c>
      <c r="I19">
        <f>'详细数据'!AC28</f>
      </c>
      <c r="J19" s="13">
        <v>1558</v>
      </c>
      <c r="K19" s="13">
        <v>500</v>
      </c>
      <c r="L19" s="18">
        <f t="shared" si="7"/>
      </c>
      <c r="M19" s="16" t="s">
        <v>99</v>
      </c>
      <c r="N19" s="16" t="s">
        <v>99</v>
      </c>
      <c r="P19" s="13">
        <v>1558</v>
      </c>
      <c r="Q19">
        <f t="shared" si="2"/>
      </c>
    </row>
    <row r="20">
      <c r="A20" s="8">
        <v>46085</v>
      </c>
      <c r="B20" s="9">
        <f t="shared" si="0"/>
      </c>
      <c r="C20" t="s">
        <v>20</v>
      </c>
      <c r="D20" s="11" t="s">
        <v>88</v>
      </c>
      <c r="E20" s="10" t="s">
        <v>89</v>
      </c>
      <c r="F20" s="13" t="s">
        <v>94</v>
      </c>
      <c r="G20" s="10" t="s">
        <v>91</v>
      </c>
      <c r="H20" s="13">
        <v>106</v>
      </c>
      <c r="I20">
        <f>'详细数据'!AC30</f>
      </c>
      <c r="J20" s="13">
        <v>3485</v>
      </c>
      <c r="K20" s="13">
        <v>500</v>
      </c>
      <c r="L20" s="15">
        <f t="shared" si="7"/>
      </c>
      <c r="M20" s="16" t="s">
        <v>25</v>
      </c>
      <c r="N20" s="16" t="s">
        <v>26</v>
      </c>
      <c r="P20" s="13">
        <v>3485</v>
      </c>
      <c r="Q20">
        <f t="shared" si="2"/>
      </c>
    </row>
    <row r="21">
      <c r="A21" s="8">
        <v>46086</v>
      </c>
      <c r="B21" s="9">
        <f t="shared" si="0"/>
      </c>
      <c r="C21" t="s">
        <v>20</v>
      </c>
      <c r="D21" s="10" t="s">
        <v>100</v>
      </c>
      <c r="E21" s="10" t="s">
        <v>101</v>
      </c>
      <c r="F21" s="19" t="s">
        <v>102</v>
      </c>
      <c r="G21" s="10" t="s">
        <v>103</v>
      </c>
      <c r="H21" s="13">
        <v>299</v>
      </c>
      <c r="I21">
        <f>'详细数据'!AC35+'详细数据'!AC55</f>
      </c>
      <c r="J21" s="13">
        <v>7295</v>
      </c>
      <c r="K21">
        <f>'详细数据'!J35+'详细数据'!J55</f>
      </c>
      <c r="L21" s="15">
        <f t="shared" si="7"/>
      </c>
      <c r="M21" s="16" t="s">
        <v>99</v>
      </c>
      <c r="N21" s="16" t="s">
        <v>99</v>
      </c>
      <c r="P21" s="13">
        <v>7295</v>
      </c>
      <c r="Q21">
        <f t="shared" si="2"/>
      </c>
    </row>
    <row r="22">
      <c r="A22" s="8"/>
      <c r="B22" s="20">
        <f t="shared" si="0"/>
      </c>
      <c r="C22" t="s">
        <v>80</v>
      </c>
      <c r="D22" s="10" t="s">
        <v>104</v>
      </c>
      <c r="E22" s="10" t="s">
        <v>105</v>
      </c>
      <c r="F22" s="13" t="s">
        <v>106</v>
      </c>
      <c r="G22" s="10" t="s">
        <v>107</v>
      </c>
      <c r="H22" s="13">
        <v>147</v>
      </c>
      <c r="I22" s="13" t="s">
        <v>106</v>
      </c>
      <c r="J22" s="13" t="s">
        <v>106</v>
      </c>
      <c r="K22" s="13" t="s">
        <v>106</v>
      </c>
      <c r="L22" s="13" t="s">
        <v>106</v>
      </c>
      <c r="M22" s="13" t="s">
        <v>106</v>
      </c>
      <c r="P22" s="13" t="s">
        <v>106</v>
      </c>
    </row>
    <row r="23">
      <c r="A23" s="8">
        <v>46089</v>
      </c>
      <c r="B23" s="9">
        <f t="shared" si="0"/>
      </c>
      <c r="C23" t="s">
        <v>20</v>
      </c>
      <c r="D23" s="10" t="s">
        <v>108</v>
      </c>
      <c r="E23" s="10" t="s">
        <v>109</v>
      </c>
      <c r="F23" s="19" t="s">
        <v>110</v>
      </c>
      <c r="G23" s="11" t="s">
        <v>111</v>
      </c>
      <c r="H23" s="13">
        <v>316</v>
      </c>
      <c r="I23">
        <f>'详细数据'!AC34+'详细数据'!AC54+'详细数据'!AC63</f>
      </c>
      <c r="J23" s="13">
        <v>33030</v>
      </c>
      <c r="K23">
        <f>'详细数据'!J34+'详细数据'!J54+'详细数据'!J63</f>
      </c>
      <c r="L23" s="15">
        <f>K23/J23</f>
      </c>
      <c r="M23" s="16" t="s">
        <v>64</v>
      </c>
      <c r="N23" s="16" t="s">
        <v>79</v>
      </c>
      <c r="P23" s="13">
        <v>33030</v>
      </c>
      <c r="Q23">
        <f>IF(J23="","",IF(J23&gt;=500000,"S 级",IF(J23&gt;=100000,"A 级",IF(J23&gt;=50000,"B 级","C 级"))))</f>
      </c>
    </row>
    <row r="24">
      <c r="A24" s="8"/>
      <c r="B24" s="9">
        <f t="shared" si="0"/>
      </c>
      <c r="C24" t="s">
        <v>80</v>
      </c>
      <c r="D24" s="10" t="s">
        <v>112</v>
      </c>
      <c r="E24" s="10" t="s">
        <v>113</v>
      </c>
      <c r="F24" s="13" t="s">
        <v>106</v>
      </c>
      <c r="G24" s="10" t="s">
        <v>114</v>
      </c>
      <c r="H24" s="13">
        <v>3657</v>
      </c>
      <c r="I24" s="13" t="s">
        <v>106</v>
      </c>
      <c r="J24" s="13" t="s">
        <v>106</v>
      </c>
      <c r="K24" s="13" t="s">
        <v>106</v>
      </c>
      <c r="L24" s="13" t="s">
        <v>106</v>
      </c>
      <c r="M24" s="13" t="s">
        <v>106</v>
      </c>
      <c r="P24" s="13" t="s">
        <v>106</v>
      </c>
    </row>
    <row r="25">
      <c r="A25" s="8">
        <v>46089</v>
      </c>
      <c r="B25" s="9">
        <f t="shared" si="0"/>
      </c>
      <c r="C25" t="s">
        <v>20</v>
      </c>
      <c r="D25" s="10" t="s">
        <v>115</v>
      </c>
      <c r="E25" s="10" t="s">
        <v>116</v>
      </c>
      <c r="F25" s="19" t="s">
        <v>117</v>
      </c>
      <c r="G25" s="10" t="s">
        <v>118</v>
      </c>
      <c r="H25" s="13">
        <v>370</v>
      </c>
      <c r="I25">
        <f>'详细数据'!AC33+'详细数据'!AC53+'详细数据'!AC62</f>
      </c>
      <c r="J25" s="13">
        <v>5009</v>
      </c>
      <c r="K25">
        <f>'详细数据'!J33+'详细数据'!J53+'详细数据'!J62</f>
      </c>
      <c r="L25" s="15">
        <f t="shared" ref="L25:L62" si="8">K25/J25</f>
      </c>
      <c r="M25" s="16" t="s">
        <v>46</v>
      </c>
      <c r="N25" s="16" t="s">
        <v>70</v>
      </c>
      <c r="P25" s="13">
        <v>5009</v>
      </c>
      <c r="Q25">
        <f t="shared" ref="Q25:Q52" si="3">IF(J25="","",IF(J25&gt;=500000,"S 级",IF(J25&gt;=100000,"A 级",IF(J25&gt;=50000,"B 级","C 级"))))</f>
      </c>
    </row>
    <row r="26">
      <c r="A26" s="8">
        <v>46088</v>
      </c>
      <c r="B26" s="9">
        <f t="shared" si="0"/>
      </c>
      <c r="C26" t="s">
        <v>20</v>
      </c>
      <c r="D26" s="10" t="s">
        <v>119</v>
      </c>
      <c r="E26" s="10" t="s">
        <v>120</v>
      </c>
      <c r="F26" s="19" t="s">
        <v>102</v>
      </c>
      <c r="G26" s="10" t="s">
        <v>121</v>
      </c>
      <c r="H26" s="13">
        <v>616</v>
      </c>
      <c r="I26">
        <f>'详细数据'!AC32+'详细数据'!AC52</f>
      </c>
      <c r="J26" s="13">
        <v>3105</v>
      </c>
      <c r="K26">
        <f>'详细数据'!J32+'详细数据'!J52</f>
      </c>
      <c r="L26" s="18">
        <f t="shared" si="8"/>
      </c>
      <c r="M26" s="16" t="s">
        <v>99</v>
      </c>
      <c r="N26" s="16" t="s">
        <v>99</v>
      </c>
      <c r="P26" s="13">
        <v>3105</v>
      </c>
      <c r="Q26">
        <f t="shared" si="3"/>
      </c>
    </row>
    <row r="27">
      <c r="A27" s="8">
        <v>46090</v>
      </c>
      <c r="B27" s="9">
        <f t="shared" si="0"/>
      </c>
      <c r="C27" t="s">
        <v>20</v>
      </c>
      <c r="D27" s="11" t="s">
        <v>122</v>
      </c>
      <c r="E27" s="10" t="s">
        <v>123</v>
      </c>
      <c r="F27" s="21" t="s">
        <v>124</v>
      </c>
      <c r="G27" s="10" t="s">
        <v>125</v>
      </c>
      <c r="H27" s="13">
        <v>104</v>
      </c>
      <c r="I27">
        <f>'详细数据'!AC42</f>
      </c>
      <c r="J27" s="13">
        <v>708</v>
      </c>
      <c r="K27">
        <f>'详细数据'!J42</f>
      </c>
      <c r="L27" s="18">
        <f t="shared" si="8"/>
      </c>
      <c r="M27" s="16" t="s">
        <v>46</v>
      </c>
      <c r="N27" s="16" t="s">
        <v>56</v>
      </c>
      <c r="P27" s="13">
        <v>708</v>
      </c>
      <c r="Q27">
        <f t="shared" si="3"/>
      </c>
    </row>
    <row r="28">
      <c r="A28" s="8">
        <v>46090</v>
      </c>
      <c r="B28" s="9">
        <f t="shared" si="0"/>
      </c>
      <c r="C28" t="s">
        <v>20</v>
      </c>
      <c r="D28" s="10" t="s">
        <v>126</v>
      </c>
      <c r="E28" s="10" t="s">
        <v>127</v>
      </c>
      <c r="F28" s="21" t="s">
        <v>124</v>
      </c>
      <c r="G28" s="10" t="s">
        <v>128</v>
      </c>
      <c r="H28" s="13">
        <v>105</v>
      </c>
      <c r="I28">
        <f>'详细数据'!AC41</f>
      </c>
      <c r="J28" s="13">
        <v>924</v>
      </c>
      <c r="K28">
        <f>'详细数据'!J41</f>
      </c>
      <c r="L28" s="18">
        <f t="shared" si="8"/>
      </c>
      <c r="M28" s="16" t="s">
        <v>25</v>
      </c>
      <c r="N28" s="16" t="s">
        <v>37</v>
      </c>
      <c r="P28" s="13">
        <v>924</v>
      </c>
      <c r="Q28">
        <f t="shared" si="3"/>
      </c>
    </row>
    <row r="29">
      <c r="A29" s="8">
        <v>46089</v>
      </c>
      <c r="B29" s="9">
        <f t="shared" si="0"/>
      </c>
      <c r="C29" t="s">
        <v>20</v>
      </c>
      <c r="D29" s="10" t="s">
        <v>129</v>
      </c>
      <c r="E29" s="10" t="s">
        <v>130</v>
      </c>
      <c r="F29" s="21" t="s">
        <v>124</v>
      </c>
      <c r="G29" s="10" t="s">
        <v>131</v>
      </c>
      <c r="H29" s="13">
        <v>82</v>
      </c>
      <c r="I29">
        <f>'详细数据'!AC40</f>
      </c>
      <c r="J29" s="13">
        <v>1027</v>
      </c>
      <c r="K29">
        <f>'详细数据'!J40</f>
      </c>
      <c r="L29" s="18">
        <f t="shared" si="8"/>
      </c>
      <c r="M29" s="16" t="s">
        <v>132</v>
      </c>
      <c r="N29" s="16" t="s">
        <v>133</v>
      </c>
      <c r="P29" s="13">
        <v>1027</v>
      </c>
      <c r="Q29">
        <f t="shared" si="3"/>
      </c>
    </row>
    <row r="30">
      <c r="A30" s="8">
        <v>46089</v>
      </c>
      <c r="B30" s="9">
        <f t="shared" si="0"/>
      </c>
      <c r="C30" t="s">
        <v>20</v>
      </c>
      <c r="D30" s="10" t="s">
        <v>134</v>
      </c>
      <c r="E30" s="10" t="s">
        <v>135</v>
      </c>
      <c r="F30" s="21" t="s">
        <v>124</v>
      </c>
      <c r="G30" s="10" t="s">
        <v>136</v>
      </c>
      <c r="H30" s="13">
        <v>448</v>
      </c>
      <c r="I30">
        <f>'详细数据'!AC39</f>
      </c>
      <c r="J30" s="13">
        <v>961</v>
      </c>
      <c r="K30">
        <f>'详细数据'!J39</f>
      </c>
      <c r="L30" s="18">
        <f t="shared" si="8"/>
      </c>
      <c r="M30" s="16" t="s">
        <v>46</v>
      </c>
      <c r="N30" s="16" t="s">
        <v>56</v>
      </c>
      <c r="P30" s="13">
        <v>961</v>
      </c>
      <c r="Q30">
        <f t="shared" si="3"/>
      </c>
    </row>
    <row r="31">
      <c r="A31" s="8">
        <v>46090</v>
      </c>
      <c r="B31" s="9">
        <f t="shared" si="0"/>
      </c>
      <c r="C31" t="s">
        <v>20</v>
      </c>
      <c r="D31" t="s">
        <v>137</v>
      </c>
      <c r="E31" s="10" t="s">
        <v>138</v>
      </c>
      <c r="F31" s="21" t="s">
        <v>139</v>
      </c>
      <c r="G31" s="10" t="s">
        <v>140</v>
      </c>
      <c r="H31" s="13">
        <v>141</v>
      </c>
      <c r="I31">
        <f>'详细数据'!AC45</f>
      </c>
      <c r="J31" s="13">
        <v>514</v>
      </c>
      <c r="K31">
        <f>'详细数据'!J45</f>
      </c>
      <c r="L31" s="18">
        <f t="shared" si="8"/>
      </c>
      <c r="M31" s="16" t="s">
        <v>64</v>
      </c>
      <c r="N31" s="16" t="s">
        <v>141</v>
      </c>
      <c r="P31" s="13">
        <v>514</v>
      </c>
      <c r="Q31">
        <f t="shared" si="3"/>
      </c>
    </row>
    <row r="32">
      <c r="A32" s="8">
        <v>46092</v>
      </c>
      <c r="B32" s="9">
        <f t="shared" si="0"/>
      </c>
      <c r="C32" t="s">
        <v>20</v>
      </c>
      <c r="D32" s="10" t="s">
        <v>142</v>
      </c>
      <c r="E32" s="10" t="s">
        <v>143</v>
      </c>
      <c r="F32" s="19" t="s">
        <v>144</v>
      </c>
      <c r="G32" s="10" t="s">
        <v>145</v>
      </c>
      <c r="H32" s="13">
        <v>138</v>
      </c>
      <c r="I32">
        <f>'详细数据'!AC44+'详细数据'!AC51+'详细数据'!AC61+'详细数据'!AC68+'详细数据'!AC72</f>
      </c>
      <c r="J32" s="13">
        <v>9518</v>
      </c>
      <c r="K32">
        <f>'详细数据'!J44+'详细数据'!J51+'详细数据'!J61+'详细数据'!J68+'详细数据'!J72</f>
      </c>
      <c r="L32" s="15">
        <f t="shared" si="8"/>
      </c>
      <c r="M32" s="16" t="s">
        <v>41</v>
      </c>
      <c r="N32" s="16" t="s">
        <v>87</v>
      </c>
      <c r="P32" s="13">
        <v>9518</v>
      </c>
      <c r="Q32">
        <f t="shared" si="3"/>
      </c>
    </row>
    <row customHeight="true" ht="62" r="33">
      <c r="A33" s="8">
        <v>46092</v>
      </c>
      <c r="B33" s="9">
        <f t="shared" si="0"/>
      </c>
      <c r="C33" t="s">
        <v>20</v>
      </c>
      <c r="D33" s="10" t="s">
        <v>146</v>
      </c>
      <c r="E33" s="10" t="s">
        <v>147</v>
      </c>
      <c r="F33" s="19" t="s">
        <v>148</v>
      </c>
      <c r="G33" s="11" t="s">
        <v>149</v>
      </c>
      <c r="H33" s="13">
        <v>103</v>
      </c>
      <c r="I33">
        <f>'详细数据'!AC43+'详细数据'!AC50+'详细数据'!AC60+'详细数据'!AC67+'详细数据'!AC69+'详细数据'!AC75</f>
      </c>
      <c r="J33" s="13">
        <v>50277</v>
      </c>
      <c r="K33">
        <f>'详细数据'!J43+'详细数据'!J50+'详细数据'!J60+'详细数据'!J67+'详细数据'!J69+'详细数据'!J75</f>
      </c>
      <c r="L33" s="15">
        <f t="shared" si="8"/>
      </c>
      <c r="M33" s="16" t="s">
        <v>46</v>
      </c>
      <c r="N33" s="16" t="s">
        <v>51</v>
      </c>
      <c r="P33" s="13">
        <v>50277</v>
      </c>
      <c r="Q33">
        <f t="shared" si="3"/>
      </c>
    </row>
    <row r="34">
      <c r="A34" s="22">
        <v>46092</v>
      </c>
      <c r="B34" s="9">
        <f t="shared" si="0"/>
      </c>
      <c r="C34" t="s">
        <v>20</v>
      </c>
      <c r="D34" s="10" t="s">
        <v>150</v>
      </c>
      <c r="E34" s="10" t="s">
        <v>151</v>
      </c>
      <c r="F34" s="13" t="s">
        <v>152</v>
      </c>
      <c r="G34" s="10" t="s">
        <v>153</v>
      </c>
      <c r="H34" s="13">
        <v>82</v>
      </c>
      <c r="I34">
        <f>'详细数据'!AC49</f>
      </c>
      <c r="J34" s="13">
        <v>1155</v>
      </c>
      <c r="K34">
        <f>'详细数据'!J49</f>
      </c>
      <c r="L34" s="18">
        <f t="shared" si="8"/>
      </c>
      <c r="M34" s="16" t="s">
        <v>46</v>
      </c>
      <c r="N34" s="16" t="s">
        <v>154</v>
      </c>
      <c r="P34" s="13">
        <v>1155</v>
      </c>
      <c r="Q34">
        <f t="shared" si="3"/>
      </c>
    </row>
    <row r="35">
      <c r="A35" s="22">
        <v>46092</v>
      </c>
      <c r="B35" s="9">
        <f t="shared" si="0"/>
      </c>
      <c r="C35" t="s">
        <v>20</v>
      </c>
      <c r="D35" s="13" t="s">
        <v>155</v>
      </c>
      <c r="E35" s="10" t="s">
        <v>156</v>
      </c>
      <c r="F35" s="21" t="s">
        <v>152</v>
      </c>
      <c r="G35" s="10" t="s">
        <v>157</v>
      </c>
      <c r="H35" s="13">
        <v>75</v>
      </c>
      <c r="I35">
        <f>'详细数据'!AC48</f>
      </c>
      <c r="J35" s="13">
        <v>759</v>
      </c>
      <c r="K35">
        <f>'详细数据'!J48</f>
      </c>
      <c r="L35" s="18">
        <f t="shared" si="8"/>
      </c>
      <c r="M35" s="16" t="s">
        <v>46</v>
      </c>
      <c r="N35" s="16" t="s">
        <v>70</v>
      </c>
      <c r="P35" s="13">
        <v>759</v>
      </c>
      <c r="Q35">
        <f t="shared" si="3"/>
      </c>
    </row>
    <row r="36">
      <c r="A36" s="22">
        <v>46092</v>
      </c>
      <c r="B36" s="9">
        <f t="shared" si="0"/>
      </c>
      <c r="C36" t="s">
        <v>20</v>
      </c>
      <c r="D36" s="10" t="s">
        <v>158</v>
      </c>
      <c r="E36" s="10" t="s">
        <v>159</v>
      </c>
      <c r="F36" s="21" t="s">
        <v>160</v>
      </c>
      <c r="G36" s="11" t="s">
        <v>161</v>
      </c>
      <c r="H36" s="13">
        <v>107</v>
      </c>
      <c r="I36">
        <f>'详细数据'!AC47</f>
      </c>
      <c r="J36" s="13">
        <v>1083</v>
      </c>
      <c r="K36">
        <f>'详细数据'!J47</f>
      </c>
      <c r="L36" s="18">
        <f t="shared" si="8"/>
      </c>
      <c r="M36" s="16" t="s">
        <v>41</v>
      </c>
      <c r="N36" s="16" t="s">
        <v>42</v>
      </c>
      <c r="P36" s="13">
        <v>1083</v>
      </c>
      <c r="Q36">
        <f t="shared" si="3"/>
      </c>
    </row>
    <row r="37">
      <c r="A37" s="22">
        <v>46092</v>
      </c>
      <c r="B37" s="9">
        <f t="shared" si="0"/>
      </c>
      <c r="C37" t="s">
        <v>20</v>
      </c>
      <c r="D37" s="23" t="s">
        <v>162</v>
      </c>
      <c r="E37" s="10" t="s">
        <v>163</v>
      </c>
      <c r="F37" s="21" t="s">
        <v>164</v>
      </c>
      <c r="G37" s="10" t="s">
        <v>165</v>
      </c>
      <c r="H37" s="13">
        <v>90</v>
      </c>
      <c r="I37">
        <f>'详细数据'!AC45</f>
      </c>
      <c r="J37" s="13">
        <v>337</v>
      </c>
      <c r="K37">
        <f>'详细数据'!J46</f>
      </c>
      <c r="L37" s="18">
        <f t="shared" si="8"/>
      </c>
      <c r="M37" s="16" t="s">
        <v>41</v>
      </c>
      <c r="N37" s="16" t="s">
        <v>87</v>
      </c>
      <c r="P37" s="13">
        <v>337</v>
      </c>
      <c r="Q37">
        <f t="shared" si="3"/>
      </c>
    </row>
    <row r="38">
      <c r="A38" s="22">
        <v>46093</v>
      </c>
      <c r="B38" s="9">
        <f t="shared" si="0"/>
      </c>
      <c r="C38" t="s">
        <v>20</v>
      </c>
      <c r="D38" s="10" t="s">
        <v>166</v>
      </c>
      <c r="E38" s="10" t="s">
        <v>167</v>
      </c>
      <c r="F38" s="21" t="s">
        <v>168</v>
      </c>
      <c r="G38" s="10" t="s">
        <v>169</v>
      </c>
      <c r="H38" s="13">
        <v>159</v>
      </c>
      <c r="I38">
        <f>'详细数据'!AC59</f>
      </c>
      <c r="J38" s="13">
        <v>1432</v>
      </c>
      <c r="K38">
        <f>'详细数据'!J59</f>
      </c>
      <c r="L38" s="18">
        <f t="shared" si="8"/>
      </c>
      <c r="M38" s="16" t="s">
        <v>46</v>
      </c>
      <c r="N38" s="16" t="s">
        <v>70</v>
      </c>
      <c r="P38" s="13">
        <v>1432</v>
      </c>
      <c r="Q38">
        <f t="shared" si="3"/>
      </c>
    </row>
    <row r="39">
      <c r="A39" s="22">
        <v>46093</v>
      </c>
      <c r="B39" s="9">
        <f t="shared" si="0"/>
      </c>
      <c r="C39" t="s">
        <v>20</v>
      </c>
      <c r="D39" s="10" t="s">
        <v>170</v>
      </c>
      <c r="E39" s="10" t="s">
        <v>171</v>
      </c>
      <c r="F39" s="21" t="s">
        <v>168</v>
      </c>
      <c r="G39" s="10" t="s">
        <v>172</v>
      </c>
      <c r="H39" s="13">
        <v>119</v>
      </c>
      <c r="I39">
        <f>'详细数据'!AC58</f>
      </c>
      <c r="J39" s="13">
        <v>853</v>
      </c>
      <c r="K39">
        <f>'详细数据'!J58</f>
      </c>
      <c r="L39" s="18">
        <f t="shared" si="8"/>
      </c>
      <c r="M39" s="16" t="s">
        <v>64</v>
      </c>
      <c r="N39" s="16" t="s">
        <v>141</v>
      </c>
      <c r="P39" s="13">
        <v>853</v>
      </c>
      <c r="Q39">
        <f t="shared" si="3"/>
      </c>
    </row>
    <row r="40">
      <c r="A40" s="22">
        <v>46093</v>
      </c>
      <c r="B40" s="9">
        <f t="shared" si="0"/>
      </c>
      <c r="C40" t="s">
        <v>20</v>
      </c>
      <c r="D40" s="10" t="s">
        <v>173</v>
      </c>
      <c r="E40" s="10" t="s">
        <v>174</v>
      </c>
      <c r="F40" s="21" t="s">
        <v>168</v>
      </c>
      <c r="G40" s="11" t="s">
        <v>175</v>
      </c>
      <c r="H40" s="13">
        <v>114</v>
      </c>
      <c r="I40">
        <f>'详细数据'!AC57</f>
      </c>
      <c r="J40" s="13">
        <v>496</v>
      </c>
      <c r="K40">
        <f>'详细数据'!J57</f>
      </c>
      <c r="L40" s="18">
        <f t="shared" si="8"/>
      </c>
      <c r="M40" s="16" t="s">
        <v>64</v>
      </c>
      <c r="N40" s="16" t="s">
        <v>176</v>
      </c>
      <c r="P40" s="13">
        <v>496</v>
      </c>
      <c r="Q40">
        <f t="shared" si="3"/>
      </c>
    </row>
    <row r="41">
      <c r="A41" s="22">
        <v>46092</v>
      </c>
      <c r="B41" s="9">
        <f t="shared" si="0"/>
      </c>
      <c r="C41" t="s">
        <v>20</v>
      </c>
      <c r="D41" s="11" t="s">
        <v>177</v>
      </c>
      <c r="E41" s="10" t="s">
        <v>178</v>
      </c>
      <c r="F41" s="21" t="s">
        <v>179</v>
      </c>
      <c r="G41" s="10" t="s">
        <v>180</v>
      </c>
      <c r="H41" s="13">
        <v>168</v>
      </c>
      <c r="I41">
        <f>'详细数据'!AC56</f>
      </c>
      <c r="J41" s="13">
        <v>1190</v>
      </c>
      <c r="K41">
        <f>'详细数据'!J56</f>
      </c>
      <c r="L41" s="18">
        <f t="shared" si="8"/>
      </c>
      <c r="M41" s="16" t="s">
        <v>64</v>
      </c>
      <c r="N41" s="16" t="s">
        <v>79</v>
      </c>
      <c r="P41" s="13">
        <v>1190</v>
      </c>
      <c r="Q41">
        <f t="shared" si="3"/>
      </c>
    </row>
    <row r="42">
      <c r="A42" s="22">
        <v>46096</v>
      </c>
      <c r="B42" s="9">
        <f t="shared" si="0"/>
      </c>
      <c r="C42" t="s">
        <v>20</v>
      </c>
      <c r="D42" s="10" t="s">
        <v>181</v>
      </c>
      <c r="E42" s="10" t="s">
        <v>182</v>
      </c>
      <c r="F42" s="7" t="s">
        <v>183</v>
      </c>
      <c r="G42" s="10" t="s">
        <v>184</v>
      </c>
      <c r="H42" s="13">
        <v>263</v>
      </c>
      <c r="I42">
        <f>'详细数据'!AC66</f>
      </c>
      <c r="J42" s="13">
        <v>1123</v>
      </c>
      <c r="K42">
        <f>'详细数据'!J66</f>
      </c>
      <c r="L42" s="18">
        <f t="shared" si="8"/>
      </c>
      <c r="M42" s="16" t="s">
        <v>25</v>
      </c>
      <c r="N42" s="16" t="s">
        <v>26</v>
      </c>
      <c r="P42" s="13">
        <v>1123</v>
      </c>
      <c r="Q42">
        <f t="shared" si="3"/>
      </c>
    </row>
    <row r="43">
      <c r="A43" s="22">
        <v>46095</v>
      </c>
      <c r="B43" s="9">
        <f t="shared" si="0"/>
      </c>
      <c r="C43" t="s">
        <v>20</v>
      </c>
      <c r="D43" s="10" t="s">
        <v>185</v>
      </c>
      <c r="E43" s="10" t="s">
        <v>186</v>
      </c>
      <c r="F43" s="7" t="s">
        <v>183</v>
      </c>
      <c r="G43" s="10" t="s">
        <v>187</v>
      </c>
      <c r="H43" s="13">
        <v>72</v>
      </c>
      <c r="I43">
        <f>'详细数据'!AC65</f>
      </c>
      <c r="J43" s="13">
        <v>1028</v>
      </c>
      <c r="K43">
        <f>'详细数据'!J65</f>
      </c>
      <c r="L43" s="18">
        <f t="shared" si="8"/>
      </c>
      <c r="M43" s="16" t="s">
        <v>64</v>
      </c>
      <c r="N43" s="16" t="s">
        <v>79</v>
      </c>
      <c r="P43" s="13">
        <v>1028</v>
      </c>
      <c r="Q43">
        <f t="shared" si="3"/>
      </c>
    </row>
    <row r="44">
      <c r="A44" s="22">
        <v>46095</v>
      </c>
      <c r="B44" s="9">
        <f t="shared" si="0"/>
      </c>
      <c r="C44" t="s">
        <v>20</v>
      </c>
      <c r="D44" s="10" t="s">
        <v>188</v>
      </c>
      <c r="E44" s="10" t="s">
        <v>189</v>
      </c>
      <c r="F44" s="7" t="s">
        <v>183</v>
      </c>
      <c r="G44" s="10" t="s">
        <v>190</v>
      </c>
      <c r="H44" s="13">
        <v>110</v>
      </c>
      <c r="I44">
        <f>'详细数据'!AC64</f>
      </c>
      <c r="J44" s="13">
        <v>288</v>
      </c>
      <c r="K44">
        <f>'详细数据'!J64</f>
      </c>
      <c r="L44" s="18">
        <f t="shared" si="8"/>
      </c>
      <c r="M44" s="16" t="s">
        <v>46</v>
      </c>
      <c r="N44" s="16" t="s">
        <v>154</v>
      </c>
      <c r="P44" s="13">
        <v>288</v>
      </c>
      <c r="Q44">
        <f t="shared" si="3"/>
      </c>
    </row>
    <row r="45">
      <c r="A45" s="22">
        <v>46098</v>
      </c>
      <c r="B45" s="9">
        <f t="shared" si="0"/>
      </c>
      <c r="C45" t="s">
        <v>20</v>
      </c>
      <c r="D45" s="10" t="s">
        <v>191</v>
      </c>
      <c r="E45" s="10" t="s">
        <v>192</v>
      </c>
      <c r="F45" s="7" t="s">
        <v>193</v>
      </c>
      <c r="G45" s="10" t="s">
        <v>194</v>
      </c>
      <c r="H45" s="13">
        <v>78</v>
      </c>
      <c r="I45">
        <f>'详细数据'!AC71</f>
      </c>
      <c r="J45" s="13">
        <v>200</v>
      </c>
      <c r="K45">
        <f>'详细数据'!J71</f>
      </c>
      <c r="L45" s="18">
        <f t="shared" si="8"/>
      </c>
      <c r="M45" s="16" t="s">
        <v>46</v>
      </c>
      <c r="N45" s="16" t="s">
        <v>47</v>
      </c>
      <c r="P45" s="13">
        <v>200</v>
      </c>
      <c r="Q45">
        <f t="shared" si="3"/>
      </c>
    </row>
    <row r="46">
      <c r="A46" s="22">
        <v>46097</v>
      </c>
      <c r="B46" s="9">
        <f t="shared" si="0"/>
      </c>
      <c r="C46" t="s">
        <v>20</v>
      </c>
      <c r="D46" s="10">
        <v>71623570672</v>
      </c>
      <c r="E46" s="10" t="s">
        <v>195</v>
      </c>
      <c r="F46" s="7" t="s">
        <v>193</v>
      </c>
      <c r="G46" s="10" t="s">
        <v>196</v>
      </c>
      <c r="H46" s="13">
        <v>80</v>
      </c>
      <c r="I46">
        <f>'详细数据'!AC70</f>
      </c>
      <c r="J46" s="13">
        <v>276</v>
      </c>
      <c r="K46">
        <f>'详细数据'!J70</f>
      </c>
      <c r="L46" s="18">
        <f t="shared" si="8"/>
      </c>
      <c r="M46" s="16" t="s">
        <v>25</v>
      </c>
      <c r="N46" s="16" t="s">
        <v>37</v>
      </c>
      <c r="P46" s="13">
        <v>276</v>
      </c>
      <c r="Q46">
        <f t="shared" si="3"/>
      </c>
    </row>
    <row r="47">
      <c r="A47" s="22">
        <v>46096</v>
      </c>
      <c r="B47" s="9">
        <f t="shared" si="0"/>
      </c>
      <c r="C47" t="s">
        <v>20</v>
      </c>
      <c r="D47" s="10" t="s">
        <v>197</v>
      </c>
      <c r="E47" s="10" t="s">
        <v>198</v>
      </c>
      <c r="F47" s="21" t="s">
        <v>199</v>
      </c>
      <c r="G47" s="10" t="s">
        <v>200</v>
      </c>
      <c r="H47" s="13">
        <v>75</v>
      </c>
      <c r="I47">
        <f>'详细数据'!AC74</f>
      </c>
      <c r="J47" s="13">
        <v>141</v>
      </c>
      <c r="K47">
        <f>'详细数据'!J74</f>
      </c>
      <c r="L47" s="18">
        <f t="shared" si="8"/>
      </c>
      <c r="M47" s="16" t="s">
        <v>41</v>
      </c>
      <c r="N47" s="16" t="s">
        <v>87</v>
      </c>
      <c r="P47" s="13">
        <v>141</v>
      </c>
      <c r="Q47">
        <f t="shared" si="3"/>
      </c>
    </row>
    <row r="48">
      <c r="A48" s="22">
        <v>46098</v>
      </c>
      <c r="B48" s="9">
        <f t="shared" si="0"/>
      </c>
      <c r="C48" t="s">
        <v>20</v>
      </c>
      <c r="D48" s="10" t="s">
        <v>201</v>
      </c>
      <c r="E48" s="10" t="s">
        <v>202</v>
      </c>
      <c r="F48" s="21" t="s">
        <v>199</v>
      </c>
      <c r="G48" s="10" t="s">
        <v>203</v>
      </c>
      <c r="H48" s="13">
        <v>102</v>
      </c>
      <c r="I48">
        <f>'详细数据'!AC73</f>
      </c>
      <c r="J48" s="13">
        <v>430</v>
      </c>
      <c r="K48">
        <f>'详细数据'!J73</f>
      </c>
      <c r="L48" s="18">
        <f t="shared" si="8"/>
      </c>
      <c r="M48" s="16" t="s">
        <v>64</v>
      </c>
      <c r="N48" s="16" t="s">
        <v>204</v>
      </c>
      <c r="P48" s="13">
        <v>430</v>
      </c>
      <c r="Q48">
        <f t="shared" si="3"/>
      </c>
    </row>
    <row r="49">
      <c r="A49" s="22">
        <v>46100</v>
      </c>
      <c r="B49" s="9">
        <f t="shared" si="0"/>
      </c>
      <c r="C49" t="s">
        <v>205</v>
      </c>
      <c r="D49" s="10" t="s">
        <v>206</v>
      </c>
      <c r="E49" s="10" t="s">
        <v>207</v>
      </c>
      <c r="F49" s="19" t="s">
        <v>208</v>
      </c>
      <c r="G49" s="10" t="s">
        <v>209</v>
      </c>
      <c r="H49" s="13">
        <v>261</v>
      </c>
      <c r="I49">
        <f>'详细数据'!AC79+'详细数据'!AC86</f>
      </c>
      <c r="J49" s="13">
        <v>5874</v>
      </c>
      <c r="K49">
        <f>'详细数据'!J79+'详细数据'!J86</f>
      </c>
      <c r="L49" s="18">
        <f t="shared" si="8"/>
      </c>
      <c r="P49" s="13">
        <v>5874</v>
      </c>
      <c r="Q49">
        <f t="shared" si="3"/>
      </c>
    </row>
    <row r="50">
      <c r="A50" s="22">
        <v>46098</v>
      </c>
      <c r="B50" s="9">
        <f t="shared" si="0"/>
      </c>
      <c r="C50" t="s">
        <v>20</v>
      </c>
      <c r="D50" s="11" t="s">
        <v>210</v>
      </c>
      <c r="E50" s="10" t="s">
        <v>211</v>
      </c>
      <c r="F50" s="21" t="s">
        <v>212</v>
      </c>
      <c r="G50" s="10" t="s">
        <v>213</v>
      </c>
      <c r="H50" s="13">
        <v>85</v>
      </c>
      <c r="I50">
        <f>'详细数据'!AC78</f>
      </c>
      <c r="J50" s="13">
        <v>1586</v>
      </c>
      <c r="K50">
        <f>'详细数据'!J78</f>
      </c>
      <c r="L50" s="18">
        <f t="shared" si="8"/>
      </c>
      <c r="M50" s="16" t="s">
        <v>25</v>
      </c>
      <c r="N50" s="16" t="s">
        <v>37</v>
      </c>
      <c r="P50" s="13">
        <v>1586</v>
      </c>
      <c r="Q50">
        <f t="shared" si="3"/>
      </c>
    </row>
    <row r="51">
      <c r="A51" s="22">
        <v>46099</v>
      </c>
      <c r="B51" s="9">
        <f t="shared" si="0"/>
      </c>
      <c r="C51" t="s">
        <v>20</v>
      </c>
      <c r="D51" s="11" t="s">
        <v>214</v>
      </c>
      <c r="E51" s="11" t="s">
        <v>215</v>
      </c>
      <c r="F51" s="21" t="s">
        <v>212</v>
      </c>
      <c r="G51" s="10" t="s">
        <v>216</v>
      </c>
      <c r="H51" s="13">
        <v>85</v>
      </c>
      <c r="I51">
        <f>'详细数据'!AC77</f>
      </c>
      <c r="J51" s="13">
        <v>1761</v>
      </c>
      <c r="K51">
        <f>'详细数据'!J77</f>
      </c>
      <c r="L51" s="18">
        <f t="shared" si="8"/>
      </c>
      <c r="M51" s="16" t="s">
        <v>64</v>
      </c>
      <c r="N51" s="16" t="s">
        <v>217</v>
      </c>
      <c r="P51" s="13">
        <v>1761</v>
      </c>
      <c r="Q51">
        <f t="shared" si="3"/>
      </c>
    </row>
    <row r="52">
      <c r="A52" s="22">
        <v>46101</v>
      </c>
      <c r="B52" s="9">
        <f t="shared" si="0"/>
      </c>
      <c r="C52" t="s">
        <v>20</v>
      </c>
      <c r="D52" s="10" t="s">
        <v>218</v>
      </c>
      <c r="E52" s="10" t="s">
        <v>219</v>
      </c>
      <c r="F52" s="21" t="s">
        <v>212</v>
      </c>
      <c r="G52" s="10" t="s">
        <v>220</v>
      </c>
      <c r="H52" s="13">
        <v>581</v>
      </c>
      <c r="I52">
        <f>'详细数据'!AC76</f>
      </c>
      <c r="J52" s="13">
        <v>2430</v>
      </c>
      <c r="K52">
        <f>'详细数据'!J76</f>
      </c>
      <c r="L52" s="18">
        <f t="shared" si="8"/>
      </c>
      <c r="M52" s="16" t="s">
        <v>99</v>
      </c>
      <c r="N52" s="16" t="s">
        <v>99</v>
      </c>
      <c r="P52" s="13">
        <v>2430</v>
      </c>
      <c r="Q52">
        <f t="shared" si="3"/>
      </c>
    </row>
    <row r="53">
      <c r="A53" s="22">
        <v>46100</v>
      </c>
      <c r="B53" s="9">
        <f t="shared" si="0"/>
      </c>
      <c r="C53" t="s">
        <v>20</v>
      </c>
      <c r="D53" s="10" t="s">
        <v>221</v>
      </c>
      <c r="E53" s="10" t="s">
        <v>222</v>
      </c>
      <c r="F53" s="21" t="s">
        <v>212</v>
      </c>
      <c r="G53" s="10" t="s">
        <v>223</v>
      </c>
      <c r="H53" s="13">
        <v>212</v>
      </c>
      <c r="I53">
        <f>'详细数据'!AC80</f>
      </c>
      <c r="J53" s="13" t="s">
        <v>224</v>
      </c>
      <c r="K53">
        <f>'详细数据'!J80</f>
      </c>
      <c r="L53" s="15">
        <f t="shared" si="8"/>
      </c>
      <c r="M53" s="16" t="s">
        <v>64</v>
      </c>
      <c r="N53" s="16" t="s">
        <v>79</v>
      </c>
      <c r="P53" s="13" t="s">
        <v>224</v>
      </c>
    </row>
    <row r="54">
      <c r="A54" s="22">
        <v>46103</v>
      </c>
      <c r="B54" s="9">
        <f t="shared" si="0"/>
      </c>
      <c r="C54" t="s">
        <v>20</v>
      </c>
      <c r="D54" s="11" t="s">
        <v>225</v>
      </c>
      <c r="E54" s="10" t="s">
        <v>226</v>
      </c>
      <c r="F54" s="21" t="s">
        <v>227</v>
      </c>
      <c r="G54" s="10" t="s">
        <v>228</v>
      </c>
      <c r="H54" s="13">
        <v>235</v>
      </c>
      <c r="I54">
        <f>'详细数据'!AC84</f>
      </c>
      <c r="J54" s="13">
        <v>835</v>
      </c>
      <c r="K54">
        <f>'详细数据'!J84</f>
      </c>
      <c r="L54" s="18">
        <f t="shared" si="8"/>
      </c>
      <c r="M54" s="16" t="s">
        <v>46</v>
      </c>
      <c r="N54" s="16" t="s">
        <v>229</v>
      </c>
      <c r="P54" s="13">
        <v>835</v>
      </c>
      <c r="Q54">
        <f t="shared" ref="Q54:Q62" si="4">IF(J54="","",IF(J54&gt;=500000,"S 级",IF(J54&gt;=100000,"A 级",IF(J54&gt;=50000,"B 级","C 级"))))</f>
      </c>
    </row>
    <row r="55">
      <c r="A55" s="22">
        <v>46102</v>
      </c>
      <c r="B55" s="9">
        <f t="shared" si="0"/>
      </c>
      <c r="C55" t="s">
        <v>20</v>
      </c>
      <c r="D55" s="11" t="s">
        <v>230</v>
      </c>
      <c r="E55" s="10" t="s">
        <v>231</v>
      </c>
      <c r="F55" s="21" t="s">
        <v>232</v>
      </c>
      <c r="G55" s="10" t="s">
        <v>233</v>
      </c>
      <c r="H55" s="13">
        <v>131</v>
      </c>
      <c r="I55">
        <f>'详细数据'!AC83</f>
      </c>
      <c r="J55" s="13">
        <v>1105</v>
      </c>
      <c r="K55">
        <f>'详细数据'!J83</f>
      </c>
      <c r="L55" s="18">
        <f t="shared" si="8"/>
      </c>
      <c r="M55" s="16" t="s">
        <v>64</v>
      </c>
      <c r="N55" s="16" t="s">
        <v>204</v>
      </c>
      <c r="P55" s="13">
        <v>1105</v>
      </c>
      <c r="Q55">
        <f t="shared" si="4"/>
      </c>
    </row>
    <row r="56">
      <c r="A56" s="22">
        <v>46101</v>
      </c>
      <c r="B56" s="9">
        <f t="shared" si="0"/>
      </c>
      <c r="C56" t="s">
        <v>20</v>
      </c>
      <c r="D56" s="10" t="s">
        <v>234</v>
      </c>
      <c r="E56" s="10" t="s">
        <v>235</v>
      </c>
      <c r="F56" s="21" t="s">
        <v>236</v>
      </c>
      <c r="G56" s="10" t="s">
        <v>237</v>
      </c>
      <c r="H56" s="13">
        <v>91</v>
      </c>
      <c r="I56">
        <f>'详细数据'!AC82</f>
      </c>
      <c r="J56" s="13">
        <v>620</v>
      </c>
      <c r="K56">
        <f>'详细数据'!J82</f>
      </c>
      <c r="L56" s="18">
        <f t="shared" si="8"/>
      </c>
      <c r="M56" s="16" t="s">
        <v>41</v>
      </c>
      <c r="N56" s="16" t="s">
        <v>87</v>
      </c>
      <c r="P56" s="13">
        <v>620</v>
      </c>
      <c r="Q56">
        <f t="shared" si="4"/>
      </c>
    </row>
    <row r="57">
      <c r="A57" s="22">
        <v>46102</v>
      </c>
      <c r="B57" s="9">
        <f t="shared" si="0"/>
      </c>
      <c r="C57" t="s">
        <v>20</v>
      </c>
      <c r="D57" s="10" t="s">
        <v>238</v>
      </c>
      <c r="E57" s="10" t="s">
        <v>239</v>
      </c>
      <c r="F57" s="19" t="s">
        <v>240</v>
      </c>
      <c r="G57" s="10" t="s">
        <v>241</v>
      </c>
      <c r="H57" s="13">
        <v>1120</v>
      </c>
      <c r="I57">
        <f>'详细数据'!AC81+'详细数据'!AC91+'详细数据'!AC110</f>
      </c>
      <c r="J57" s="13">
        <v>131931</v>
      </c>
      <c r="K57">
        <f>'详细数据'!J81+'详细数据'!J91+'详细数据'!J110</f>
      </c>
      <c r="L57" s="24">
        <f t="shared" si="8"/>
      </c>
      <c r="M57" s="16" t="s">
        <v>64</v>
      </c>
      <c r="N57" s="16" t="s">
        <v>242</v>
      </c>
      <c r="P57" s="13">
        <v>131931</v>
      </c>
      <c r="Q57">
        <f t="shared" si="4"/>
      </c>
    </row>
    <row r="58">
      <c r="A58" s="22">
        <v>46102</v>
      </c>
      <c r="B58" s="9">
        <f t="shared" si="0"/>
      </c>
      <c r="C58" t="s">
        <v>20</v>
      </c>
      <c r="D58" s="10" t="s">
        <v>243</v>
      </c>
      <c r="E58" s="10" t="s">
        <v>244</v>
      </c>
      <c r="F58" s="21" t="s">
        <v>245</v>
      </c>
      <c r="G58" s="10" t="s">
        <v>246</v>
      </c>
      <c r="H58" s="13">
        <v>688</v>
      </c>
      <c r="I58">
        <f>'详细数据'!AC85</f>
      </c>
      <c r="J58" s="13">
        <v>2295</v>
      </c>
      <c r="K58">
        <f>'详细数据'!J85</f>
      </c>
      <c r="L58" s="18">
        <f t="shared" si="8"/>
      </c>
      <c r="M58" s="16" t="s">
        <v>41</v>
      </c>
      <c r="N58" s="16" t="s">
        <v>247</v>
      </c>
      <c r="P58" s="13">
        <v>2295</v>
      </c>
      <c r="Q58">
        <f t="shared" si="4"/>
      </c>
    </row>
    <row r="59">
      <c r="A59" s="22">
        <v>46102</v>
      </c>
      <c r="B59" s="9">
        <f t="shared" si="0"/>
      </c>
      <c r="C59" t="s">
        <v>20</v>
      </c>
      <c r="D59" s="10" t="s">
        <v>248</v>
      </c>
      <c r="E59" s="11" t="s">
        <v>249</v>
      </c>
      <c r="F59" s="21" t="s">
        <v>250</v>
      </c>
      <c r="G59" s="10" t="s">
        <v>251</v>
      </c>
      <c r="H59" s="13">
        <v>160</v>
      </c>
      <c r="I59">
        <f>'详细数据'!AC89</f>
      </c>
      <c r="J59" s="13">
        <v>1359</v>
      </c>
      <c r="K59">
        <f>'详细数据'!J89</f>
      </c>
      <c r="L59" s="18">
        <f t="shared" si="8"/>
      </c>
      <c r="M59" s="16" t="s">
        <v>46</v>
      </c>
      <c r="N59" s="16" t="s">
        <v>252</v>
      </c>
      <c r="P59" s="13">
        <v>1359</v>
      </c>
      <c r="Q59">
        <f t="shared" si="4"/>
      </c>
    </row>
    <row r="60">
      <c r="A60" s="22">
        <v>46101</v>
      </c>
      <c r="B60" s="9">
        <f t="shared" si="0"/>
      </c>
      <c r="C60" t="s">
        <v>20</v>
      </c>
      <c r="D60" s="10" t="s">
        <v>253</v>
      </c>
      <c r="E60" s="10" t="s">
        <v>254</v>
      </c>
      <c r="F60" s="19" t="s">
        <v>255</v>
      </c>
      <c r="G60" s="10" t="s">
        <v>256</v>
      </c>
      <c r="H60" s="13">
        <v>304</v>
      </c>
      <c r="I60">
        <f>'详细数据'!AC88+'详细数据'!AC90+'详细数据'!AC109</f>
      </c>
      <c r="J60" s="13">
        <v>87499</v>
      </c>
      <c r="K60">
        <f>'详细数据'!J88+'详细数据'!J90+'详细数据'!J109</f>
      </c>
      <c r="L60" s="24">
        <f t="shared" si="8"/>
      </c>
      <c r="M60" s="16" t="s">
        <v>46</v>
      </c>
      <c r="N60" s="16" t="s">
        <v>70</v>
      </c>
      <c r="P60" s="13">
        <v>87499</v>
      </c>
      <c r="Q60">
        <f t="shared" si="4"/>
      </c>
    </row>
    <row r="61">
      <c r="A61" s="22">
        <v>46104</v>
      </c>
      <c r="B61" s="9">
        <f t="shared" si="0"/>
      </c>
      <c r="C61" t="s">
        <v>20</v>
      </c>
      <c r="D61" s="10" t="s">
        <v>257</v>
      </c>
      <c r="E61" s="10" t="s">
        <v>258</v>
      </c>
      <c r="F61" s="21" t="s">
        <v>259</v>
      </c>
      <c r="G61" s="10" t="s">
        <v>260</v>
      </c>
      <c r="H61" s="13">
        <v>13</v>
      </c>
      <c r="I61">
        <f>'详细数据'!AC87</f>
      </c>
      <c r="J61" s="13">
        <v>616</v>
      </c>
      <c r="K61">
        <f>'详细数据'!J87</f>
      </c>
      <c r="L61" s="18">
        <f t="shared" si="8"/>
      </c>
      <c r="M61" s="16" t="s">
        <v>25</v>
      </c>
      <c r="N61" s="16" t="s">
        <v>37</v>
      </c>
      <c r="P61" s="13">
        <v>616</v>
      </c>
      <c r="Q61">
        <f t="shared" si="4"/>
      </c>
    </row>
    <row r="62">
      <c r="A62" s="22">
        <v>46104</v>
      </c>
      <c r="B62" s="9">
        <f t="shared" si="0"/>
      </c>
      <c r="C62" t="s">
        <v>20</v>
      </c>
      <c r="D62" t="s">
        <v>261</v>
      </c>
      <c r="E62" s="10" t="s">
        <v>262</v>
      </c>
      <c r="F62" s="19" t="s">
        <v>263</v>
      </c>
      <c r="G62" s="10" t="s">
        <v>264</v>
      </c>
      <c r="H62" s="13">
        <v>2250</v>
      </c>
      <c r="I62">
        <f>'详细数据'!AC94+'详细数据'!AC108</f>
      </c>
      <c r="J62" s="13">
        <v>14833</v>
      </c>
      <c r="K62">
        <f>'详细数据'!J94+'详细数据'!J108</f>
      </c>
      <c r="L62" s="18">
        <f t="shared" si="8"/>
      </c>
      <c r="M62" s="16" t="s">
        <v>64</v>
      </c>
      <c r="N62" s="16" t="s">
        <v>265</v>
      </c>
      <c r="P62" s="13">
        <v>14833</v>
      </c>
      <c r="Q62">
        <f t="shared" si="4"/>
      </c>
    </row>
    <row r="63">
      <c r="A63" s="22">
        <v>46103</v>
      </c>
      <c r="B63" s="9">
        <f t="shared" si="0"/>
      </c>
      <c r="C63" t="s">
        <v>80</v>
      </c>
      <c r="D63" s="11" t="s">
        <v>266</v>
      </c>
      <c r="E63" s="10" t="s">
        <v>267</v>
      </c>
      <c r="G63" s="10" t="s">
        <v>268</v>
      </c>
      <c r="H63" s="13">
        <v>81</v>
      </c>
      <c r="L63" s="15"/>
    </row>
    <row r="64">
      <c r="A64" s="22">
        <v>46104</v>
      </c>
      <c r="B64" s="9">
        <f t="shared" si="0"/>
      </c>
      <c r="C64" t="s">
        <v>80</v>
      </c>
      <c r="D64" s="10" t="s">
        <v>269</v>
      </c>
      <c r="E64" s="10" t="s">
        <v>270</v>
      </c>
      <c r="G64" s="10" t="s">
        <v>271</v>
      </c>
      <c r="H64" s="13">
        <v>121879</v>
      </c>
      <c r="L64" s="15"/>
    </row>
    <row r="65">
      <c r="A65" s="22">
        <v>46103</v>
      </c>
      <c r="B65" s="9">
        <f t="shared" si="0"/>
      </c>
      <c r="C65" t="s">
        <v>20</v>
      </c>
      <c r="D65" s="11" t="s">
        <v>272</v>
      </c>
      <c r="E65" s="10" t="s">
        <v>273</v>
      </c>
      <c r="F65" s="21" t="s">
        <v>274</v>
      </c>
      <c r="G65" s="10" t="s">
        <v>275</v>
      </c>
      <c r="H65" s="13">
        <v>83</v>
      </c>
      <c r="I65">
        <f>'详细数据'!AC92</f>
      </c>
      <c r="J65" s="13">
        <v>1922</v>
      </c>
      <c r="K65">
        <f>'详细数据'!J92</f>
      </c>
      <c r="L65" s="18">
        <f t="shared" ref="L65:L88" si="9">K65/J65</f>
      </c>
      <c r="M65" s="16" t="s">
        <v>25</v>
      </c>
      <c r="N65" s="16" t="s">
        <v>37</v>
      </c>
      <c r="P65" s="13">
        <v>1922</v>
      </c>
      <c r="Q65">
        <f t="shared" ref="Q65:Q88" si="5">IF(J65="","",IF(J65&gt;=500000,"S 级",IF(J65&gt;=100000,"A 级",IF(J65&gt;=50000,"B 级","C 级"))))</f>
      </c>
    </row>
    <row r="66">
      <c r="A66" s="22">
        <v>46104</v>
      </c>
      <c r="B66" s="9">
        <f t="shared" si="0"/>
      </c>
      <c r="C66" t="s">
        <v>20</v>
      </c>
      <c r="D66" s="10" t="s">
        <v>276</v>
      </c>
      <c r="E66" s="10" t="s">
        <v>277</v>
      </c>
      <c r="F66" s="21" t="s">
        <v>278</v>
      </c>
      <c r="G66" s="10" t="s">
        <v>279</v>
      </c>
      <c r="H66" s="13">
        <v>105</v>
      </c>
      <c r="I66">
        <f>'详细数据'!AC100</f>
      </c>
      <c r="J66" s="13">
        <v>2707</v>
      </c>
      <c r="K66">
        <f>'详细数据'!J100</f>
      </c>
      <c r="L66" s="18">
        <f t="shared" si="9"/>
      </c>
      <c r="M66" s="16" t="s">
        <v>64</v>
      </c>
      <c r="N66" s="16" t="s">
        <v>79</v>
      </c>
      <c r="P66" s="13">
        <v>2707</v>
      </c>
      <c r="Q66">
        <f t="shared" si="5"/>
      </c>
    </row>
    <row r="67">
      <c r="A67" s="22">
        <v>46105</v>
      </c>
      <c r="B67" s="9">
        <f t="shared" si="0"/>
      </c>
      <c r="C67" t="s">
        <v>20</v>
      </c>
      <c r="D67" s="10" t="s">
        <v>280</v>
      </c>
      <c r="E67" s="10" t="s">
        <v>281</v>
      </c>
      <c r="F67" s="21" t="s">
        <v>278</v>
      </c>
      <c r="G67" s="10" t="s">
        <v>282</v>
      </c>
      <c r="H67" s="13">
        <v>167</v>
      </c>
      <c r="I67">
        <f>'详细数据'!AC99</f>
      </c>
      <c r="J67" s="13">
        <v>672</v>
      </c>
      <c r="K67">
        <f>'详细数据'!J99</f>
      </c>
      <c r="L67" s="18">
        <f t="shared" si="9"/>
      </c>
      <c r="M67" s="16" t="s">
        <v>46</v>
      </c>
      <c r="N67" s="16" t="s">
        <v>51</v>
      </c>
      <c r="P67" s="13">
        <v>672</v>
      </c>
      <c r="Q67">
        <f t="shared" si="5"/>
      </c>
    </row>
    <row r="68">
      <c r="A68" s="22">
        <v>46105</v>
      </c>
      <c r="B68" s="9">
        <f t="shared" si="0"/>
      </c>
      <c r="C68" t="s">
        <v>20</v>
      </c>
      <c r="D68" s="11" t="s">
        <v>283</v>
      </c>
      <c r="E68" s="10" t="s">
        <v>284</v>
      </c>
      <c r="F68" s="21" t="s">
        <v>278</v>
      </c>
      <c r="G68" s="10" t="s">
        <v>285</v>
      </c>
      <c r="H68" s="13">
        <v>126</v>
      </c>
      <c r="I68">
        <f>'详细数据'!AC98</f>
      </c>
      <c r="J68" s="13">
        <v>4645</v>
      </c>
      <c r="K68">
        <f>'详细数据'!J98</f>
      </c>
      <c r="L68" s="25">
        <f t="shared" si="9"/>
      </c>
      <c r="M68" s="16" t="s">
        <v>46</v>
      </c>
      <c r="N68" s="16" t="s">
        <v>70</v>
      </c>
      <c r="P68" s="13">
        <v>4645</v>
      </c>
      <c r="Q68">
        <f t="shared" si="5"/>
      </c>
    </row>
    <row r="69">
      <c r="A69" s="22">
        <v>46105</v>
      </c>
      <c r="B69" s="9">
        <f t="shared" si="0"/>
      </c>
      <c r="C69" t="s">
        <v>20</v>
      </c>
      <c r="D69" s="10" t="s">
        <v>286</v>
      </c>
      <c r="E69" s="10" t="s">
        <v>287</v>
      </c>
      <c r="F69" s="21" t="s">
        <v>278</v>
      </c>
      <c r="G69" s="10" t="s">
        <v>288</v>
      </c>
      <c r="H69" s="13">
        <v>405</v>
      </c>
      <c r="I69">
        <f>'详细数据'!AC97</f>
      </c>
      <c r="J69" s="13">
        <v>7349</v>
      </c>
      <c r="K69">
        <f>'详细数据'!J97</f>
      </c>
      <c r="L69" s="25">
        <f t="shared" si="9"/>
      </c>
      <c r="M69" s="16" t="s">
        <v>46</v>
      </c>
      <c r="N69" s="16" t="s">
        <v>289</v>
      </c>
      <c r="P69" s="13">
        <v>7349</v>
      </c>
      <c r="Q69">
        <f t="shared" si="5"/>
      </c>
    </row>
    <row r="70">
      <c r="A70" s="22">
        <v>46105</v>
      </c>
      <c r="B70" s="9">
        <f t="shared" si="0"/>
      </c>
      <c r="C70" t="s">
        <v>20</v>
      </c>
      <c r="D70" s="10" t="s">
        <v>290</v>
      </c>
      <c r="E70" s="10" t="s">
        <v>291</v>
      </c>
      <c r="F70" s="19" t="s">
        <v>292</v>
      </c>
      <c r="G70" s="10" t="s">
        <v>293</v>
      </c>
      <c r="H70" s="13">
        <v>1635</v>
      </c>
      <c r="I70">
        <f>'详细数据'!AC96+'详细数据'!AC107</f>
      </c>
      <c r="J70" s="13">
        <v>31542</v>
      </c>
      <c r="K70">
        <f>'详细数据'!J96+'详细数据'!J107</f>
      </c>
      <c r="L70" s="25">
        <f t="shared" si="9"/>
      </c>
      <c r="M70" s="16" t="s">
        <v>46</v>
      </c>
      <c r="N70" s="16" t="s">
        <v>70</v>
      </c>
      <c r="P70" s="13">
        <v>31542</v>
      </c>
      <c r="Q70">
        <f t="shared" si="5"/>
      </c>
    </row>
    <row r="71">
      <c r="A71" s="22">
        <v>46105</v>
      </c>
      <c r="B71" s="9">
        <f t="shared" si="0"/>
      </c>
      <c r="C71" t="s">
        <v>20</v>
      </c>
      <c r="D71" s="10" t="s">
        <v>294</v>
      </c>
      <c r="E71" s="10" t="s">
        <v>295</v>
      </c>
      <c r="F71" s="19" t="s">
        <v>296</v>
      </c>
      <c r="G71" s="10" t="s">
        <v>297</v>
      </c>
      <c r="H71" s="13">
        <v>1039</v>
      </c>
      <c r="I71">
        <f>'详细数据'!AC95+'详细数据'!AC106</f>
      </c>
      <c r="J71" s="13">
        <v>70124</v>
      </c>
      <c r="K71">
        <f>'详细数据'!J95+'详细数据'!J106</f>
      </c>
      <c r="L71" s="25">
        <f t="shared" si="9"/>
      </c>
      <c r="M71" s="16" t="s">
        <v>46</v>
      </c>
      <c r="N71" s="16" t="s">
        <v>56</v>
      </c>
      <c r="P71" s="13">
        <v>70124</v>
      </c>
      <c r="Q71">
        <f t="shared" si="5"/>
      </c>
    </row>
    <row r="72">
      <c r="A72" s="22">
        <v>46106</v>
      </c>
      <c r="B72" s="9">
        <f t="shared" si="0"/>
      </c>
      <c r="C72" t="s">
        <v>20</v>
      </c>
      <c r="D72" s="10" t="s">
        <v>298</v>
      </c>
      <c r="E72" s="10" t="s">
        <v>299</v>
      </c>
      <c r="F72" s="13" t="s">
        <v>300</v>
      </c>
      <c r="G72" s="10" t="s">
        <v>301</v>
      </c>
      <c r="H72" s="13">
        <v>137</v>
      </c>
      <c r="I72">
        <f>'详细数据'!AC105</f>
      </c>
      <c r="J72" s="13">
        <v>3091</v>
      </c>
      <c r="K72">
        <f>'详细数据'!J105</f>
      </c>
      <c r="L72" s="25">
        <f t="shared" si="9"/>
      </c>
      <c r="M72" s="16" t="s">
        <v>41</v>
      </c>
      <c r="N72" s="16" t="s">
        <v>87</v>
      </c>
      <c r="P72" s="13">
        <v>3091</v>
      </c>
      <c r="Q72">
        <f t="shared" si="5"/>
      </c>
    </row>
    <row r="73">
      <c r="A73" s="22">
        <v>46106</v>
      </c>
      <c r="B73" s="9">
        <f t="shared" si="0"/>
      </c>
      <c r="C73" t="s">
        <v>20</v>
      </c>
      <c r="D73" t="s">
        <v>302</v>
      </c>
      <c r="E73" s="10" t="s">
        <v>303</v>
      </c>
      <c r="F73" s="13" t="s">
        <v>300</v>
      </c>
      <c r="G73" s="10" t="s">
        <v>304</v>
      </c>
      <c r="H73" s="13">
        <v>516</v>
      </c>
      <c r="I73">
        <f>'详细数据'!AC104</f>
      </c>
      <c r="J73" s="13">
        <v>7509</v>
      </c>
      <c r="K73">
        <f>'详细数据'!J104</f>
      </c>
      <c r="L73" s="25">
        <f t="shared" si="9"/>
      </c>
      <c r="M73" s="16" t="s">
        <v>25</v>
      </c>
      <c r="N73" s="16" t="s">
        <v>60</v>
      </c>
      <c r="P73" s="13">
        <v>7509</v>
      </c>
      <c r="Q73">
        <f t="shared" si="5"/>
      </c>
    </row>
    <row r="74">
      <c r="A74" s="22">
        <v>46106</v>
      </c>
      <c r="B74" s="9">
        <f t="shared" si="0"/>
      </c>
      <c r="C74" t="s">
        <v>20</v>
      </c>
      <c r="D74" s="10" t="s">
        <v>305</v>
      </c>
      <c r="E74" s="10" t="s">
        <v>306</v>
      </c>
      <c r="F74" s="13" t="s">
        <v>300</v>
      </c>
      <c r="G74" s="10" t="s">
        <v>307</v>
      </c>
      <c r="H74" s="13">
        <v>368</v>
      </c>
      <c r="I74">
        <f>'详细数据'!AC103</f>
      </c>
      <c r="J74" s="13">
        <v>1098</v>
      </c>
      <c r="K74">
        <f>'详细数据'!J103</f>
      </c>
      <c r="L74" s="18">
        <f t="shared" si="9"/>
      </c>
      <c r="M74" s="16" t="s">
        <v>64</v>
      </c>
      <c r="N74" s="16" t="s">
        <v>204</v>
      </c>
      <c r="P74" s="13">
        <v>1098</v>
      </c>
      <c r="Q74">
        <f t="shared" si="5"/>
      </c>
    </row>
    <row r="75">
      <c r="A75" s="22">
        <v>46107</v>
      </c>
      <c r="B75" s="9">
        <f t="shared" si="0"/>
      </c>
      <c r="C75" t="s">
        <v>20</v>
      </c>
      <c r="D75" s="11" t="s">
        <v>308</v>
      </c>
      <c r="E75" s="10" t="s">
        <v>309</v>
      </c>
      <c r="F75" s="12" t="s">
        <v>310</v>
      </c>
      <c r="G75" s="10" t="s">
        <v>311</v>
      </c>
      <c r="H75" s="13">
        <v>546</v>
      </c>
      <c r="I75">
        <f>'详细数据'!AC102+'详细数据'!AC117+'详细数据'!AC122+'详细数据'!AC129</f>
      </c>
      <c r="J75" s="13">
        <v>789775</v>
      </c>
      <c r="K75">
        <f>'详细数据'!J102+'详细数据'!J117+'详细数据'!J122+'详细数据'!J129</f>
      </c>
      <c r="L75" s="24">
        <f t="shared" si="9"/>
      </c>
      <c r="M75" s="16" t="s">
        <v>46</v>
      </c>
      <c r="N75" s="16" t="s">
        <v>252</v>
      </c>
      <c r="P75" s="26">
        <v>1355985</v>
      </c>
      <c r="Q75">
        <f t="shared" si="5"/>
      </c>
    </row>
    <row r="76">
      <c r="A76" s="22">
        <v>46107</v>
      </c>
      <c r="B76" s="9">
        <f t="shared" si="0"/>
      </c>
      <c r="C76" t="s">
        <v>20</v>
      </c>
      <c r="D76" s="10" t="s">
        <v>312</v>
      </c>
      <c r="E76" s="10" t="s">
        <v>313</v>
      </c>
      <c r="F76" s="13" t="s">
        <v>300</v>
      </c>
      <c r="G76" s="10" t="s">
        <v>314</v>
      </c>
      <c r="H76" s="13">
        <v>131</v>
      </c>
      <c r="I76">
        <f>'详细数据'!AC101</f>
      </c>
      <c r="J76" s="13">
        <v>611</v>
      </c>
      <c r="K76">
        <f>'详细数据'!J101</f>
      </c>
      <c r="L76" s="18">
        <f t="shared" si="9"/>
      </c>
      <c r="M76" s="16" t="s">
        <v>25</v>
      </c>
      <c r="N76" s="16" t="s">
        <v>37</v>
      </c>
      <c r="P76" s="27">
        <v>656</v>
      </c>
      <c r="Q76">
        <f t="shared" si="5"/>
      </c>
    </row>
    <row r="77">
      <c r="A77" s="22">
        <v>46109</v>
      </c>
      <c r="B77" s="20">
        <f t="shared" si="0"/>
      </c>
      <c r="C77" t="s">
        <v>20</v>
      </c>
      <c r="D77" s="10" t="s">
        <v>315</v>
      </c>
      <c r="E77" s="10" t="s">
        <v>316</v>
      </c>
      <c r="F77" s="13" t="s">
        <v>317</v>
      </c>
      <c r="G77" s="10" t="s">
        <v>318</v>
      </c>
      <c r="H77" s="13">
        <v>610</v>
      </c>
      <c r="I77">
        <f>'详细数据'!AC113</f>
      </c>
      <c r="J77" s="13">
        <v>2383</v>
      </c>
      <c r="K77">
        <f>'详细数据'!J113</f>
      </c>
      <c r="L77" s="25">
        <f t="shared" si="9"/>
      </c>
      <c r="M77" s="16" t="s">
        <v>64</v>
      </c>
      <c r="N77" s="16" t="s">
        <v>79</v>
      </c>
      <c r="P77" s="26">
        <v>2540</v>
      </c>
      <c r="Q77">
        <f t="shared" si="5"/>
      </c>
    </row>
    <row r="78">
      <c r="A78" s="22">
        <v>46108</v>
      </c>
      <c r="B78" s="20">
        <f t="shared" si="0"/>
      </c>
      <c r="C78" t="s">
        <v>20</v>
      </c>
      <c r="D78" s="10" t="s">
        <v>319</v>
      </c>
      <c r="E78" s="10" t="s">
        <v>320</v>
      </c>
      <c r="F78" s="12" t="s">
        <v>321</v>
      </c>
      <c r="G78" s="10" t="s">
        <v>322</v>
      </c>
      <c r="H78" s="13">
        <v>1062</v>
      </c>
      <c r="I78">
        <f>'详细数据'!AC114+'详细数据'!AC123</f>
      </c>
      <c r="J78" s="13">
        <v>27238</v>
      </c>
      <c r="K78">
        <f>'详细数据'!J114+'详细数据'!J123</f>
      </c>
      <c r="L78" s="25">
        <f t="shared" si="9"/>
      </c>
      <c r="M78" s="16" t="s">
        <v>46</v>
      </c>
      <c r="N78" s="16" t="s">
        <v>51</v>
      </c>
      <c r="O78" s="13"/>
      <c r="P78" s="26">
        <v>30202</v>
      </c>
      <c r="Q78">
        <f t="shared" si="5"/>
      </c>
    </row>
    <row r="79">
      <c r="A79" s="22">
        <v>46108</v>
      </c>
      <c r="B79" s="20">
        <f t="shared" si="0"/>
      </c>
      <c r="C79" t="s">
        <v>20</v>
      </c>
      <c r="D79" s="10" t="s">
        <v>323</v>
      </c>
      <c r="E79" s="10" t="s">
        <v>324</v>
      </c>
      <c r="F79" s="12" t="s">
        <v>325</v>
      </c>
      <c r="G79" s="10" t="s">
        <v>326</v>
      </c>
      <c r="H79" s="13">
        <v>4966</v>
      </c>
      <c r="I79">
        <f>'详细数据'!AC112+'详细数据'!AC121+'详细数据'!AC128+'详细数据'!AB130</f>
      </c>
      <c r="J79" s="13">
        <v>377923</v>
      </c>
      <c r="K79">
        <f>'详细数据'!J112+'详细数据'!J121+'详细数据'!J128+'详细数据'!I130</f>
      </c>
      <c r="L79" s="24">
        <f t="shared" si="9"/>
      </c>
      <c r="M79" s="16" t="s">
        <v>25</v>
      </c>
      <c r="N79" s="16" t="s">
        <v>327</v>
      </c>
      <c r="O79" s="13">
        <v>10000</v>
      </c>
      <c r="P79" s="26">
        <v>461464</v>
      </c>
      <c r="Q79">
        <f t="shared" si="5"/>
      </c>
    </row>
    <row r="80">
      <c r="A80" s="28">
        <v>46108</v>
      </c>
      <c r="B80" s="20">
        <f t="shared" si="0"/>
      </c>
      <c r="C80" t="s">
        <v>20</v>
      </c>
      <c r="D80" t="s">
        <v>328</v>
      </c>
      <c r="E80" s="10" t="s">
        <v>329</v>
      </c>
      <c r="F80" s="12" t="s">
        <v>321</v>
      </c>
      <c r="G80" s="10" t="s">
        <v>330</v>
      </c>
      <c r="H80" s="13">
        <v>2975</v>
      </c>
      <c r="I80">
        <f>'详细数据'!AC111+'详细数据'!AC120</f>
      </c>
      <c r="J80" s="13">
        <v>15820</v>
      </c>
      <c r="K80">
        <f>'详细数据'!J111+'详细数据'!J120</f>
      </c>
      <c r="L80" s="25">
        <f t="shared" si="9"/>
      </c>
      <c r="M80" s="16" t="s">
        <v>64</v>
      </c>
      <c r="N80" s="16" t="s">
        <v>65</v>
      </c>
      <c r="O80" s="13"/>
      <c r="P80" s="26">
        <v>17200</v>
      </c>
      <c r="Q80">
        <f t="shared" si="5"/>
      </c>
    </row>
    <row r="81">
      <c r="A81" s="22">
        <v>46110</v>
      </c>
      <c r="B81" s="20">
        <f t="shared" si="0"/>
      </c>
      <c r="C81" t="s">
        <v>20</v>
      </c>
      <c r="D81" s="10" t="s">
        <v>331</v>
      </c>
      <c r="E81" s="10" t="s">
        <v>332</v>
      </c>
      <c r="F81" s="13" t="s">
        <v>317</v>
      </c>
      <c r="G81" s="10" t="s">
        <v>333</v>
      </c>
      <c r="H81" s="13">
        <v>34</v>
      </c>
      <c r="I81">
        <f>'详细数据'!AC115</f>
      </c>
      <c r="J81" s="13">
        <v>1843</v>
      </c>
      <c r="K81">
        <f>'详细数据'!J115</f>
      </c>
      <c r="L81" s="25">
        <f t="shared" si="9"/>
      </c>
      <c r="M81" s="16" t="s">
        <v>64</v>
      </c>
      <c r="N81" s="16" t="s">
        <v>65</v>
      </c>
      <c r="P81" s="26">
        <v>1854</v>
      </c>
      <c r="Q81">
        <f t="shared" si="5"/>
      </c>
    </row>
    <row r="82">
      <c r="A82" s="22">
        <v>46110</v>
      </c>
      <c r="B82" s="20">
        <f t="shared" si="0"/>
      </c>
      <c r="C82" t="s">
        <v>20</v>
      </c>
      <c r="D82" s="10" t="s">
        <v>334</v>
      </c>
      <c r="E82" s="10" t="s">
        <v>335</v>
      </c>
      <c r="F82" s="13" t="s">
        <v>317</v>
      </c>
      <c r="G82" s="10" t="s">
        <v>336</v>
      </c>
      <c r="H82" s="13">
        <v>88</v>
      </c>
      <c r="I82">
        <f>'详细数据'!AC116</f>
      </c>
      <c r="J82" s="13">
        <v>288</v>
      </c>
      <c r="K82">
        <f>'详细数据'!J116</f>
      </c>
      <c r="L82" s="25">
        <f t="shared" si="9"/>
      </c>
      <c r="M82" s="16" t="s">
        <v>64</v>
      </c>
      <c r="N82" s="16" t="s">
        <v>337</v>
      </c>
      <c r="P82" s="27">
        <v>310</v>
      </c>
      <c r="Q82">
        <f t="shared" si="5"/>
      </c>
    </row>
    <row r="83">
      <c r="A83" s="22">
        <v>46111</v>
      </c>
      <c r="B83" s="20">
        <f t="shared" si="0"/>
      </c>
      <c r="C83" t="s">
        <v>20</v>
      </c>
      <c r="D83" t="s">
        <v>338</v>
      </c>
      <c r="E83" s="10" t="s">
        <v>339</v>
      </c>
      <c r="F83" s="13" t="s">
        <v>340</v>
      </c>
      <c r="G83" s="10" t="s">
        <v>341</v>
      </c>
      <c r="H83" s="13">
        <v>187</v>
      </c>
      <c r="I83">
        <f>'详细数据'!AC119</f>
      </c>
      <c r="J83" s="13">
        <v>566</v>
      </c>
      <c r="K83">
        <f>'详细数据'!J119</f>
      </c>
      <c r="L83" s="25">
        <f t="shared" si="9"/>
      </c>
      <c r="M83" s="16" t="s">
        <v>46</v>
      </c>
      <c r="N83" s="16" t="s">
        <v>154</v>
      </c>
      <c r="P83" s="27">
        <v>609</v>
      </c>
      <c r="Q83">
        <f t="shared" si="5"/>
      </c>
    </row>
    <row customHeight="true" ht="47" r="84">
      <c r="A84" s="22">
        <v>46111</v>
      </c>
      <c r="B84" s="20">
        <f t="shared" si="0"/>
      </c>
      <c r="C84" t="s">
        <v>20</v>
      </c>
      <c r="D84" s="10" t="s">
        <v>342</v>
      </c>
      <c r="E84" s="10" t="s">
        <v>343</v>
      </c>
      <c r="F84" s="12" t="s">
        <v>344</v>
      </c>
      <c r="G84" s="10" t="s">
        <v>345</v>
      </c>
      <c r="H84" s="13">
        <v>264</v>
      </c>
      <c r="I84">
        <f>'详细数据'!AC118+'详细数据'!AB127+'详细数据'!AC131</f>
      </c>
      <c r="J84" s="13">
        <v>121178</v>
      </c>
      <c r="K84">
        <f>'详细数据'!J118+'详细数据'!I127+'详细数据'!J131</f>
      </c>
      <c r="L84" s="24">
        <f t="shared" si="9"/>
      </c>
      <c r="M84" s="16" t="s">
        <v>46</v>
      </c>
      <c r="N84" s="16" t="s">
        <v>252</v>
      </c>
      <c r="O84" s="13">
        <v>5000</v>
      </c>
      <c r="P84" s="26">
        <v>121317</v>
      </c>
      <c r="Q84">
        <f t="shared" si="5"/>
      </c>
    </row>
    <row r="85">
      <c r="A85" s="22">
        <v>46111</v>
      </c>
      <c r="B85" s="20">
        <f t="shared" si="0"/>
      </c>
      <c r="C85" t="s">
        <v>20</v>
      </c>
      <c r="D85" s="10" t="s">
        <v>346</v>
      </c>
      <c r="E85" s="10" t="s">
        <v>347</v>
      </c>
      <c r="F85" s="21" t="s">
        <v>348</v>
      </c>
      <c r="G85" s="10" t="s">
        <v>349</v>
      </c>
      <c r="H85" s="13">
        <v>156</v>
      </c>
      <c r="I85">
        <f>'详细数据'!AC126</f>
      </c>
      <c r="J85" s="13">
        <v>2790</v>
      </c>
      <c r="K85">
        <f>'详细数据'!J126</f>
      </c>
      <c r="L85" s="25">
        <f t="shared" si="9"/>
      </c>
      <c r="M85" s="16" t="s">
        <v>25</v>
      </c>
      <c r="N85" s="16" t="s">
        <v>26</v>
      </c>
      <c r="P85" s="26">
        <v>2908</v>
      </c>
      <c r="Q85">
        <f t="shared" si="5"/>
      </c>
    </row>
    <row r="86">
      <c r="A86" s="22">
        <v>46112</v>
      </c>
      <c r="B86" s="20">
        <f t="shared" si="0"/>
      </c>
      <c r="C86" t="s">
        <v>20</v>
      </c>
      <c r="D86" s="10" t="s">
        <v>350</v>
      </c>
      <c r="E86" s="10" t="s">
        <v>351</v>
      </c>
      <c r="F86" s="21" t="s">
        <v>348</v>
      </c>
      <c r="G86" s="10" t="s">
        <v>352</v>
      </c>
      <c r="H86" s="13">
        <v>136</v>
      </c>
      <c r="I86">
        <f>'详细数据'!AC125</f>
      </c>
      <c r="J86" s="13">
        <v>3438</v>
      </c>
      <c r="K86">
        <f>'详细数据'!J125</f>
      </c>
      <c r="L86" s="25">
        <f t="shared" si="9"/>
      </c>
      <c r="M86" s="16" t="s">
        <v>64</v>
      </c>
      <c r="N86" s="16" t="s">
        <v>337</v>
      </c>
      <c r="P86" s="26">
        <v>4163</v>
      </c>
      <c r="Q86">
        <f t="shared" si="5"/>
      </c>
    </row>
    <row r="87">
      <c r="A87" s="22">
        <v>46112</v>
      </c>
      <c r="B87" s="20">
        <f t="shared" si="0"/>
      </c>
      <c r="C87" t="s">
        <v>20</v>
      </c>
      <c r="D87" s="10" t="s">
        <v>353</v>
      </c>
      <c r="E87" s="10" t="s">
        <v>354</v>
      </c>
      <c r="F87" s="21" t="s">
        <v>348</v>
      </c>
      <c r="G87" s="10" t="s">
        <v>355</v>
      </c>
      <c r="H87" s="13">
        <v>79</v>
      </c>
      <c r="I87">
        <f>'详细数据'!AC124</f>
      </c>
      <c r="J87" s="13">
        <v>286</v>
      </c>
      <c r="K87">
        <f>'详细数据'!J124</f>
      </c>
      <c r="L87" s="25">
        <f t="shared" si="9"/>
      </c>
      <c r="M87" s="16" t="s">
        <v>46</v>
      </c>
      <c r="N87" s="16" t="s">
        <v>252</v>
      </c>
      <c r="P87" s="27">
        <v>306</v>
      </c>
      <c r="Q87">
        <f t="shared" si="5"/>
      </c>
    </row>
    <row r="88">
      <c r="A88" s="22">
        <v>46112</v>
      </c>
      <c r="B88" s="20">
        <f t="shared" si="0"/>
      </c>
      <c r="C88" t="s">
        <v>20</v>
      </c>
      <c r="D88" s="10" t="s">
        <v>356</v>
      </c>
      <c r="E88" s="10" t="s">
        <v>357</v>
      </c>
      <c r="F88" s="13" t="s">
        <v>358</v>
      </c>
      <c r="G88" s="10" t="s">
        <v>359</v>
      </c>
      <c r="H88" s="13">
        <v>75</v>
      </c>
      <c r="I88">
        <f>'详细数据'!AC133</f>
      </c>
      <c r="J88" s="13">
        <v>533</v>
      </c>
      <c r="K88">
        <f>'详细数据'!J133</f>
      </c>
      <c r="L88" s="25">
        <f t="shared" si="9"/>
      </c>
      <c r="M88" s="16" t="s">
        <v>46</v>
      </c>
      <c r="N88" s="16" t="s">
        <v>47</v>
      </c>
      <c r="P88" s="27">
        <v>535</v>
      </c>
      <c r="Q88">
        <f t="shared" si="5"/>
      </c>
    </row>
    <row r="89">
      <c r="A89" s="29"/>
      <c r="L89" s="15"/>
    </row>
    <row r="90">
      <c r="A90" s="29"/>
      <c r="D90" s="10"/>
      <c r="E90" s="10"/>
      <c r="G90" s="10"/>
      <c r="L90" s="15"/>
    </row>
    <row r="91">
      <c r="A91" s="29"/>
      <c r="D91" s="10"/>
      <c r="E91" s="10"/>
      <c r="G91" s="10"/>
      <c r="L91" s="15"/>
    </row>
    <row r="92">
      <c r="A92" s="29"/>
      <c r="D92" s="10"/>
      <c r="E92" s="10"/>
      <c r="G92" s="10"/>
      <c r="L92" s="15"/>
    </row>
    <row r="93">
      <c r="A93" s="29"/>
      <c r="D93" s="10"/>
      <c r="E93" s="10"/>
      <c r="G93" s="10"/>
      <c r="L93" s="15"/>
    </row>
    <row r="94">
      <c r="A94" s="29"/>
      <c r="D94" s="10"/>
      <c r="E94" s="10"/>
      <c r="G94" s="10"/>
      <c r="L94" s="15"/>
    </row>
    <row r="95">
      <c r="A95" s="29"/>
      <c r="D95" s="10"/>
      <c r="E95" s="10"/>
      <c r="G95" s="10"/>
      <c r="L95" s="15"/>
    </row>
    <row r="96">
      <c r="A96" s="29"/>
      <c r="D96" s="10"/>
      <c r="E96" s="10"/>
      <c r="G96" s="10"/>
      <c r="L96" s="15"/>
    </row>
    <row r="97">
      <c r="A97" s="29"/>
      <c r="D97" s="10"/>
      <c r="E97" s="10"/>
      <c r="G97" s="10"/>
      <c r="L97" s="15"/>
    </row>
    <row r="98">
      <c r="A98" s="29"/>
      <c r="D98" s="10"/>
      <c r="E98" s="10"/>
      <c r="G98" s="10"/>
      <c r="L98" s="15"/>
    </row>
    <row r="99">
      <c r="A99" s="29"/>
      <c r="D99" s="10"/>
      <c r="E99" s="10"/>
      <c r="G99" s="10"/>
      <c r="L99" s="15"/>
    </row>
    <row r="100">
      <c r="A100" s="29"/>
      <c r="D100" s="10"/>
      <c r="E100" s="10"/>
      <c r="G100" s="10"/>
      <c r="L100" s="15"/>
    </row>
    <row r="101">
      <c r="A101" s="29"/>
      <c r="D101" s="10"/>
      <c r="E101" s="10"/>
      <c r="G101" s="10"/>
      <c r="L101" s="15"/>
    </row>
    <row r="102">
      <c r="A102" s="29"/>
      <c r="D102" s="10"/>
      <c r="E102" s="10"/>
      <c r="G102" s="10"/>
      <c r="L102" s="15"/>
    </row>
    <row r="103">
      <c r="A103" s="29"/>
      <c r="D103" s="10"/>
      <c r="E103" s="10"/>
      <c r="G103" s="10"/>
      <c r="L103" s="15"/>
    </row>
    <row r="104">
      <c r="A104" s="29"/>
      <c r="D104" s="10"/>
      <c r="E104" s="10"/>
      <c r="G104" s="10"/>
      <c r="L104" s="15"/>
    </row>
    <row r="105">
      <c r="A105" s="29"/>
      <c r="D105" s="10"/>
      <c r="E105" s="10"/>
      <c r="G105" s="10"/>
      <c r="L105" s="15"/>
    </row>
    <row r="106">
      <c r="A106" s="29"/>
      <c r="D106" s="10"/>
      <c r="E106" s="10"/>
      <c r="G106" s="10"/>
      <c r="L106" s="15"/>
    </row>
    <row r="107">
      <c r="A107" s="29"/>
      <c r="D107" s="10"/>
      <c r="E107" s="10"/>
      <c r="G107" s="10"/>
      <c r="L107" s="15"/>
    </row>
    <row r="108">
      <c r="A108" s="29"/>
      <c r="D108" s="10"/>
      <c r="E108" s="10"/>
      <c r="G108" s="10"/>
      <c r="L108" s="15"/>
    </row>
    <row r="109">
      <c r="A109" s="29"/>
      <c r="D109" s="10"/>
      <c r="E109" s="10"/>
      <c r="G109" s="10"/>
      <c r="L109" s="15"/>
    </row>
    <row r="110">
      <c r="A110" s="29"/>
      <c r="D110" s="10"/>
      <c r="E110" s="10"/>
      <c r="G110" s="10"/>
      <c r="L110" s="15"/>
    </row>
    <row r="111">
      <c r="A111" s="29"/>
      <c r="D111" s="10"/>
      <c r="E111" s="10"/>
      <c r="G111" s="10"/>
      <c r="L111" s="15"/>
    </row>
    <row r="112">
      <c r="A112" s="29"/>
      <c r="D112" s="10"/>
      <c r="E112" s="10"/>
      <c r="G112" s="10"/>
      <c r="L112" s="15"/>
    </row>
    <row r="113">
      <c r="A113" s="29"/>
      <c r="D113" s="10"/>
      <c r="E113" s="10"/>
      <c r="G113" s="10"/>
      <c r="L113" s="15"/>
    </row>
    <row r="114">
      <c r="A114" s="29"/>
      <c r="D114" s="10"/>
      <c r="E114" s="10"/>
      <c r="G114" s="10"/>
      <c r="L114" s="15"/>
    </row>
    <row r="115">
      <c r="A115" s="29"/>
      <c r="D115" s="10"/>
      <c r="E115" s="10"/>
      <c r="G115" s="10"/>
      <c r="L115" s="15"/>
    </row>
    <row r="116">
      <c r="A116" s="29"/>
      <c r="D116" s="10"/>
      <c r="E116" s="10"/>
      <c r="G116" s="10"/>
      <c r="L116" s="15"/>
    </row>
    <row r="117">
      <c r="A117" s="29"/>
      <c r="D117" s="10"/>
      <c r="E117" s="10"/>
      <c r="G117" s="10"/>
      <c r="L117" s="15"/>
    </row>
    <row r="118">
      <c r="A118" s="29"/>
      <c r="D118" s="10"/>
      <c r="E118" s="10"/>
      <c r="G118" s="10"/>
      <c r="L118" s="15"/>
    </row>
    <row r="119">
      <c r="A119" s="29"/>
      <c r="D119" s="10"/>
      <c r="E119" s="10"/>
      <c r="G119" s="10"/>
      <c r="L119" s="15"/>
    </row>
    <row r="120">
      <c r="A120" s="29"/>
      <c r="D120" s="10"/>
      <c r="E120" s="10"/>
      <c r="G120" s="10"/>
      <c r="L120" s="15"/>
    </row>
    <row r="121">
      <c r="A121" s="29"/>
      <c r="D121" s="10"/>
      <c r="E121" s="10"/>
      <c r="G121" s="10"/>
      <c r="L121" s="15"/>
    </row>
    <row r="122">
      <c r="A122" s="29"/>
      <c r="D122" s="10"/>
      <c r="E122" s="10"/>
      <c r="G122" s="10"/>
      <c r="L122" s="15"/>
    </row>
    <row r="123">
      <c r="A123" s="29"/>
      <c r="D123" s="10"/>
      <c r="E123" s="10"/>
      <c r="G123" s="10"/>
      <c r="L123" s="15"/>
    </row>
    <row r="124">
      <c r="A124" s="29"/>
      <c r="D124" s="10"/>
      <c r="E124" s="10"/>
      <c r="G124" s="10"/>
      <c r="L124" s="15"/>
    </row>
    <row r="125">
      <c r="A125" s="29"/>
      <c r="D125" s="10"/>
      <c r="E125" s="10"/>
      <c r="G125" s="10"/>
      <c r="L125" s="15"/>
    </row>
    <row r="126">
      <c r="A126" s="29"/>
      <c r="D126" s="10"/>
      <c r="E126" s="10"/>
      <c r="G126" s="10"/>
      <c r="L126" s="15"/>
    </row>
    <row r="127">
      <c r="A127" s="29"/>
      <c r="D127" s="10"/>
      <c r="E127" s="10"/>
      <c r="G127" s="10"/>
      <c r="L127" s="15"/>
    </row>
    <row r="128">
      <c r="A128" s="29"/>
      <c r="D128" s="10"/>
      <c r="E128" s="10"/>
      <c r="G128" s="10"/>
      <c r="L128" s="15"/>
    </row>
    <row r="129">
      <c r="A129" s="29"/>
      <c r="D129" s="10"/>
      <c r="E129" s="10"/>
      <c r="G129" s="10"/>
      <c r="L129" s="15"/>
    </row>
    <row r="130">
      <c r="A130" s="29"/>
      <c r="D130" s="10"/>
      <c r="E130" s="10"/>
      <c r="G130" s="10"/>
      <c r="L130" s="15"/>
    </row>
    <row r="131">
      <c r="A131" s="29"/>
      <c r="D131" s="10"/>
      <c r="E131" s="10"/>
      <c r="G131" s="10"/>
      <c r="L131" s="15"/>
    </row>
    <row r="132">
      <c r="A132" s="29"/>
      <c r="D132" s="10"/>
      <c r="E132" s="10"/>
      <c r="G132" s="10"/>
      <c r="L132" s="15"/>
    </row>
    <row r="133">
      <c r="A133" s="29"/>
      <c r="D133" s="10"/>
      <c r="E133" s="10"/>
      <c r="G133" s="10"/>
      <c r="L133" s="15"/>
    </row>
    <row r="134">
      <c r="A134" s="29"/>
      <c r="D134" s="10"/>
      <c r="E134" s="10"/>
      <c r="G134" s="10"/>
      <c r="L134" s="15"/>
    </row>
    <row r="135">
      <c r="A135" s="29"/>
      <c r="D135" s="10"/>
      <c r="E135" s="10"/>
      <c r="G135" s="10"/>
      <c r="L135" s="15"/>
    </row>
    <row r="136">
      <c r="A136" s="29"/>
      <c r="D136" s="10"/>
      <c r="E136" s="10"/>
      <c r="G136" s="10"/>
      <c r="L136" s="15"/>
    </row>
    <row r="137">
      <c r="A137" s="29"/>
      <c r="D137" s="10"/>
      <c r="E137" s="10"/>
      <c r="G137" s="10"/>
      <c r="L137" s="15"/>
    </row>
    <row r="138">
      <c r="A138" s="29"/>
      <c r="D138" s="10"/>
      <c r="E138" s="10"/>
      <c r="G138" s="10"/>
      <c r="L138" s="15"/>
    </row>
    <row r="139">
      <c r="A139" s="29"/>
      <c r="D139" s="10"/>
      <c r="E139" s="10"/>
      <c r="G139" s="10"/>
      <c r="L139" s="15"/>
    </row>
    <row r="140">
      <c r="A140" s="29"/>
      <c r="D140" s="10"/>
      <c r="E140" s="10"/>
      <c r="G140" s="10"/>
      <c r="L140" s="15"/>
    </row>
    <row r="141">
      <c r="A141" s="29"/>
      <c r="D141" s="10"/>
      <c r="E141" s="10"/>
      <c r="G141" s="10"/>
      <c r="L141" s="15"/>
    </row>
    <row r="142">
      <c r="A142" s="29"/>
      <c r="D142" s="10"/>
      <c r="E142" s="10"/>
      <c r="G142" s="10"/>
      <c r="L142" s="15"/>
    </row>
    <row r="143">
      <c r="A143" s="29"/>
      <c r="D143" s="10"/>
      <c r="E143" s="10"/>
      <c r="G143" s="10"/>
      <c r="L143" s="15"/>
    </row>
    <row r="144">
      <c r="A144" s="29"/>
      <c r="D144" s="10"/>
      <c r="E144" s="10"/>
      <c r="G144" s="10"/>
      <c r="L144" s="15"/>
    </row>
    <row r="145">
      <c r="A145" s="29"/>
      <c r="D145" s="10"/>
      <c r="E145" s="10"/>
      <c r="G145" s="10"/>
      <c r="L145" s="15"/>
    </row>
    <row r="146">
      <c r="A146" s="29"/>
      <c r="D146" s="10"/>
      <c r="E146" s="10"/>
      <c r="G146" s="10"/>
      <c r="L146" s="15"/>
    </row>
    <row r="147">
      <c r="A147" s="29"/>
      <c r="D147" s="10"/>
      <c r="E147" s="10"/>
      <c r="G147" s="10"/>
      <c r="L147" s="15"/>
    </row>
    <row r="148">
      <c r="A148" s="29"/>
      <c r="D148" s="10"/>
      <c r="E148" s="10"/>
      <c r="G148" s="10"/>
      <c r="L148" s="15"/>
    </row>
    <row r="149">
      <c r="A149" s="29"/>
      <c r="D149" s="10"/>
      <c r="E149" s="10"/>
      <c r="G149" s="10"/>
      <c r="L149" s="15"/>
    </row>
    <row r="150">
      <c r="A150" s="29"/>
      <c r="D150" s="10"/>
      <c r="E150" s="10"/>
      <c r="G150" s="10"/>
      <c r="L150" s="15"/>
    </row>
    <row r="151">
      <c r="A151" s="29"/>
      <c r="D151" s="10"/>
      <c r="E151" s="10"/>
      <c r="G151" s="10"/>
      <c r="L151" s="15"/>
    </row>
    <row r="152">
      <c r="A152" s="29"/>
      <c r="D152" s="10"/>
      <c r="E152" s="10"/>
      <c r="G152" s="10"/>
      <c r="L152" s="15"/>
    </row>
    <row r="153">
      <c r="A153" s="29"/>
      <c r="D153" s="10"/>
      <c r="E153" s="10"/>
      <c r="G153" s="10"/>
      <c r="L153" s="15"/>
    </row>
    <row r="154">
      <c r="A154" s="29"/>
      <c r="D154" s="10"/>
      <c r="E154" s="10"/>
      <c r="G154" s="10"/>
      <c r="L154" s="15"/>
    </row>
    <row r="155">
      <c r="A155" s="29"/>
      <c r="D155" s="10"/>
      <c r="E155" s="10"/>
      <c r="G155" s="10"/>
      <c r="L155" s="15"/>
    </row>
    <row r="156">
      <c r="A156" s="29"/>
      <c r="D156" s="10"/>
      <c r="E156" s="10"/>
      <c r="G156" s="10"/>
      <c r="L156" s="15"/>
    </row>
    <row r="157">
      <c r="A157" s="29"/>
      <c r="D157" s="10"/>
      <c r="E157" s="10"/>
      <c r="G157" s="10"/>
      <c r="L157" s="15"/>
    </row>
    <row r="158">
      <c r="A158" s="29"/>
      <c r="D158" s="10"/>
      <c r="E158" s="10"/>
      <c r="G158" s="10"/>
      <c r="L158" s="15"/>
    </row>
    <row r="159">
      <c r="A159" s="29"/>
      <c r="D159" s="10"/>
      <c r="E159" s="10"/>
      <c r="G159" s="10"/>
      <c r="L159" s="15"/>
    </row>
    <row r="160">
      <c r="A160" s="29"/>
      <c r="D160" s="10"/>
      <c r="E160" s="10"/>
      <c r="G160" s="10"/>
      <c r="L160" s="15"/>
    </row>
    <row r="161">
      <c r="A161" s="29"/>
      <c r="D161" s="10"/>
      <c r="E161" s="10"/>
      <c r="G161" s="10"/>
      <c r="L161" s="15"/>
    </row>
    <row r="162">
      <c r="A162" s="29"/>
      <c r="D162" s="10"/>
      <c r="E162" s="10"/>
      <c r="G162" s="10"/>
      <c r="L162" s="15"/>
    </row>
    <row r="163">
      <c r="A163" s="29"/>
      <c r="D163" s="10"/>
      <c r="E163" s="10"/>
      <c r="G163" s="10"/>
      <c r="L163" s="15"/>
    </row>
    <row r="164">
      <c r="A164" s="29"/>
      <c r="D164" s="10"/>
      <c r="E164" s="10"/>
      <c r="G164" s="10"/>
      <c r="L164" s="15"/>
    </row>
    <row r="165">
      <c r="A165" s="29"/>
      <c r="D165" s="10"/>
      <c r="E165" s="10"/>
      <c r="G165" s="10"/>
      <c r="L165" s="15"/>
    </row>
    <row r="166">
      <c r="A166" s="29"/>
      <c r="D166" s="10"/>
      <c r="E166" s="10"/>
      <c r="G166" s="10"/>
      <c r="L166" s="15"/>
    </row>
    <row r="167">
      <c r="A167" s="29"/>
      <c r="D167" s="10"/>
      <c r="E167" s="10"/>
      <c r="G167" s="10"/>
      <c r="L167" s="15"/>
    </row>
    <row r="168">
      <c r="A168" s="29"/>
      <c r="D168" s="10"/>
      <c r="E168" s="10"/>
      <c r="G168" s="10"/>
      <c r="L168" s="15"/>
    </row>
    <row r="169">
      <c r="A169" s="29"/>
      <c r="D169" s="10"/>
      <c r="E169" s="10"/>
      <c r="G169" s="10"/>
      <c r="L169" s="15"/>
    </row>
    <row r="170">
      <c r="A170" s="29"/>
      <c r="D170" s="10"/>
      <c r="E170" s="10"/>
      <c r="G170" s="10"/>
      <c r="L170" s="15"/>
    </row>
    <row r="171">
      <c r="A171" s="29"/>
      <c r="D171" s="10"/>
      <c r="E171" s="10"/>
      <c r="G171" s="10"/>
      <c r="L171" s="15"/>
    </row>
    <row r="172">
      <c r="A172" s="29"/>
      <c r="D172" s="10"/>
      <c r="E172" s="10"/>
      <c r="G172" s="10"/>
      <c r="L172" s="15"/>
    </row>
    <row r="173">
      <c r="A173" s="29"/>
      <c r="D173" s="10"/>
      <c r="E173" s="10"/>
      <c r="G173" s="10"/>
      <c r="L173" s="15"/>
    </row>
    <row r="174">
      <c r="A174" s="29"/>
      <c r="D174" s="10"/>
      <c r="E174" s="10"/>
      <c r="G174" s="10"/>
      <c r="L174" s="15"/>
    </row>
    <row r="175">
      <c r="A175" s="29"/>
      <c r="D175" s="10"/>
      <c r="E175" s="10"/>
      <c r="G175" s="10"/>
      <c r="L175" s="15"/>
    </row>
    <row r="176">
      <c r="A176" s="29"/>
      <c r="D176" s="10"/>
      <c r="E176" s="10"/>
      <c r="G176" s="10"/>
      <c r="L176" s="15"/>
    </row>
    <row r="177">
      <c r="A177" s="29"/>
      <c r="D177" s="10"/>
      <c r="E177" s="10"/>
      <c r="G177" s="10"/>
      <c r="L177" s="15"/>
    </row>
    <row r="178">
      <c r="A178" s="29"/>
      <c r="D178" s="10"/>
      <c r="E178" s="10"/>
      <c r="G178" s="10"/>
      <c r="L178" s="15"/>
    </row>
    <row r="179">
      <c r="A179" s="29"/>
      <c r="D179" s="10"/>
      <c r="E179" s="10"/>
      <c r="G179" s="10"/>
      <c r="L179" s="15"/>
    </row>
    <row r="180">
      <c r="A180" s="29"/>
      <c r="D180" s="10"/>
      <c r="E180" s="10"/>
      <c r="G180" s="10"/>
      <c r="L180" s="15"/>
    </row>
    <row r="181">
      <c r="A181" s="29"/>
      <c r="D181" s="10"/>
      <c r="E181" s="10"/>
      <c r="G181" s="10"/>
      <c r="L181" s="15"/>
    </row>
    <row r="182">
      <c r="A182" s="29"/>
      <c r="D182" s="10"/>
      <c r="E182" s="10"/>
      <c r="G182" s="10"/>
      <c r="L182" s="15"/>
    </row>
    <row r="183">
      <c r="A183" s="29"/>
      <c r="D183" s="10"/>
      <c r="E183" s="10"/>
      <c r="G183" s="10"/>
      <c r="L183" s="15"/>
    </row>
    <row r="184">
      <c r="A184" s="29"/>
      <c r="D184" s="10"/>
      <c r="E184" s="10"/>
      <c r="G184" s="10"/>
      <c r="L184" s="15"/>
    </row>
    <row r="185">
      <c r="A185" s="29"/>
      <c r="D185" s="10"/>
      <c r="E185" s="10"/>
      <c r="G185" s="10"/>
      <c r="L185" s="15"/>
    </row>
    <row r="186">
      <c r="A186" s="29"/>
      <c r="D186" s="10"/>
      <c r="E186" s="10"/>
      <c r="G186" s="10"/>
      <c r="L186" s="15"/>
    </row>
    <row r="187">
      <c r="A187" s="29"/>
      <c r="D187" s="10"/>
      <c r="E187" s="10"/>
      <c r="G187" s="10"/>
      <c r="L187" s="15"/>
    </row>
    <row r="188">
      <c r="A188" s="29"/>
      <c r="D188" s="10"/>
      <c r="E188" s="10"/>
      <c r="G188" s="10"/>
      <c r="L188" s="15"/>
    </row>
    <row r="189">
      <c r="A189" s="29"/>
      <c r="D189" s="10"/>
      <c r="E189" s="10"/>
      <c r="G189" s="10"/>
      <c r="L189" s="15"/>
    </row>
    <row r="190">
      <c r="A190" s="29"/>
      <c r="D190" s="10"/>
      <c r="E190" s="10"/>
      <c r="G190" s="10"/>
      <c r="L190" s="15"/>
    </row>
    <row r="191">
      <c r="A191" s="29"/>
      <c r="D191" s="10"/>
      <c r="E191" s="10"/>
      <c r="G191" s="10"/>
      <c r="L191" s="15"/>
    </row>
    <row r="192">
      <c r="A192" s="29"/>
      <c r="D192" s="10"/>
      <c r="E192" s="10"/>
      <c r="G192" s="10"/>
      <c r="L192" s="15"/>
    </row>
    <row r="193">
      <c r="A193" s="29"/>
      <c r="D193" s="10"/>
      <c r="E193" s="10"/>
      <c r="G193" s="10"/>
      <c r="L193" s="15"/>
    </row>
    <row r="194">
      <c r="A194" s="29"/>
      <c r="D194" s="10"/>
      <c r="E194" s="10"/>
      <c r="G194" s="10"/>
      <c r="L194" s="15"/>
    </row>
    <row r="195">
      <c r="A195" s="29"/>
      <c r="D195" s="10"/>
      <c r="E195" s="10"/>
      <c r="G195" s="10"/>
      <c r="L195" s="15"/>
    </row>
    <row r="196">
      <c r="A196" s="29"/>
      <c r="D196" s="10"/>
      <c r="E196" s="10"/>
      <c r="G196" s="10"/>
      <c r="L196" s="15"/>
    </row>
    <row r="197">
      <c r="A197" s="29"/>
      <c r="D197" s="10"/>
      <c r="E197" s="10"/>
      <c r="G197" s="10"/>
      <c r="L197" s="15"/>
    </row>
  </sheetData>
  <mergeCells>
    <mergeCell ref="A2:G2"/>
  </mergeCells>
  <dataValidations count="2">
    <dataValidation allowBlank="true" errorStyle="stop" showErrorMessage="true" sqref="C3:C197" type="list">
      <formula1>"在投,停投,无法授权,拒审,待授权,投放完毕,无法投放"</formula1>
    </dataValidation>
    <dataValidation allowBlank="true" errorStyle="stop" showErrorMessage="true" sqref="M3:M21 M23:M23" type="list">
      <formula1>"产品力,场景,车内,司机,地广/活动"</formula1>
    </dataValidation>
  </dataValidations>
  <hyperlinks>
    <hyperlink ref="E11" display="https://www.douyin.com/video/7611192244423229139" r:id="rId1"/>
    <hyperlink ref="G13" display="#威海旅游" r:id="rId2"/>
    <hyperlink ref="E28" display="https://www.douyin.com/note/7615023865811614964" r:id="rId3"/>
    <hyperlink ref="E41" display="https://www.douyin.com/note/7616006793667697893" r:id="rId4"/>
    <hyperlink ref="E58" display="https://www.douyin.com/note/7619605942468253051" r:id="rId5"/>
    <hyperlink ref="E74" display="https://www.douyin.com/video/7621131594221657457" r:id="rId6"/>
    <hyperlink ref="E73" display="https://www.douyin.com/note/7621099857121775019" r:id="rId7"/>
    <hyperlink ref="E10" display="https://www.douyin.com/note/7611499522330631857" r:id="rId8"/>
    <hyperlink ref="E16" display="https://www.douyin.com/note/7613031533112581883" r:id="rId9"/>
    <hyperlink ref="E23" display="https://www.douyin.com/video/7614841048691419327" r:id="rId10"/>
    <hyperlink ref="E36" display="https://www.douyin.com/note/7616010066626177211" r:id="rId11"/>
    <hyperlink ref="E52" display="https://www.douyin.com/note/7619093952427614843" r:id="rId12"/>
    <hyperlink ref="E57" display="https://www.douyin.com/note/7619636679322387057" r:id="rId13"/>
    <hyperlink ref="G12" display="#滴滴" r:id="rId14"/>
    <hyperlink ref="E22" display="https://www.douyin.com/video/7613759148690695077" r:id="rId15"/>
    <hyperlink ref="E35" display="https://www.douyin.com/note/7615669310942601338" r:id="rId16"/>
    <hyperlink ref="E51" display="https://www.douyin.com/video/7618525485648050938" r:id="rId17"/>
    <hyperlink ref="E68" display="https://www.douyin.com/video/7620759348268759141" r:id="rId18"/>
    <hyperlink ref="E84" display="https://www.douyin.com/note/7623066471988239337" r:id="rId19"/>
    <hyperlink ref="E12" display="https://www.douyin.com/video/7611742459936919402" r:id="rId20"/>
    <hyperlink ref="E25" display="https://www.douyin.com/video/7614604940937363313" r:id="rId21"/>
    <hyperlink ref="E38" display="https://www.douyin.com/video/7616359394191938022" r:id="rId22"/>
    <hyperlink ref="E54" display="https://www.douyin.com/note/7619935329013573091" r:id="rId23"/>
    <hyperlink ref="E67" display="https://www.douyin.com/note/7620816046761141747" r:id="rId24"/>
    <hyperlink ref="E83" display="https://www.douyin.com/note/7622970947830529457" r:id="rId25"/>
    <hyperlink ref="G16" display="#新疆" r:id="rId26"/>
    <hyperlink ref="E24" display="https://www.douyin.com/note/7614679701290263147" r:id="rId27"/>
    <hyperlink ref="E37" display="https://www.douyin.com/note/7615977113706843382" r:id="rId28"/>
    <hyperlink ref="E53" display="https://www.douyin.com/video/7618932945290901903" r:id="rId29"/>
    <hyperlink ref="E70" display="https://www.douyin.com/note/7620750244388744677" r:id="rId30"/>
    <hyperlink ref="E86" display="https://www.douyin.com/video/7623358535632128435" r:id="rId31"/>
    <hyperlink ref="E48" display="https://www.douyin.com/video/7618168504240308069" r:id="rId32"/>
    <hyperlink ref="E69" display="https://www.douyin.com/note/7620767030497210778" r:id="rId33"/>
    <hyperlink ref="E85" display="https://www.douyin.com/video/7623026166921225970" r:id="rId34"/>
    <hyperlink ref="E9" display="https://www.douyin.com/note/7611432494563328113" r:id="rId35"/>
    <hyperlink ref="G15" display="#天安门夜景" r:id="rId36"/>
    <hyperlink ref="G33" display="#司机师傅" r:id="rId37"/>
    <hyperlink ref="E47" display="https://www.douyin.com/note/7617498397310715327" r:id="rId38"/>
    <hyperlink ref="E64" display="https://www.douyin.com/video/7620371187046075682" r:id="rId39"/>
    <hyperlink ref="E80" display="https://www.douyin.com/note/7621941211725617849" r:id="rId40"/>
    <hyperlink ref="E8" display="https://www.douyin.com/note/7611832044951303909" r:id="rId41"/>
    <hyperlink ref="E21" display="https://www.douyin.com/note/7613787027502461352" r:id="rId42"/>
    <hyperlink ref="E34" display="https://www.douyin.com/note/7615950184098960602" r:id="rId43"/>
    <hyperlink ref="E50" display="https://www.douyin.com/video/7618222573041999345" r:id="rId44"/>
    <hyperlink ref="E63" display="https://www.douyin.com/note/7619916215347607450" r:id="rId45"/>
    <hyperlink ref="E79" display="https://www.douyin.com/note/7621904670667781553" r:id="rId46"/>
    <hyperlink ref="E19" display="https://www.douyin.com/note/7612219889386191970" r:id="rId47"/>
    <hyperlink ref="E49" display="https://www.douyin.com/video/7618960753446510009" r:id="rId48"/>
    <hyperlink ref="E66" display="https://www.douyin.com/video/7620401522627016079" r:id="rId49"/>
    <hyperlink ref="E82" display="https://www.douyin.com/video/7622531685897224689" r:id="rId50"/>
    <hyperlink ref="E6" display="https://www.douyin.com/note/7612110532075037129" r:id="rId51"/>
    <hyperlink ref="E18" display="https://www.douyin.com/note/7613350700244157626" r:id="rId52"/>
    <hyperlink ref="E31" display="https://www.douyin.com/video/7615266309736562682" r:id="rId53"/>
    <hyperlink ref="E44" display="https://www.douyin.com/note/7617137673777764465" r:id="rId54"/>
    <hyperlink ref="E65" display="https://www.douyin.com/note/7619897380909579002" r:id="rId55"/>
    <hyperlink ref="E81" display="https://www.douyin.com/video/7622625731391179151" r:id="rId56"/>
    <hyperlink ref="E5" display="https://www.douyin.com/video/7612244922887857787" r:id="rId57"/>
    <hyperlink ref="E17" display="https://www.douyin.com/video/7613215289803536101" r:id="rId58"/>
    <hyperlink ref="E20" display="https://www.douyin.com/video/7613215289803536101" r:id="rId59"/>
    <hyperlink ref="E30" display="https://www.douyin.com/note/7614899619931912369" r:id="rId60"/>
    <hyperlink ref="E43" display="https://www.douyin.com/video/7616911882826256890" r:id="rId61"/>
    <hyperlink ref="E60" display="https://www.douyin.com/note/7619346681800231592" r:id="rId62"/>
    <hyperlink ref="E76" display="https://www.douyin.com/note/7621539907975294329" r:id="rId63"/>
    <hyperlink ref="G7" display="#天安门" r:id="rId64"/>
    <hyperlink ref="E15" display="https://www.douyin.com/video/7612865593025511337" r:id="rId65"/>
    <hyperlink ref="E33" display="https://www.douyin.com/video/7615713873504923322" r:id="rId66"/>
    <hyperlink ref="E46" display="https://www.douyin.com/video/7617859050039070435" r:id="rId67"/>
    <hyperlink ref="E59" display="https://www.douyin.com/video/7619392937248262208" r:id="rId68"/>
    <hyperlink ref="E75" display="https://www.douyin.com/note/7621580768725255525" r:id="rId69"/>
    <hyperlink ref="E78" display="https://www.douyin.com/video/7621965075905249910" r:id="rId70"/>
    <hyperlink ref="E7" display="https://www.douyin.com/video/7612087271226903844" r:id="rId71"/>
    <hyperlink ref="E14" display="https://www.douyin.com/video/7612918993481033330" r:id="rId72"/>
    <hyperlink ref="G18" display="#特斯拉" r:id="rId73"/>
    <hyperlink ref="E32" display="https://www.douyin.com/video/7615783338746236337" r:id="rId74"/>
    <hyperlink ref="E45" display="https://www.douyin.com/video/7617891266244423656" r:id="rId75"/>
    <hyperlink ref="E62" display="https://www.douyin.com/video/7620296845138728549" r:id="rId76"/>
    <hyperlink ref="G3" display="#广州" r:id="rId77"/>
    <hyperlink ref="E13" display="https://www.douyin.com/video/7612686487277578602" r:id="rId78"/>
    <hyperlink ref="E27" display="https://www.douyin.com/video/7615259770899058779" r:id="rId79"/>
    <hyperlink ref="E40" display="https://www.douyin.com/note/7616286705788479977" r:id="rId80"/>
    <hyperlink ref="E61" display="https://www.douyin.com/note/7620309274209021605" r:id="rId81"/>
    <hyperlink ref="E77" display="https://www.douyin.com/note/7622163930036053684" r:id="rId82"/>
    <hyperlink ref="E88" display="https://www.douyin.com/note/7623407790573423066" r:id="rId83"/>
    <hyperlink ref="E3" display="https://www.douyin.com/video/7612207816275352497" r:id="rId84"/>
    <hyperlink ref="E4" display="https://www.douyin.com/video/7611743676641705295" r:id="rId85"/>
    <hyperlink ref="E26" display="https://www.douyin.com/note/7614491818344720739" r:id="rId86"/>
    <hyperlink ref="E39" display="https://www.douyin.com/note/7616183547221202259" r:id="rId87"/>
    <hyperlink ref="E56" display="https://www.douyin.com/note/7619357588699109065" r:id="rId88"/>
    <hyperlink ref="E72" display="https://www.douyin.com/note/7621196315842001280" r:id="rId89"/>
    <hyperlink ref="E29" display="https://www.douyin.com/note/7615049142386066043" r:id="rId90"/>
    <hyperlink ref="E42" display="https://www.douyin.com/note/7617431215097004667" r:id="rId91"/>
    <hyperlink ref="E55" display="https://www.douyin.com/video/7619622592362705846" r:id="rId92"/>
    <hyperlink ref="E71" display="https://www.douyin.com/video/7620717387695869226" r:id="rId93"/>
    <hyperlink ref="E87" display="https://www.douyin.com/note/7623367834466321253" r:id="rId94"/>
  </hyperlink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F2" xSplit="5" ySplit="1"/>
    </sheetView>
  </sheetViews>
  <sheetFormatPr defaultColWidth="14" defaultRowHeight="19"/>
  <cols>
    <col collapsed="false" customWidth="true" hidden="false" max="12" min="12" style="0" width="14"/>
    <col collapsed="false" customWidth="true" hidden="false" max="2" min="2" style="0" width="12"/>
    <col collapsed="false" customWidth="true" hidden="false" max="4" min="4" style="0" width="14"/>
    <col collapsed="false" customWidth="true" hidden="false" max="6" min="6" style="0" width="21"/>
    <col collapsed="false" customWidth="true" hidden="false" max="10" min="10" style="0" width="14"/>
    <col collapsed="false" customWidth="true" hidden="false" max="13" min="13" style="0" width="14"/>
    <col collapsed="false" customWidth="true" hidden="false" max="1" min="1" style="0" width="11"/>
    <col collapsed="false" customWidth="true" hidden="false" max="5" min="5" style="0" width="15"/>
    <col collapsed="false" customWidth="true" hidden="false" max="7" min="7" style="0" width="71"/>
    <col collapsed="false" customWidth="true" hidden="false" max="11" min="11" style="0" width="14"/>
  </cols>
  <sheetData>
    <row r="1">
      <c r="A1" s="30" t="s">
        <v>360</v>
      </c>
      <c r="B1" s="30" t="s">
        <v>361</v>
      </c>
      <c r="C1" s="31" t="s">
        <v>362</v>
      </c>
      <c r="D1" s="30" t="s">
        <v>363</v>
      </c>
      <c r="E1" s="31" t="s">
        <v>364</v>
      </c>
      <c r="F1" s="32" t="s">
        <v>365</v>
      </c>
      <c r="G1" s="31" t="s">
        <v>366</v>
      </c>
      <c r="H1" s="32" t="s">
        <v>367</v>
      </c>
      <c r="I1" s="33" t="s">
        <v>368</v>
      </c>
      <c r="J1" s="33" t="s">
        <v>369</v>
      </c>
      <c r="K1" s="33" t="s">
        <v>370</v>
      </c>
      <c r="L1" s="33" t="s">
        <v>371</v>
      </c>
      <c r="M1" s="33" t="s">
        <v>372</v>
      </c>
      <c r="N1" s="32" t="s">
        <v>373</v>
      </c>
      <c r="O1" s="32" t="s">
        <v>374</v>
      </c>
      <c r="P1" s="34" t="s">
        <v>375</v>
      </c>
      <c r="Q1" s="32" t="s">
        <v>376</v>
      </c>
      <c r="R1" s="31" t="s">
        <v>377</v>
      </c>
      <c r="S1" s="31" t="s">
        <v>378</v>
      </c>
      <c r="T1" s="35" t="s">
        <v>379</v>
      </c>
      <c r="U1" s="36"/>
      <c r="V1" s="36"/>
      <c r="W1" s="36"/>
      <c r="X1" s="36"/>
      <c r="Y1" s="36"/>
      <c r="Z1" s="36"/>
      <c r="AA1" s="36"/>
      <c r="AB1" s="36"/>
    </row>
    <row r="2">
      <c r="A2" s="30" t="s">
        <v>380</v>
      </c>
      <c r="B2" s="30"/>
      <c r="C2" s="30"/>
      <c r="D2" s="30"/>
      <c r="E2" s="30"/>
      <c r="F2" s="30"/>
      <c r="G2" s="30"/>
      <c r="H2" s="33" t="s">
        <v>381</v>
      </c>
      <c r="I2" s="33" t="s">
        <v>381</v>
      </c>
      <c r="J2" s="33"/>
      <c r="K2" s="33"/>
      <c r="L2" s="33"/>
      <c r="M2" s="33"/>
      <c r="N2" s="32">
        <f>SUM(N3:N98)</f>
      </c>
      <c r="O2" s="32">
        <f>SUM(O3:O98)</f>
      </c>
      <c r="P2" s="34">
        <f t="shared" ref="P2:P17" si="1">O2/N2</f>
      </c>
      <c r="Q2" s="32"/>
      <c r="R2" s="31"/>
      <c r="S2" s="31"/>
      <c r="T2" s="31"/>
      <c r="U2" s="36"/>
      <c r="V2" s="36"/>
      <c r="W2" s="36"/>
      <c r="X2" s="36"/>
      <c r="Y2" s="36"/>
      <c r="Z2" s="36"/>
      <c r="AA2" s="36"/>
      <c r="AB2" s="36"/>
    </row>
    <row r="3">
      <c r="A3" s="37">
        <v>46113</v>
      </c>
      <c r="B3" s="38">
        <f t="shared" ref="B3:B63" si="0">A3+7</f>
      </c>
      <c r="C3" s="36" t="s">
        <v>382</v>
      </c>
      <c r="D3" t="s">
        <v>383</v>
      </c>
      <c r="E3" s="39" t="s">
        <v>384</v>
      </c>
      <c r="F3" s="40" t="s">
        <v>385</v>
      </c>
      <c r="G3" t="s">
        <v>386</v>
      </c>
      <c r="H3" s="40">
        <v>99</v>
      </c>
      <c r="I3">
        <f>'详细数据'!AC132</f>
      </c>
      <c r="J3" s="40">
        <v>3830</v>
      </c>
      <c r="K3" s="40">
        <v>35</v>
      </c>
      <c r="L3" s="40">
        <v>49</v>
      </c>
      <c r="M3" s="40">
        <v>174</v>
      </c>
      <c r="N3">
        <f t="shared" ref="N3:N17" si="8">SUM(J3:M3)</f>
      </c>
      <c r="O3">
        <f>'详细数据'!J132</f>
      </c>
      <c r="P3" s="41">
        <f t="shared" si="1"/>
      </c>
      <c r="Q3" t="s">
        <v>387</v>
      </c>
      <c r="R3" t="s">
        <v>388</v>
      </c>
      <c r="T3">
        <f t="shared" ref="T3:T17" si="4">IF(N3="","",IF(N3&gt;=500000,"S 级",IF(N3&gt;=100000,"A 级",IF(N3&gt;=50000,"B 级","C 级"))))</f>
      </c>
    </row>
    <row r="4">
      <c r="A4" s="37">
        <v>46114</v>
      </c>
      <c r="B4" s="38">
        <f t="shared" si="0"/>
      </c>
      <c r="C4" s="36" t="s">
        <v>382</v>
      </c>
      <c r="D4" s="42" t="s">
        <v>389</v>
      </c>
      <c r="E4" s="42" t="s">
        <v>390</v>
      </c>
      <c r="F4" s="40" t="s">
        <v>391</v>
      </c>
      <c r="G4" s="42" t="s">
        <v>392</v>
      </c>
      <c r="H4" s="40">
        <v>81</v>
      </c>
      <c r="I4">
        <f>'详细数据'!AC134</f>
      </c>
      <c r="J4" s="40">
        <v>1407</v>
      </c>
      <c r="K4" s="40">
        <v>39</v>
      </c>
      <c r="L4" s="40">
        <v>56</v>
      </c>
      <c r="M4" s="40">
        <v>3</v>
      </c>
      <c r="N4">
        <f t="shared" si="8"/>
      </c>
      <c r="O4">
        <f>'详细数据'!J133</f>
      </c>
      <c r="P4" s="41">
        <f t="shared" si="1"/>
      </c>
      <c r="Q4" s="36" t="s">
        <v>393</v>
      </c>
      <c r="R4" t="s">
        <v>394</v>
      </c>
      <c r="T4">
        <f t="shared" si="4"/>
      </c>
    </row>
    <row r="5">
      <c r="A5" s="37">
        <v>46116</v>
      </c>
      <c r="B5" s="38">
        <f t="shared" si="0"/>
      </c>
      <c r="C5" s="36" t="s">
        <v>382</v>
      </c>
      <c r="D5" s="42" t="s">
        <v>395</v>
      </c>
      <c r="E5" s="42" t="s">
        <v>396</v>
      </c>
      <c r="F5" s="43" t="s">
        <v>397</v>
      </c>
      <c r="G5" s="42" t="s">
        <v>398</v>
      </c>
      <c r="H5" s="40">
        <v>474</v>
      </c>
      <c r="I5">
        <f>'详细数据'!AC139</f>
      </c>
      <c r="J5" s="40">
        <v>24000</v>
      </c>
      <c r="K5" s="40">
        <v>347</v>
      </c>
      <c r="L5" s="40">
        <v>1815</v>
      </c>
      <c r="M5" s="40">
        <v>410</v>
      </c>
      <c r="N5">
        <f t="shared" si="8"/>
      </c>
      <c r="O5">
        <f>'详细数据'!J134+'详细数据'!J141</f>
      </c>
      <c r="P5" s="41">
        <f t="shared" si="1"/>
      </c>
      <c r="Q5" s="36" t="s">
        <v>387</v>
      </c>
      <c r="R5" t="s">
        <v>388</v>
      </c>
      <c r="S5" s="40"/>
      <c r="T5">
        <f t="shared" si="4"/>
      </c>
    </row>
    <row r="6">
      <c r="A6" s="37">
        <v>46115</v>
      </c>
      <c r="B6" s="38">
        <f t="shared" si="0"/>
      </c>
      <c r="C6" s="36" t="s">
        <v>382</v>
      </c>
      <c r="D6" s="42" t="s">
        <v>399</v>
      </c>
      <c r="E6" s="39" t="s">
        <v>400</v>
      </c>
      <c r="F6" s="40" t="s">
        <v>401</v>
      </c>
      <c r="G6" s="39" t="s">
        <v>402</v>
      </c>
      <c r="H6" s="40">
        <v>90</v>
      </c>
      <c r="I6">
        <f>'详细数据'!AC138</f>
      </c>
      <c r="J6" s="40">
        <v>1666</v>
      </c>
      <c r="K6" s="40">
        <v>52</v>
      </c>
      <c r="L6" s="40">
        <v>35</v>
      </c>
      <c r="M6" s="40">
        <v>10</v>
      </c>
      <c r="N6">
        <f t="shared" si="8"/>
      </c>
      <c r="O6">
        <f>'详细数据'!J135</f>
      </c>
      <c r="P6" s="41">
        <f t="shared" si="1"/>
      </c>
      <c r="Q6" s="36" t="s">
        <v>403</v>
      </c>
      <c r="R6" t="s">
        <v>404</v>
      </c>
      <c r="T6">
        <f t="shared" si="4"/>
      </c>
    </row>
    <row r="7">
      <c r="A7" s="37">
        <v>46117</v>
      </c>
      <c r="B7" s="38">
        <f t="shared" si="0"/>
      </c>
      <c r="C7" s="36" t="s">
        <v>382</v>
      </c>
      <c r="D7" s="39" t="s">
        <v>405</v>
      </c>
      <c r="E7" s="42" t="s">
        <v>406</v>
      </c>
      <c r="F7" s="40" t="s">
        <v>401</v>
      </c>
      <c r="G7" s="40" t="s">
        <v>407</v>
      </c>
      <c r="H7" s="40">
        <v>189</v>
      </c>
      <c r="I7">
        <f>'详细数据'!AC137</f>
      </c>
      <c r="J7" s="40">
        <v>1963</v>
      </c>
      <c r="K7" s="40">
        <v>37</v>
      </c>
      <c r="L7" s="40">
        <v>15</v>
      </c>
      <c r="M7" s="40">
        <v>21</v>
      </c>
      <c r="N7">
        <f t="shared" si="8"/>
      </c>
      <c r="O7">
        <f>'详细数据'!J136</f>
      </c>
      <c r="P7" s="41">
        <f t="shared" si="1"/>
      </c>
      <c r="Q7" s="36" t="s">
        <v>393</v>
      </c>
      <c r="R7" t="s">
        <v>408</v>
      </c>
      <c r="T7">
        <f t="shared" si="4"/>
      </c>
    </row>
    <row r="8">
      <c r="A8" s="37">
        <v>46117</v>
      </c>
      <c r="B8" s="38">
        <f t="shared" si="0"/>
      </c>
      <c r="C8" s="36" t="s">
        <v>382</v>
      </c>
      <c r="D8" s="42" t="s">
        <v>409</v>
      </c>
      <c r="E8" s="39" t="s">
        <v>410</v>
      </c>
      <c r="F8" s="43" t="s">
        <v>411</v>
      </c>
      <c r="G8" s="39" t="s">
        <v>412</v>
      </c>
      <c r="H8" s="40">
        <v>88</v>
      </c>
      <c r="I8">
        <f>'详细数据'!AC136+'详细数据'!AC145+'详细数据'!AC149</f>
      </c>
      <c r="J8" s="40">
        <v>287000</v>
      </c>
      <c r="K8" s="40">
        <v>5917</v>
      </c>
      <c r="L8" s="40">
        <v>637</v>
      </c>
      <c r="M8" s="40">
        <v>24000</v>
      </c>
      <c r="N8">
        <f t="shared" si="8"/>
      </c>
      <c r="O8">
        <f>'详细数据'!J137+'详细数据'!J140+'详细数据'!J145+'详细数据'!J149</f>
      </c>
      <c r="P8" s="44">
        <f t="shared" si="1"/>
      </c>
      <c r="Q8" s="36" t="s">
        <v>403</v>
      </c>
      <c r="R8" t="s">
        <v>404</v>
      </c>
      <c r="S8" s="40"/>
      <c r="T8">
        <f t="shared" si="4"/>
      </c>
    </row>
    <row r="9">
      <c r="A9" s="37">
        <v>46117</v>
      </c>
      <c r="B9" s="38">
        <f t="shared" si="0"/>
      </c>
      <c r="C9" s="36" t="s">
        <v>382</v>
      </c>
      <c r="D9" s="42" t="s">
        <v>413</v>
      </c>
      <c r="E9" s="39" t="s">
        <v>414</v>
      </c>
      <c r="F9" s="40" t="s">
        <v>401</v>
      </c>
      <c r="G9" s="42" t="s">
        <v>415</v>
      </c>
      <c r="H9" s="40">
        <v>35</v>
      </c>
      <c r="I9" s="40">
        <f>'详细数据'!AC135</f>
      </c>
      <c r="J9" s="40">
        <v>2298</v>
      </c>
      <c r="K9" s="40">
        <v>51</v>
      </c>
      <c r="L9" s="40">
        <v>84</v>
      </c>
      <c r="M9" s="40">
        <v>107</v>
      </c>
      <c r="N9">
        <f t="shared" si="8"/>
      </c>
      <c r="O9">
        <f>'详细数据'!J138</f>
      </c>
      <c r="P9" s="41">
        <f t="shared" si="1"/>
      </c>
      <c r="Q9" s="36" t="s">
        <v>393</v>
      </c>
      <c r="R9" t="s">
        <v>416</v>
      </c>
      <c r="T9">
        <f t="shared" si="4"/>
      </c>
    </row>
    <row r="10">
      <c r="A10" s="37">
        <v>46119</v>
      </c>
      <c r="B10" s="38">
        <f t="shared" si="0"/>
      </c>
      <c r="C10" s="36" t="s">
        <v>382</v>
      </c>
      <c r="D10" s="42" t="s">
        <v>417</v>
      </c>
      <c r="E10" s="42" t="s">
        <v>418</v>
      </c>
      <c r="F10" s="40" t="s">
        <v>419</v>
      </c>
      <c r="G10" s="42" t="s">
        <v>420</v>
      </c>
      <c r="H10" s="40">
        <v>81</v>
      </c>
      <c r="I10">
        <f>'详细数据'!AC143</f>
      </c>
      <c r="J10" s="45" t="s">
        <v>421</v>
      </c>
      <c r="N10">
        <f t="shared" si="8"/>
      </c>
      <c r="O10">
        <f>'详细数据'!J143</f>
      </c>
      <c r="P10" s="41">
        <f t="shared" si="1"/>
      </c>
      <c r="Q10" s="36" t="s">
        <v>422</v>
      </c>
      <c r="R10" t="s">
        <v>423</v>
      </c>
      <c r="T10">
        <f t="shared" si="4"/>
      </c>
    </row>
    <row r="11">
      <c r="A11" s="37">
        <v>46119</v>
      </c>
      <c r="B11" s="38">
        <f t="shared" si="0"/>
      </c>
      <c r="C11" s="36" t="s">
        <v>424</v>
      </c>
      <c r="D11" s="39" t="s">
        <v>425</v>
      </c>
      <c r="E11" s="39" t="s">
        <v>426</v>
      </c>
      <c r="F11" s="40" t="s">
        <v>427</v>
      </c>
      <c r="G11" s="39" t="s">
        <v>428</v>
      </c>
      <c r="H11" s="40">
        <v>87</v>
      </c>
      <c r="I11">
        <f>'详细数据'!AC142</f>
      </c>
      <c r="J11" s="40">
        <v>542</v>
      </c>
      <c r="K11" s="40">
        <v>34</v>
      </c>
      <c r="L11" s="40">
        <v>12</v>
      </c>
      <c r="M11" s="40">
        <v>3</v>
      </c>
      <c r="N11">
        <f t="shared" si="8"/>
      </c>
      <c r="O11">
        <f>'详细数据'!J142</f>
      </c>
      <c r="P11" s="41">
        <f t="shared" si="1"/>
      </c>
      <c r="Q11" s="36" t="s">
        <v>387</v>
      </c>
      <c r="R11" t="s">
        <v>429</v>
      </c>
      <c r="T11">
        <f t="shared" si="4"/>
      </c>
    </row>
    <row r="12">
      <c r="A12" s="37">
        <v>46120</v>
      </c>
      <c r="B12" s="38">
        <f t="shared" si="0"/>
      </c>
      <c r="C12" t="s">
        <v>382</v>
      </c>
      <c r="D12" s="39" t="s">
        <v>389</v>
      </c>
      <c r="E12" s="39" t="s">
        <v>430</v>
      </c>
      <c r="F12" s="46" t="s">
        <v>431</v>
      </c>
      <c r="G12" s="39" t="s">
        <v>432</v>
      </c>
      <c r="H12" s="40">
        <v>132</v>
      </c>
      <c r="I12">
        <f>'详细数据'!AC144</f>
      </c>
      <c r="J12" s="40">
        <v>2000</v>
      </c>
      <c r="K12" s="40">
        <v>37</v>
      </c>
      <c r="L12" s="40">
        <v>87</v>
      </c>
      <c r="M12" s="40">
        <v>12</v>
      </c>
      <c r="N12">
        <f t="shared" si="8"/>
      </c>
      <c r="O12" s="47">
        <f>'详细数据'!J144</f>
      </c>
      <c r="P12" s="41">
        <f t="shared" si="1"/>
      </c>
      <c r="Q12" s="36" t="s">
        <v>393</v>
      </c>
      <c r="R12" t="s">
        <v>394</v>
      </c>
      <c r="T12">
        <f t="shared" si="4"/>
      </c>
    </row>
    <row r="13">
      <c r="A13" s="37">
        <v>46120</v>
      </c>
      <c r="B13" s="38">
        <f t="shared" si="0"/>
      </c>
      <c r="C13" t="s">
        <v>382</v>
      </c>
      <c r="D13" s="42" t="s">
        <v>433</v>
      </c>
      <c r="E13" s="39" t="s">
        <v>434</v>
      </c>
      <c r="F13" s="46" t="s">
        <v>435</v>
      </c>
      <c r="G13" s="42" t="s">
        <v>436</v>
      </c>
      <c r="H13" s="40">
        <v>96</v>
      </c>
      <c r="I13">
        <f>'详细数据'!AC148</f>
      </c>
      <c r="J13" s="40">
        <v>2089</v>
      </c>
      <c r="K13" s="40">
        <v>54</v>
      </c>
      <c r="L13" s="40">
        <v>177</v>
      </c>
      <c r="M13" s="40">
        <v>75</v>
      </c>
      <c r="N13">
        <f t="shared" si="8"/>
      </c>
      <c r="O13" s="47">
        <f>'详细数据'!J148</f>
      </c>
      <c r="P13" s="41">
        <f t="shared" si="1"/>
      </c>
      <c r="Q13" s="36" t="s">
        <v>403</v>
      </c>
      <c r="R13" t="s">
        <v>437</v>
      </c>
      <c r="T13">
        <f t="shared" si="4"/>
      </c>
    </row>
    <row r="14">
      <c r="A14" s="37">
        <v>46121</v>
      </c>
      <c r="B14" s="38">
        <f t="shared" si="0"/>
      </c>
      <c r="C14" t="s">
        <v>382</v>
      </c>
      <c r="D14" s="39" t="s">
        <v>438</v>
      </c>
      <c r="E14" s="39" t="s">
        <v>439</v>
      </c>
      <c r="F14" s="46" t="s">
        <v>435</v>
      </c>
      <c r="G14" s="39" t="s">
        <v>440</v>
      </c>
      <c r="H14" s="40">
        <v>101</v>
      </c>
      <c r="I14" s="40">
        <f>'详细数据'!AC147</f>
      </c>
      <c r="J14" s="40">
        <v>1848</v>
      </c>
      <c r="K14" s="40">
        <v>66</v>
      </c>
      <c r="L14" s="40">
        <v>121</v>
      </c>
      <c r="M14" s="40">
        <v>3</v>
      </c>
      <c r="N14">
        <f t="shared" si="8"/>
      </c>
      <c r="O14" s="47">
        <f>'详细数据'!J147</f>
      </c>
      <c r="P14" s="41">
        <f t="shared" si="1"/>
      </c>
      <c r="Q14" s="36" t="s">
        <v>387</v>
      </c>
      <c r="R14" t="s">
        <v>388</v>
      </c>
      <c r="T14">
        <f t="shared" si="4"/>
      </c>
    </row>
    <row r="15">
      <c r="A15" s="37">
        <v>46121</v>
      </c>
      <c r="B15" s="38">
        <f t="shared" si="0"/>
      </c>
      <c r="C15" t="s">
        <v>382</v>
      </c>
      <c r="D15" s="39" t="s">
        <v>441</v>
      </c>
      <c r="E15" s="39" t="s">
        <v>442</v>
      </c>
      <c r="F15" s="46" t="s">
        <v>435</v>
      </c>
      <c r="G15" s="39" t="s">
        <v>443</v>
      </c>
      <c r="H15" s="40">
        <v>83</v>
      </c>
      <c r="I15">
        <f>'详细数据'!AC146</f>
      </c>
      <c r="J15" s="40">
        <v>3338</v>
      </c>
      <c r="K15" s="40">
        <v>82</v>
      </c>
      <c r="L15" s="40">
        <v>244</v>
      </c>
      <c r="M15" s="40">
        <v>28</v>
      </c>
      <c r="N15">
        <f t="shared" si="8"/>
      </c>
      <c r="O15" s="47">
        <f>'详细数据'!J146</f>
      </c>
      <c r="P15" s="41">
        <f t="shared" si="1"/>
      </c>
      <c r="Q15" s="36" t="s">
        <v>403</v>
      </c>
      <c r="R15" t="s">
        <v>404</v>
      </c>
      <c r="T15">
        <f t="shared" si="4"/>
      </c>
    </row>
    <row r="16">
      <c r="A16" s="37">
        <v>46123</v>
      </c>
      <c r="B16" s="38">
        <f t="shared" si="0"/>
      </c>
      <c r="C16" t="s">
        <v>382</v>
      </c>
      <c r="D16" s="39" t="s">
        <v>444</v>
      </c>
      <c r="E16" s="42" t="s">
        <v>445</v>
      </c>
      <c r="F16" s="48" t="s">
        <v>446</v>
      </c>
      <c r="G16" s="42" t="s">
        <v>447</v>
      </c>
      <c r="H16" s="40">
        <v>367</v>
      </c>
      <c r="I16">
        <f>'详细数据'!AC153+'详细数据'!AC154+'详细数据'!AC158</f>
      </c>
      <c r="J16" s="40">
        <v>131000</v>
      </c>
      <c r="K16" s="40">
        <v>2525</v>
      </c>
      <c r="L16" s="40">
        <v>1003</v>
      </c>
      <c r="M16" s="40">
        <v>32000</v>
      </c>
      <c r="N16">
        <f t="shared" si="8"/>
      </c>
      <c r="O16" s="47">
        <f>'详细数据'!J153+'详细数据'!J154+'详细数据'!J158</f>
      </c>
      <c r="P16" s="44">
        <f t="shared" si="1"/>
      </c>
      <c r="Q16" s="36" t="s">
        <v>403</v>
      </c>
      <c r="R16" t="s">
        <v>404</v>
      </c>
      <c r="S16" s="40"/>
      <c r="T16">
        <f t="shared" si="4"/>
      </c>
    </row>
    <row r="17">
      <c r="A17" s="37">
        <v>46122</v>
      </c>
      <c r="B17" s="38">
        <f t="shared" si="0"/>
      </c>
      <c r="C17" t="s">
        <v>382</v>
      </c>
      <c r="D17" s="39" t="s">
        <v>448</v>
      </c>
      <c r="E17" s="42" t="s">
        <v>449</v>
      </c>
      <c r="F17" s="46" t="s">
        <v>450</v>
      </c>
      <c r="G17" s="39" t="s">
        <v>451</v>
      </c>
      <c r="H17" s="40">
        <v>74</v>
      </c>
      <c r="I17">
        <f>'详细数据'!AC152</f>
      </c>
      <c r="J17" s="40">
        <v>272</v>
      </c>
      <c r="K17" s="40">
        <v>21</v>
      </c>
      <c r="L17" s="40">
        <v>14</v>
      </c>
      <c r="M17" s="40">
        <v>16</v>
      </c>
      <c r="N17">
        <f t="shared" si="8"/>
      </c>
      <c r="O17" s="47">
        <f>'详细数据'!J152</f>
      </c>
      <c r="P17" s="41">
        <f t="shared" si="1"/>
      </c>
      <c r="Q17" s="36" t="s">
        <v>403</v>
      </c>
      <c r="R17" t="s">
        <v>452</v>
      </c>
      <c r="T17">
        <f t="shared" si="4"/>
      </c>
    </row>
    <row r="18">
      <c r="A18" s="37">
        <v>46123</v>
      </c>
      <c r="B18" s="38">
        <f t="shared" si="0"/>
      </c>
      <c r="C18" t="s">
        <v>453</v>
      </c>
      <c r="D18" s="39" t="s">
        <v>454</v>
      </c>
      <c r="E18" s="42" t="s">
        <v>455</v>
      </c>
      <c r="F18" s="40"/>
      <c r="G18" s="39" t="s">
        <v>456</v>
      </c>
      <c r="H18" s="40">
        <v>64</v>
      </c>
      <c r="Q18" s="36"/>
    </row>
    <row r="19">
      <c r="A19" s="37">
        <v>46124</v>
      </c>
      <c r="B19" s="38">
        <f t="shared" si="0"/>
      </c>
      <c r="C19" t="s">
        <v>382</v>
      </c>
      <c r="D19" s="39" t="s">
        <v>457</v>
      </c>
      <c r="E19" s="42" t="s">
        <v>458</v>
      </c>
      <c r="F19" s="46" t="s">
        <v>459</v>
      </c>
      <c r="G19" s="42" t="s">
        <v>460</v>
      </c>
      <c r="H19" s="40">
        <v>79</v>
      </c>
      <c r="I19">
        <f>'详细数据'!AC150</f>
      </c>
      <c r="J19" s="45" t="s">
        <v>461</v>
      </c>
      <c r="N19">
        <f t="shared" ref="N19:N44" si="9">SUM(J19:M19)</f>
      </c>
      <c r="O19" s="47">
        <f>'详细数据'!J150</f>
      </c>
      <c r="P19" s="41">
        <f t="shared" ref="P19:P44" si="2">O19/N19</f>
      </c>
      <c r="Q19" s="36" t="s">
        <v>387</v>
      </c>
      <c r="R19" t="s">
        <v>462</v>
      </c>
      <c r="T19">
        <f t="shared" ref="T19:T33" si="5">IF(N19="","",IF(N19&gt;=500000,"S 级",IF(N19&gt;=100000,"A 级",IF(N19&gt;=50000,"B 级","C 级"))))</f>
      </c>
    </row>
    <row r="20">
      <c r="A20" s="37">
        <v>46125</v>
      </c>
      <c r="B20" s="38">
        <f t="shared" si="0"/>
      </c>
      <c r="C20" t="s">
        <v>382</v>
      </c>
      <c r="D20" s="42" t="s">
        <v>463</v>
      </c>
      <c r="E20" s="42" t="s">
        <v>464</v>
      </c>
      <c r="F20" s="46" t="s">
        <v>465</v>
      </c>
      <c r="G20" s="42" t="s">
        <v>466</v>
      </c>
      <c r="H20" s="40">
        <v>128</v>
      </c>
      <c r="I20">
        <f>'详细数据'!AC156</f>
      </c>
      <c r="J20" s="40">
        <v>2013</v>
      </c>
      <c r="K20" s="40">
        <v>64</v>
      </c>
      <c r="L20" s="40">
        <v>72</v>
      </c>
      <c r="M20" s="40">
        <v>60</v>
      </c>
      <c r="N20">
        <f t="shared" si="9"/>
      </c>
      <c r="O20">
        <f>'详细数据'!J156</f>
      </c>
      <c r="P20" s="41">
        <f t="shared" si="2"/>
      </c>
      <c r="Q20" s="36" t="s">
        <v>403</v>
      </c>
      <c r="R20" t="s">
        <v>437</v>
      </c>
      <c r="T20">
        <f t="shared" si="5"/>
      </c>
    </row>
    <row r="21">
      <c r="A21" s="37">
        <v>46124</v>
      </c>
      <c r="B21" s="38">
        <f t="shared" si="0"/>
      </c>
      <c r="C21" t="s">
        <v>382</v>
      </c>
      <c r="D21" s="42" t="s">
        <v>467</v>
      </c>
      <c r="E21" s="42" t="s">
        <v>468</v>
      </c>
      <c r="F21" s="46" t="s">
        <v>465</v>
      </c>
      <c r="G21" s="42" t="s">
        <v>469</v>
      </c>
      <c r="H21" s="40">
        <v>82</v>
      </c>
      <c r="I21" s="40">
        <f>'详细数据'!AC155</f>
      </c>
      <c r="J21" s="40">
        <v>2941</v>
      </c>
      <c r="K21" s="40">
        <v>57</v>
      </c>
      <c r="L21" s="40">
        <v>111</v>
      </c>
      <c r="M21" s="40">
        <v>24</v>
      </c>
      <c r="N21">
        <f t="shared" si="9"/>
      </c>
      <c r="O21" s="40">
        <f>'详细数据'!J155</f>
      </c>
      <c r="P21" s="41">
        <f t="shared" si="2"/>
      </c>
      <c r="Q21" s="40" t="s">
        <v>387</v>
      </c>
      <c r="R21" t="s">
        <v>470</v>
      </c>
      <c r="T21">
        <f t="shared" si="5"/>
      </c>
    </row>
    <row r="22">
      <c r="A22" s="37">
        <v>46126</v>
      </c>
      <c r="B22" s="38">
        <f t="shared" si="0"/>
      </c>
      <c r="C22" t="s">
        <v>382</v>
      </c>
      <c r="D22" s="42" t="s">
        <v>471</v>
      </c>
      <c r="E22" s="42" t="s">
        <v>472</v>
      </c>
      <c r="F22" s="46" t="s">
        <v>473</v>
      </c>
      <c r="G22" s="39" t="s">
        <v>474</v>
      </c>
      <c r="H22" s="40">
        <v>184</v>
      </c>
      <c r="I22">
        <f>'详细数据'!AC159</f>
      </c>
      <c r="J22" s="40">
        <v>1108</v>
      </c>
      <c r="K22" s="40">
        <v>71</v>
      </c>
      <c r="L22" s="40">
        <v>49</v>
      </c>
      <c r="M22" s="40">
        <v>21</v>
      </c>
      <c r="N22">
        <f t="shared" si="9"/>
      </c>
      <c r="O22">
        <f>'详细数据'!J159</f>
      </c>
      <c r="P22" s="41">
        <f t="shared" si="2"/>
      </c>
      <c r="Q22" t="s">
        <v>475</v>
      </c>
      <c r="R22" t="s">
        <v>475</v>
      </c>
      <c r="T22">
        <f t="shared" si="5"/>
      </c>
    </row>
    <row r="23">
      <c r="A23" s="37">
        <v>46126</v>
      </c>
      <c r="B23" s="38">
        <f t="shared" si="0"/>
      </c>
      <c r="C23" t="s">
        <v>382</v>
      </c>
      <c r="D23" s="42" t="s">
        <v>476</v>
      </c>
      <c r="E23" s="42" t="s">
        <v>477</v>
      </c>
      <c r="F23" s="46" t="s">
        <v>473</v>
      </c>
      <c r="G23" s="42" t="s">
        <v>478</v>
      </c>
      <c r="H23" s="40">
        <v>242</v>
      </c>
      <c r="I23" s="40">
        <f>'详细数据'!AC157</f>
      </c>
      <c r="J23" s="40">
        <v>3088</v>
      </c>
      <c r="K23" s="40">
        <v>43</v>
      </c>
      <c r="L23" s="40">
        <v>84</v>
      </c>
      <c r="M23" s="40">
        <v>525</v>
      </c>
      <c r="N23">
        <f t="shared" si="9"/>
      </c>
      <c r="O23" s="40">
        <f>'详细数据'!J157</f>
      </c>
      <c r="P23" s="41">
        <f t="shared" si="2"/>
      </c>
      <c r="Q23" s="40" t="s">
        <v>403</v>
      </c>
      <c r="R23" t="s">
        <v>404</v>
      </c>
      <c r="T23">
        <f t="shared" si="5"/>
      </c>
    </row>
    <row r="24">
      <c r="A24" s="37">
        <v>46125</v>
      </c>
      <c r="B24" s="38">
        <f t="shared" si="0"/>
      </c>
      <c r="C24" t="s">
        <v>382</v>
      </c>
      <c r="D24" s="42" t="s">
        <v>479</v>
      </c>
      <c r="E24" s="42" t="s">
        <v>480</v>
      </c>
      <c r="F24" s="48" t="s">
        <v>481</v>
      </c>
      <c r="G24" s="42" t="s">
        <v>482</v>
      </c>
      <c r="H24" s="40">
        <v>72</v>
      </c>
      <c r="I24">
        <f>'详细数据'!AC161</f>
      </c>
      <c r="J24" s="40">
        <v>1737</v>
      </c>
      <c r="K24" s="40">
        <v>27</v>
      </c>
      <c r="L24" s="40">
        <v>50</v>
      </c>
      <c r="M24" s="40">
        <v>6</v>
      </c>
      <c r="N24">
        <f t="shared" si="9"/>
      </c>
      <c r="O24">
        <f>'详细数据'!J161</f>
      </c>
      <c r="P24" s="41">
        <f t="shared" si="2"/>
      </c>
      <c r="Q24" t="s">
        <v>475</v>
      </c>
      <c r="R24" t="s">
        <v>475</v>
      </c>
      <c r="T24">
        <f t="shared" si="5"/>
      </c>
    </row>
    <row r="25">
      <c r="A25" s="37">
        <v>46128</v>
      </c>
      <c r="B25" s="38">
        <f t="shared" si="0"/>
      </c>
      <c r="C25" t="s">
        <v>382</v>
      </c>
      <c r="D25" s="42" t="s">
        <v>483</v>
      </c>
      <c r="E25" s="42" t="s">
        <v>484</v>
      </c>
      <c r="F25" s="48" t="s">
        <v>485</v>
      </c>
      <c r="G25" s="42" t="s">
        <v>486</v>
      </c>
      <c r="H25" s="40">
        <v>347</v>
      </c>
      <c r="I25">
        <f>'详细数据'!AC160+'详细数据'!AC163</f>
      </c>
      <c r="J25" s="40">
        <v>19000</v>
      </c>
      <c r="K25" s="40">
        <v>297</v>
      </c>
      <c r="L25" s="40">
        <v>115</v>
      </c>
      <c r="M25" s="40">
        <v>91</v>
      </c>
      <c r="N25">
        <f t="shared" si="9"/>
      </c>
      <c r="O25">
        <f>'详细数据'!J160+'详细数据'!J163</f>
      </c>
      <c r="P25" s="44">
        <f t="shared" si="2"/>
      </c>
      <c r="Q25" t="s">
        <v>387</v>
      </c>
      <c r="R25" t="s">
        <v>388</v>
      </c>
      <c r="T25">
        <f t="shared" si="5"/>
      </c>
    </row>
    <row r="26">
      <c r="A26" s="37">
        <v>46127</v>
      </c>
      <c r="B26" s="38">
        <f t="shared" si="0"/>
      </c>
      <c r="C26" t="s">
        <v>382</v>
      </c>
      <c r="D26" s="39" t="s">
        <v>487</v>
      </c>
      <c r="E26" s="42" t="s">
        <v>488</v>
      </c>
      <c r="F26" s="46" t="s">
        <v>489</v>
      </c>
      <c r="G26" s="42" t="s">
        <v>490</v>
      </c>
      <c r="H26" s="40">
        <v>929</v>
      </c>
      <c r="I26">
        <f>'详细数据'!AC162</f>
      </c>
      <c r="J26" s="40">
        <v>1439</v>
      </c>
      <c r="K26" s="40">
        <v>59</v>
      </c>
      <c r="L26" s="40">
        <v>33</v>
      </c>
      <c r="M26" s="40">
        <v>3</v>
      </c>
      <c r="N26">
        <f t="shared" si="9"/>
      </c>
      <c r="O26">
        <f>'详细数据'!J162</f>
      </c>
      <c r="P26" s="41">
        <f t="shared" si="2"/>
      </c>
      <c r="Q26" t="s">
        <v>403</v>
      </c>
      <c r="R26" t="s">
        <v>491</v>
      </c>
      <c r="T26">
        <f t="shared" si="5"/>
      </c>
    </row>
    <row r="27">
      <c r="A27" s="37">
        <v>46131</v>
      </c>
      <c r="B27" s="38">
        <f t="shared" si="0"/>
      </c>
      <c r="C27" s="49" t="s">
        <v>382</v>
      </c>
      <c r="D27" s="39" t="s">
        <v>492</v>
      </c>
      <c r="E27" s="42" t="s">
        <v>493</v>
      </c>
      <c r="F27" s="46" t="s">
        <v>494</v>
      </c>
      <c r="G27" s="42" t="s">
        <v>495</v>
      </c>
      <c r="H27" s="40">
        <v>112</v>
      </c>
      <c r="I27" s="49">
        <f>'详细数据'!AC171</f>
      </c>
      <c r="J27" s="40">
        <v>2872</v>
      </c>
      <c r="K27" s="40">
        <v>15</v>
      </c>
      <c r="L27" s="40">
        <v>29</v>
      </c>
      <c r="M27" s="40">
        <v>57</v>
      </c>
      <c r="N27" s="49">
        <f t="shared" si="9"/>
      </c>
      <c r="O27" s="49">
        <f>'详细数据'!J171</f>
      </c>
      <c r="P27" s="41">
        <f t="shared" si="2"/>
      </c>
      <c r="Q27" s="49" t="s">
        <v>387</v>
      </c>
      <c r="R27" s="49" t="s">
        <v>496</v>
      </c>
      <c r="S27" s="49"/>
      <c r="T27">
        <f t="shared" si="5"/>
      </c>
      <c r="U27" s="49"/>
      <c r="V27" s="49"/>
      <c r="W27" s="49"/>
      <c r="X27" s="49"/>
      <c r="Y27" s="49"/>
      <c r="Z27" s="49"/>
      <c r="AA27" s="49"/>
      <c r="AB27" s="49"/>
    </row>
    <row r="28">
      <c r="A28" s="37">
        <v>46131</v>
      </c>
      <c r="B28" s="38">
        <f t="shared" si="0"/>
      </c>
      <c r="C28" s="49" t="s">
        <v>382</v>
      </c>
      <c r="D28" s="39" t="s">
        <v>497</v>
      </c>
      <c r="E28" s="42" t="s">
        <v>498</v>
      </c>
      <c r="F28" s="46" t="s">
        <v>494</v>
      </c>
      <c r="G28" s="42" t="s">
        <v>499</v>
      </c>
      <c r="H28" s="40">
        <v>448</v>
      </c>
      <c r="I28" s="49">
        <f>'详细数据'!AC170</f>
      </c>
      <c r="J28" s="40">
        <v>1421</v>
      </c>
      <c r="K28" s="40">
        <v>14</v>
      </c>
      <c r="L28" s="40">
        <v>19</v>
      </c>
      <c r="M28" s="40">
        <v>8</v>
      </c>
      <c r="N28" s="49">
        <f t="shared" si="9"/>
      </c>
      <c r="O28" s="49">
        <f>'详细数据'!J170</f>
      </c>
      <c r="P28" s="41">
        <f t="shared" si="2"/>
      </c>
      <c r="Q28" s="49" t="s">
        <v>387</v>
      </c>
      <c r="R28" s="49" t="s">
        <v>500</v>
      </c>
      <c r="S28" s="49"/>
      <c r="T28">
        <f t="shared" si="5"/>
      </c>
      <c r="U28" s="49"/>
      <c r="V28" s="49"/>
      <c r="W28" s="49"/>
      <c r="X28" s="49"/>
      <c r="Y28" s="49"/>
      <c r="Z28" s="49"/>
      <c r="AA28" s="49"/>
      <c r="AB28" s="49"/>
    </row>
    <row r="29">
      <c r="A29" s="37">
        <v>46131</v>
      </c>
      <c r="B29" s="38">
        <f t="shared" si="0"/>
      </c>
      <c r="C29" s="49" t="s">
        <v>382</v>
      </c>
      <c r="D29" s="39" t="s">
        <v>501</v>
      </c>
      <c r="E29" s="42" t="s">
        <v>502</v>
      </c>
      <c r="F29" s="46" t="s">
        <v>494</v>
      </c>
      <c r="G29" s="42" t="s">
        <v>503</v>
      </c>
      <c r="H29" s="40">
        <v>259</v>
      </c>
      <c r="I29" s="49">
        <f>'详细数据'!AC166</f>
      </c>
      <c r="J29" s="40">
        <v>1086</v>
      </c>
      <c r="K29" s="40">
        <v>28</v>
      </c>
      <c r="L29" s="40">
        <v>68</v>
      </c>
      <c r="M29" s="40">
        <v>11</v>
      </c>
      <c r="N29" s="49">
        <f t="shared" si="9"/>
      </c>
      <c r="O29" s="49">
        <f>'详细数据'!J166</f>
      </c>
      <c r="P29" s="41">
        <f t="shared" si="2"/>
      </c>
      <c r="Q29" s="49" t="s">
        <v>387</v>
      </c>
      <c r="R29" s="49" t="s">
        <v>462</v>
      </c>
      <c r="S29" s="49"/>
      <c r="T29">
        <f t="shared" si="5"/>
      </c>
      <c r="U29" s="49"/>
      <c r="V29" s="49"/>
      <c r="W29" s="49"/>
      <c r="X29" s="49"/>
      <c r="Y29" s="49"/>
      <c r="Z29" s="49"/>
      <c r="AA29" s="49"/>
      <c r="AB29" s="49"/>
    </row>
    <row r="30">
      <c r="A30" s="37">
        <v>46130</v>
      </c>
      <c r="B30" s="38">
        <f t="shared" si="0"/>
      </c>
      <c r="C30" s="49" t="s">
        <v>424</v>
      </c>
      <c r="D30" s="39" t="s">
        <v>504</v>
      </c>
      <c r="E30" s="42" t="s">
        <v>505</v>
      </c>
      <c r="F30" s="46" t="s">
        <v>494</v>
      </c>
      <c r="G30" s="42" t="s">
        <v>506</v>
      </c>
      <c r="H30" s="40">
        <v>92</v>
      </c>
      <c r="I30" s="49">
        <f>'详细数据'!AC169</f>
      </c>
      <c r="J30" s="40">
        <v>857</v>
      </c>
      <c r="K30" s="40">
        <v>63</v>
      </c>
      <c r="L30" s="40">
        <v>42</v>
      </c>
      <c r="M30" s="40">
        <v>2</v>
      </c>
      <c r="N30" s="49">
        <f t="shared" si="9"/>
      </c>
      <c r="O30" s="49">
        <f>'详细数据'!J169</f>
      </c>
      <c r="P30" s="41">
        <f t="shared" si="2"/>
      </c>
      <c r="Q30" s="49" t="s">
        <v>422</v>
      </c>
      <c r="R30" s="49" t="s">
        <v>507</v>
      </c>
      <c r="S30" s="49"/>
      <c r="T30">
        <f t="shared" si="5"/>
      </c>
      <c r="U30" s="49"/>
      <c r="V30" s="49"/>
      <c r="W30" s="49"/>
      <c r="X30" s="49"/>
      <c r="Y30" s="49"/>
      <c r="Z30" s="49"/>
      <c r="AA30" s="49"/>
      <c r="AB30" s="49"/>
    </row>
    <row r="31">
      <c r="A31" s="37">
        <v>46130</v>
      </c>
      <c r="B31" s="38">
        <f t="shared" si="0"/>
      </c>
      <c r="C31" s="49" t="s">
        <v>382</v>
      </c>
      <c r="D31" s="39" t="s">
        <v>483</v>
      </c>
      <c r="E31" s="42" t="s">
        <v>508</v>
      </c>
      <c r="F31" s="46" t="s">
        <v>494</v>
      </c>
      <c r="G31" s="42" t="s">
        <v>509</v>
      </c>
      <c r="H31" s="40">
        <v>202</v>
      </c>
      <c r="I31" s="49">
        <f>'详细数据'!AC168</f>
      </c>
      <c r="J31" s="40">
        <v>464</v>
      </c>
      <c r="K31" s="40">
        <v>32</v>
      </c>
      <c r="L31" s="40">
        <v>28</v>
      </c>
      <c r="M31" s="40">
        <v>7</v>
      </c>
      <c r="N31" s="49">
        <f t="shared" si="9"/>
      </c>
      <c r="O31" s="49">
        <f>'详细数据'!J168</f>
      </c>
      <c r="P31" s="41">
        <f t="shared" si="2"/>
      </c>
      <c r="Q31" s="49" t="s">
        <v>387</v>
      </c>
      <c r="R31" s="49" t="s">
        <v>429</v>
      </c>
      <c r="S31" s="49"/>
      <c r="T31">
        <f t="shared" si="5"/>
      </c>
      <c r="U31" s="49"/>
      <c r="V31" s="49"/>
      <c r="W31" s="49"/>
      <c r="X31" s="49"/>
      <c r="Y31" s="49"/>
      <c r="Z31" s="49"/>
      <c r="AA31" s="49"/>
      <c r="AB31" s="49"/>
    </row>
    <row customHeight="true" ht="19" r="32">
      <c r="A32" s="37">
        <v>46131</v>
      </c>
      <c r="B32" s="38">
        <f t="shared" si="0"/>
      </c>
      <c r="C32" s="49" t="s">
        <v>382</v>
      </c>
      <c r="D32" s="39" t="s">
        <v>510</v>
      </c>
      <c r="E32" s="42" t="s">
        <v>511</v>
      </c>
      <c r="F32" s="46" t="s">
        <v>494</v>
      </c>
      <c r="G32" s="42" t="s">
        <v>512</v>
      </c>
      <c r="H32" s="40">
        <v>7</v>
      </c>
      <c r="I32" s="49">
        <f>'详细数据'!AC167</f>
      </c>
      <c r="J32" s="40">
        <v>230</v>
      </c>
      <c r="K32" s="40">
        <v>27</v>
      </c>
      <c r="L32" s="40">
        <v>12</v>
      </c>
      <c r="M32" s="40">
        <v>2</v>
      </c>
      <c r="N32" s="49">
        <f t="shared" si="9"/>
      </c>
      <c r="O32" s="49">
        <f>'详细数据'!J167</f>
      </c>
      <c r="P32" s="41">
        <f t="shared" si="2"/>
      </c>
      <c r="Q32" s="49" t="s">
        <v>422</v>
      </c>
      <c r="R32" s="49" t="s">
        <v>423</v>
      </c>
      <c r="S32" s="49"/>
      <c r="T32">
        <f t="shared" si="5"/>
      </c>
      <c r="U32" s="49"/>
      <c r="V32" s="49"/>
      <c r="W32" s="49"/>
      <c r="X32" s="49"/>
      <c r="Y32" s="49"/>
      <c r="Z32" s="49"/>
      <c r="AA32" s="49"/>
      <c r="AB32" s="49"/>
    </row>
    <row r="33">
      <c r="A33" s="37">
        <v>46131</v>
      </c>
      <c r="B33" s="38">
        <f t="shared" si="0"/>
      </c>
      <c r="C33" s="49" t="s">
        <v>382</v>
      </c>
      <c r="D33" s="39" t="s">
        <v>513</v>
      </c>
      <c r="E33" s="42" t="s">
        <v>514</v>
      </c>
      <c r="F33" s="46" t="s">
        <v>494</v>
      </c>
      <c r="G33" s="42" t="s">
        <v>515</v>
      </c>
      <c r="H33" s="40">
        <v>46</v>
      </c>
      <c r="I33" s="49">
        <f>'详细数据'!AC165</f>
      </c>
      <c r="J33" s="40">
        <v>253</v>
      </c>
      <c r="K33" s="40">
        <v>18</v>
      </c>
      <c r="L33" s="40">
        <v>13</v>
      </c>
      <c r="M33" s="40">
        <v>2</v>
      </c>
      <c r="N33" s="49">
        <f t="shared" si="9"/>
      </c>
      <c r="O33" s="49">
        <f>'详细数据'!J165</f>
      </c>
      <c r="P33" s="41">
        <f t="shared" si="2"/>
      </c>
      <c r="Q33" s="49" t="s">
        <v>393</v>
      </c>
      <c r="R33" s="49" t="s">
        <v>516</v>
      </c>
      <c r="S33" s="49"/>
      <c r="T33">
        <f t="shared" si="5"/>
      </c>
      <c r="U33" s="49"/>
      <c r="V33" s="49"/>
      <c r="W33" s="49"/>
      <c r="X33" s="49"/>
      <c r="Y33" s="49"/>
      <c r="Z33" s="49"/>
      <c r="AA33" s="49"/>
      <c r="AB33" s="49"/>
    </row>
    <row r="34">
      <c r="A34" s="37">
        <v>46129</v>
      </c>
      <c r="B34" s="38">
        <f t="shared" si="0"/>
      </c>
      <c r="C34" s="49" t="s">
        <v>453</v>
      </c>
      <c r="D34" s="39" t="s">
        <v>517</v>
      </c>
      <c r="E34" s="42" t="s">
        <v>518</v>
      </c>
      <c r="F34" s="46"/>
      <c r="G34" s="42" t="s">
        <v>519</v>
      </c>
      <c r="H34" s="40">
        <v>950</v>
      </c>
      <c r="I34" s="49"/>
      <c r="J34" s="40"/>
      <c r="K34" s="40"/>
      <c r="L34" s="40"/>
      <c r="M34" s="40"/>
      <c r="N34" s="49">
        <f t="shared" si="9"/>
      </c>
      <c r="O34" s="49"/>
      <c r="P34" s="41">
        <f t="shared" si="2"/>
      </c>
      <c r="Q34" s="49"/>
      <c r="R34" s="49"/>
      <c r="S34" s="49"/>
      <c r="T34" s="49"/>
      <c r="U34" s="49"/>
      <c r="V34" s="49"/>
      <c r="W34" s="49"/>
      <c r="X34" s="49"/>
      <c r="Y34" s="49"/>
      <c r="Z34" s="49"/>
      <c r="AA34" s="49"/>
      <c r="AB34" s="49"/>
    </row>
    <row r="35">
      <c r="A35" s="37">
        <v>46128</v>
      </c>
      <c r="B35" s="38">
        <f t="shared" si="0"/>
      </c>
      <c r="C35" s="49" t="s">
        <v>382</v>
      </c>
      <c r="D35" s="39" t="s">
        <v>520</v>
      </c>
      <c r="E35" s="42" t="s">
        <v>521</v>
      </c>
      <c r="F35" s="46" t="s">
        <v>494</v>
      </c>
      <c r="G35" s="42" t="s">
        <v>522</v>
      </c>
      <c r="H35" s="40">
        <v>2031</v>
      </c>
      <c r="I35" s="49">
        <f>'详细数据'!AC164</f>
      </c>
      <c r="J35" s="40">
        <v>970</v>
      </c>
      <c r="K35" s="40">
        <v>280</v>
      </c>
      <c r="L35" s="40">
        <v>171</v>
      </c>
      <c r="M35" s="40">
        <v>1006</v>
      </c>
      <c r="N35" s="49">
        <f t="shared" si="9"/>
      </c>
      <c r="O35" s="49">
        <f>'详细数据'!J164</f>
      </c>
      <c r="P35" s="41">
        <f t="shared" si="2"/>
      </c>
      <c r="Q35" s="49" t="s">
        <v>393</v>
      </c>
      <c r="R35" s="49" t="s">
        <v>516</v>
      </c>
      <c r="S35" s="49"/>
      <c r="T35">
        <f>IF(N35="","",IF(N35&gt;=500000,"S 级",IF(N35&gt;=100000,"A 级",IF(N35&gt;=50000,"B 级","C 级"))))</f>
      </c>
      <c r="U35" s="49"/>
      <c r="V35" s="49"/>
      <c r="W35" s="49"/>
      <c r="X35" s="49"/>
      <c r="Y35" s="49"/>
      <c r="Z35" s="49"/>
      <c r="AA35" s="49"/>
      <c r="AB35" s="49"/>
    </row>
    <row r="36">
      <c r="A36" s="37">
        <v>46127</v>
      </c>
      <c r="B36" s="38">
        <f t="shared" si="0"/>
      </c>
      <c r="C36" s="49" t="s">
        <v>453</v>
      </c>
      <c r="D36" s="39" t="s">
        <v>523</v>
      </c>
      <c r="E36" s="42" t="s">
        <v>524</v>
      </c>
      <c r="F36" s="46"/>
      <c r="G36" s="42" t="s">
        <v>525</v>
      </c>
      <c r="H36" s="40">
        <v>2636</v>
      </c>
      <c r="I36" s="49"/>
      <c r="J36" s="40"/>
      <c r="K36" s="40"/>
      <c r="L36" s="40"/>
      <c r="M36" s="40"/>
      <c r="N36" s="49">
        <f t="shared" si="9"/>
      </c>
      <c r="O36" s="49"/>
      <c r="P36" s="41">
        <f t="shared" si="2"/>
      </c>
      <c r="Q36" s="49"/>
      <c r="R36" s="49"/>
      <c r="S36" s="49"/>
      <c r="T36" s="49"/>
      <c r="U36" s="49"/>
      <c r="V36" s="49"/>
      <c r="W36" s="49"/>
      <c r="X36" s="49"/>
      <c r="Y36" s="49"/>
      <c r="Z36" s="49"/>
      <c r="AA36" s="49"/>
      <c r="AB36" s="49"/>
    </row>
    <row r="37">
      <c r="A37" s="50">
        <v>46132</v>
      </c>
      <c r="B37" s="38">
        <f t="shared" si="0"/>
      </c>
      <c r="C37" s="49" t="s">
        <v>382</v>
      </c>
      <c r="D37" s="42" t="s">
        <v>526</v>
      </c>
      <c r="E37" s="42" t="s">
        <v>527</v>
      </c>
      <c r="F37" s="46" t="s">
        <v>528</v>
      </c>
      <c r="G37" t="s">
        <v>529</v>
      </c>
      <c r="H37" s="40">
        <v>82</v>
      </c>
      <c r="I37">
        <f>'详细数据'!AC174</f>
      </c>
      <c r="J37" s="40">
        <v>1266</v>
      </c>
      <c r="K37" s="40">
        <v>47</v>
      </c>
      <c r="L37" s="40">
        <v>53</v>
      </c>
      <c r="M37" s="40">
        <v>95</v>
      </c>
      <c r="N37" s="49">
        <f t="shared" si="9"/>
      </c>
      <c r="O37">
        <f>'详细数据'!J174</f>
      </c>
      <c r="P37" s="41">
        <f t="shared" si="2"/>
      </c>
      <c r="Q37" t="s">
        <v>387</v>
      </c>
      <c r="R37" t="s">
        <v>462</v>
      </c>
      <c r="T37">
        <f t="shared" ref="T37:T44" si="6">IF(N37="","",IF(N37&gt;=500000,"S 级",IF(N37&gt;=100000,"A 级",IF(N37&gt;=50000,"B 级","C 级"))))</f>
      </c>
    </row>
    <row r="38">
      <c r="A38" s="50">
        <v>46133</v>
      </c>
      <c r="B38" s="38">
        <f t="shared" si="0"/>
      </c>
      <c r="C38" s="49" t="s">
        <v>382</v>
      </c>
      <c r="D38" s="42" t="s">
        <v>530</v>
      </c>
      <c r="E38" s="42" t="s">
        <v>531</v>
      </c>
      <c r="F38" s="46" t="s">
        <v>528</v>
      </c>
      <c r="G38" t="s">
        <v>532</v>
      </c>
      <c r="H38" s="40">
        <v>101</v>
      </c>
      <c r="I38">
        <f>'详细数据'!AC173</f>
      </c>
      <c r="J38" s="40">
        <v>330</v>
      </c>
      <c r="K38" s="40">
        <v>42</v>
      </c>
      <c r="L38" s="40">
        <v>73</v>
      </c>
      <c r="M38" s="40">
        <v>4</v>
      </c>
      <c r="N38" s="49">
        <f t="shared" si="9"/>
      </c>
      <c r="O38">
        <f>'详细数据'!J173</f>
      </c>
      <c r="P38" s="41">
        <f t="shared" si="2"/>
      </c>
      <c r="Q38" t="s">
        <v>475</v>
      </c>
      <c r="R38" t="s">
        <v>475</v>
      </c>
      <c r="T38">
        <f t="shared" si="6"/>
      </c>
    </row>
    <row r="39">
      <c r="A39" s="50">
        <v>46133</v>
      </c>
      <c r="B39" s="38">
        <f t="shared" si="0"/>
      </c>
      <c r="C39" s="49" t="s">
        <v>382</v>
      </c>
      <c r="D39" s="42" t="s">
        <v>533</v>
      </c>
      <c r="E39" s="42" t="s">
        <v>534</v>
      </c>
      <c r="F39" s="46" t="s">
        <v>528</v>
      </c>
      <c r="G39" t="s">
        <v>535</v>
      </c>
      <c r="H39" s="40">
        <v>112</v>
      </c>
      <c r="I39">
        <f>'详细数据'!AC172</f>
      </c>
      <c r="J39" s="40">
        <v>685</v>
      </c>
      <c r="K39" s="40">
        <v>40</v>
      </c>
      <c r="L39" s="40">
        <v>60</v>
      </c>
      <c r="M39" s="40">
        <v>179</v>
      </c>
      <c r="N39" s="49">
        <f t="shared" si="9"/>
      </c>
      <c r="O39">
        <f>'详细数据'!J172</f>
      </c>
      <c r="P39" s="41">
        <f t="shared" si="2"/>
      </c>
      <c r="Q39" t="s">
        <v>422</v>
      </c>
      <c r="R39" t="s">
        <v>536</v>
      </c>
      <c r="T39">
        <f t="shared" si="6"/>
      </c>
    </row>
    <row r="40">
      <c r="A40" s="50">
        <v>46133</v>
      </c>
      <c r="B40" s="38">
        <f t="shared" si="0"/>
      </c>
      <c r="C40" s="49" t="s">
        <v>382</v>
      </c>
      <c r="D40" s="39" t="s">
        <v>537</v>
      </c>
      <c r="E40" s="42" t="s">
        <v>538</v>
      </c>
      <c r="F40" s="46" t="s">
        <v>539</v>
      </c>
      <c r="G40" t="s">
        <v>540</v>
      </c>
      <c r="H40" s="40">
        <v>83</v>
      </c>
      <c r="I40">
        <f>'详细数据'!AC178</f>
      </c>
      <c r="J40" s="40">
        <v>1552</v>
      </c>
      <c r="K40" s="40">
        <v>63</v>
      </c>
      <c r="L40" s="40">
        <v>60</v>
      </c>
      <c r="M40" s="40">
        <v>10</v>
      </c>
      <c r="N40" s="49">
        <f t="shared" si="9"/>
      </c>
      <c r="O40">
        <f>'详细数据'!J178</f>
      </c>
      <c r="P40" s="41">
        <f t="shared" si="2"/>
      </c>
      <c r="Q40" t="s">
        <v>403</v>
      </c>
      <c r="R40" t="s">
        <v>404</v>
      </c>
      <c r="T40">
        <f t="shared" si="6"/>
      </c>
    </row>
    <row r="41">
      <c r="A41" s="50">
        <v>46133</v>
      </c>
      <c r="B41" s="38">
        <f t="shared" si="0"/>
      </c>
      <c r="C41" s="49" t="s">
        <v>382</v>
      </c>
      <c r="D41" s="42" t="s">
        <v>541</v>
      </c>
      <c r="E41" s="42" t="s">
        <v>542</v>
      </c>
      <c r="F41" s="46" t="s">
        <v>539</v>
      </c>
      <c r="G41" t="s">
        <v>543</v>
      </c>
      <c r="H41" s="40">
        <v>80</v>
      </c>
      <c r="I41">
        <f>'详细数据'!AC177</f>
      </c>
      <c r="J41" s="40">
        <v>2401</v>
      </c>
      <c r="K41" s="40">
        <v>53</v>
      </c>
      <c r="L41" s="40">
        <v>26</v>
      </c>
      <c r="M41" s="40">
        <v>11</v>
      </c>
      <c r="N41" s="49">
        <f t="shared" si="9"/>
      </c>
      <c r="O41">
        <f>'详细数据'!J177</f>
      </c>
      <c r="P41" s="41">
        <f t="shared" si="2"/>
      </c>
      <c r="Q41" t="s">
        <v>387</v>
      </c>
      <c r="R41" t="s">
        <v>388</v>
      </c>
      <c r="T41">
        <f t="shared" si="6"/>
      </c>
    </row>
    <row r="42">
      <c r="A42" s="50">
        <v>46134</v>
      </c>
      <c r="B42" s="38">
        <f t="shared" si="0"/>
      </c>
      <c r="C42" s="49" t="s">
        <v>382</v>
      </c>
      <c r="D42" s="42" t="s">
        <v>544</v>
      </c>
      <c r="E42" s="42" t="s">
        <v>545</v>
      </c>
      <c r="F42" s="46" t="s">
        <v>539</v>
      </c>
      <c r="G42" t="s">
        <v>546</v>
      </c>
      <c r="H42" s="40">
        <v>505</v>
      </c>
      <c r="I42">
        <f>'详细数据'!AC176</f>
      </c>
      <c r="J42" s="40">
        <v>1072</v>
      </c>
      <c r="K42" s="40">
        <v>39</v>
      </c>
      <c r="L42" s="40">
        <v>726</v>
      </c>
      <c r="M42" s="40">
        <v>26</v>
      </c>
      <c r="N42" s="49">
        <f t="shared" si="9"/>
      </c>
      <c r="O42">
        <f>'详细数据'!J176</f>
      </c>
      <c r="P42" s="41">
        <f t="shared" si="2"/>
      </c>
      <c r="Q42" t="s">
        <v>393</v>
      </c>
      <c r="R42" t="s">
        <v>394</v>
      </c>
      <c r="T42">
        <f t="shared" si="6"/>
      </c>
    </row>
    <row r="43">
      <c r="A43" s="50">
        <v>46133</v>
      </c>
      <c r="B43" s="38">
        <f t="shared" si="0"/>
      </c>
      <c r="C43" t="s">
        <v>424</v>
      </c>
      <c r="D43" s="42" t="s">
        <v>547</v>
      </c>
      <c r="E43" s="42" t="s">
        <v>548</v>
      </c>
      <c r="F43" s="46" t="s">
        <v>539</v>
      </c>
      <c r="G43" t="s">
        <v>549</v>
      </c>
      <c r="H43" s="40">
        <v>85</v>
      </c>
      <c r="I43">
        <f>'详细数据'!AC175</f>
      </c>
      <c r="J43" s="40">
        <v>1037</v>
      </c>
      <c r="K43" s="40">
        <v>29</v>
      </c>
      <c r="L43" s="40">
        <v>42</v>
      </c>
      <c r="M43" s="40">
        <v>11</v>
      </c>
      <c r="N43" s="49">
        <f t="shared" si="9"/>
      </c>
      <c r="O43">
        <f>'详细数据'!J175</f>
      </c>
      <c r="P43" s="41">
        <f t="shared" si="2"/>
      </c>
      <c r="Q43" t="s">
        <v>387</v>
      </c>
      <c r="R43" t="s">
        <v>429</v>
      </c>
      <c r="T43">
        <f t="shared" si="6"/>
      </c>
    </row>
    <row r="44">
      <c r="A44" s="50">
        <v>46135</v>
      </c>
      <c r="B44" s="38">
        <f t="shared" si="0"/>
      </c>
      <c r="C44" s="49" t="s">
        <v>382</v>
      </c>
      <c r="D44" s="42" t="s">
        <v>550</v>
      </c>
      <c r="E44" s="42" t="s">
        <v>551</v>
      </c>
      <c r="F44" s="46" t="s">
        <v>552</v>
      </c>
      <c r="G44" t="s">
        <v>553</v>
      </c>
      <c r="H44" s="40">
        <v>99</v>
      </c>
      <c r="I44">
        <f>'详细数据'!AC180</f>
      </c>
      <c r="J44" s="40">
        <v>200</v>
      </c>
      <c r="K44" s="40">
        <v>10</v>
      </c>
      <c r="L44" s="40">
        <v>71</v>
      </c>
      <c r="M44" s="40">
        <v>0</v>
      </c>
      <c r="N44" s="49">
        <f t="shared" si="9"/>
      </c>
      <c r="O44">
        <f>'详细数据'!J180</f>
      </c>
      <c r="P44" s="41">
        <f t="shared" si="2"/>
      </c>
      <c r="Q44" t="s">
        <v>387</v>
      </c>
      <c r="R44" t="s">
        <v>496</v>
      </c>
      <c r="T44">
        <f t="shared" si="6"/>
      </c>
    </row>
    <row r="45">
      <c r="A45" s="50">
        <v>46135</v>
      </c>
      <c r="B45" s="38">
        <f t="shared" si="0"/>
      </c>
      <c r="C45" s="49" t="s">
        <v>453</v>
      </c>
      <c r="D45" s="42" t="s">
        <v>554</v>
      </c>
      <c r="E45" s="42" t="s">
        <v>555</v>
      </c>
      <c r="F45" s="36"/>
      <c r="G45" t="s">
        <v>556</v>
      </c>
      <c r="H45" s="40">
        <v>845</v>
      </c>
      <c r="N45" s="40"/>
      <c r="P45" s="44"/>
    </row>
    <row r="46">
      <c r="A46" s="50">
        <v>46135</v>
      </c>
      <c r="B46" s="38">
        <f t="shared" si="0"/>
      </c>
      <c r="C46" s="49" t="s">
        <v>453</v>
      </c>
      <c r="D46" s="42" t="s">
        <v>557</v>
      </c>
      <c r="E46" s="42" t="s">
        <v>558</v>
      </c>
      <c r="F46" s="46"/>
      <c r="G46" t="s">
        <v>559</v>
      </c>
      <c r="H46" s="40">
        <v>122</v>
      </c>
      <c r="N46" s="40"/>
      <c r="P46" s="44"/>
    </row>
    <row r="47">
      <c r="A47" s="50">
        <v>46138</v>
      </c>
      <c r="B47" s="38">
        <f t="shared" si="0"/>
      </c>
      <c r="C47" s="49" t="s">
        <v>453</v>
      </c>
      <c r="D47" s="42" t="s">
        <v>560</v>
      </c>
      <c r="E47" s="42" t="s">
        <v>561</v>
      </c>
      <c r="F47" s="46"/>
      <c r="G47" t="s">
        <v>562</v>
      </c>
      <c r="H47" s="40">
        <v>109</v>
      </c>
      <c r="N47" s="40"/>
      <c r="P47" s="44"/>
    </row>
    <row r="48">
      <c r="A48" s="50">
        <v>46138</v>
      </c>
      <c r="B48" s="38">
        <f t="shared" si="0"/>
      </c>
      <c r="C48" s="49" t="s">
        <v>382</v>
      </c>
      <c r="D48" s="39" t="s">
        <v>563</v>
      </c>
      <c r="E48" s="42" t="s">
        <v>564</v>
      </c>
      <c r="F48" s="48" t="s">
        <v>565</v>
      </c>
      <c r="G48" t="s">
        <v>566</v>
      </c>
      <c r="H48" s="40">
        <v>672</v>
      </c>
      <c r="I48">
        <f>'详细数据'!AC186</f>
      </c>
      <c r="J48" s="40">
        <v>2681</v>
      </c>
      <c r="K48" s="40">
        <v>53</v>
      </c>
      <c r="L48" s="40">
        <v>50</v>
      </c>
      <c r="M48" s="40">
        <v>25</v>
      </c>
      <c r="N48" s="49">
        <f t="shared" ref="N48:N63" si="10">SUM(J48:M48)</f>
      </c>
      <c r="O48" s="49">
        <f>'详细数据'!J186</f>
      </c>
      <c r="P48" s="41">
        <f t="shared" ref="P48:P63" si="3">O48/N48</f>
      </c>
      <c r="Q48" t="s">
        <v>393</v>
      </c>
      <c r="R48" t="s">
        <v>394</v>
      </c>
      <c r="T48">
        <f t="shared" ref="T48:T63" si="7">IF(N48="","",IF(N48&gt;=500000,"S 级",IF(N48&gt;=100000,"A 级",IF(N48&gt;=50000,"B 级","C 级"))))</f>
      </c>
    </row>
    <row r="49">
      <c r="A49" s="50">
        <v>46137</v>
      </c>
      <c r="B49" s="38">
        <f t="shared" si="0"/>
      </c>
      <c r="C49" t="s">
        <v>382</v>
      </c>
      <c r="D49" s="39" t="s">
        <v>567</v>
      </c>
      <c r="E49" s="42" t="s">
        <v>568</v>
      </c>
      <c r="F49" s="48" t="s">
        <v>569</v>
      </c>
      <c r="G49" t="s">
        <v>570</v>
      </c>
      <c r="H49" s="40">
        <v>523</v>
      </c>
      <c r="I49">
        <f>'详细数据'!AC185+'详细数据'!AC187</f>
      </c>
      <c r="J49" s="40">
        <v>13000</v>
      </c>
      <c r="K49" s="40">
        <v>51</v>
      </c>
      <c r="L49" s="40">
        <v>62</v>
      </c>
      <c r="M49" s="40">
        <v>95</v>
      </c>
      <c r="N49" s="49">
        <f t="shared" si="10"/>
      </c>
      <c r="O49">
        <f>'详细数据'!J185+'详细数据'!J187</f>
      </c>
      <c r="P49" s="51">
        <f t="shared" si="3"/>
      </c>
      <c r="Q49" t="s">
        <v>387</v>
      </c>
      <c r="R49" t="s">
        <v>470</v>
      </c>
      <c r="T49">
        <f t="shared" si="7"/>
      </c>
    </row>
    <row r="50">
      <c r="A50" s="50">
        <v>46137</v>
      </c>
      <c r="B50" s="38">
        <f t="shared" si="0"/>
      </c>
      <c r="C50" s="49" t="s">
        <v>382</v>
      </c>
      <c r="D50" s="39" t="s">
        <v>571</v>
      </c>
      <c r="E50" s="39" t="s">
        <v>572</v>
      </c>
      <c r="F50" s="46" t="s">
        <v>565</v>
      </c>
      <c r="G50" t="s">
        <v>573</v>
      </c>
      <c r="H50" s="40">
        <v>138</v>
      </c>
      <c r="I50">
        <f>'详细数据'!AC184</f>
      </c>
      <c r="J50" s="40">
        <v>812</v>
      </c>
      <c r="K50" s="40">
        <v>27</v>
      </c>
      <c r="L50" s="40">
        <v>25</v>
      </c>
      <c r="M50" s="40">
        <v>5</v>
      </c>
      <c r="N50" s="49">
        <f t="shared" si="10"/>
      </c>
      <c r="O50" s="49">
        <f>'详细数据'!J184</f>
      </c>
      <c r="P50" s="41">
        <f t="shared" si="3"/>
      </c>
      <c r="Q50" t="s">
        <v>387</v>
      </c>
      <c r="R50" t="s">
        <v>388</v>
      </c>
      <c r="T50">
        <f t="shared" si="7"/>
      </c>
    </row>
    <row r="51">
      <c r="A51" s="50">
        <v>46137</v>
      </c>
      <c r="B51" s="38">
        <f t="shared" si="0"/>
      </c>
      <c r="C51" s="49" t="s">
        <v>382</v>
      </c>
      <c r="D51" s="42" t="s">
        <v>574</v>
      </c>
      <c r="E51" s="42" t="s">
        <v>575</v>
      </c>
      <c r="F51" s="46" t="s">
        <v>565</v>
      </c>
      <c r="G51" t="s">
        <v>576</v>
      </c>
      <c r="H51" s="40">
        <v>151</v>
      </c>
      <c r="I51">
        <f>'详细数据'!AC183</f>
      </c>
      <c r="J51" s="40">
        <v>1279</v>
      </c>
      <c r="K51" s="40">
        <v>58</v>
      </c>
      <c r="L51" s="40">
        <v>53</v>
      </c>
      <c r="M51" s="40">
        <v>2</v>
      </c>
      <c r="N51" s="49">
        <f t="shared" si="10"/>
      </c>
      <c r="O51" s="49">
        <f>'详细数据'!J183</f>
      </c>
      <c r="P51" s="41">
        <f t="shared" si="3"/>
      </c>
      <c r="Q51" t="s">
        <v>387</v>
      </c>
      <c r="R51" t="s">
        <v>429</v>
      </c>
      <c r="T51">
        <f t="shared" si="7"/>
      </c>
    </row>
    <row r="52">
      <c r="A52" s="50">
        <v>46135</v>
      </c>
      <c r="B52" s="38">
        <f t="shared" si="0"/>
      </c>
      <c r="C52" s="49" t="s">
        <v>382</v>
      </c>
      <c r="D52" s="42" t="s">
        <v>577</v>
      </c>
      <c r="E52" s="42" t="s">
        <v>578</v>
      </c>
      <c r="F52" s="46" t="s">
        <v>565</v>
      </c>
      <c r="G52" t="s">
        <v>579</v>
      </c>
      <c r="H52" s="40">
        <v>117</v>
      </c>
      <c r="I52">
        <f>'详细数据'!AC182</f>
      </c>
      <c r="J52" s="40">
        <v>644</v>
      </c>
      <c r="K52" s="40">
        <v>50</v>
      </c>
      <c r="L52" s="40">
        <v>22</v>
      </c>
      <c r="M52" s="40">
        <v>123</v>
      </c>
      <c r="N52" s="49">
        <f t="shared" si="10"/>
      </c>
      <c r="O52" s="49">
        <f>'详细数据'!J182</f>
      </c>
      <c r="P52" s="41">
        <f t="shared" si="3"/>
      </c>
      <c r="Q52" t="s">
        <v>393</v>
      </c>
      <c r="R52" t="s">
        <v>416</v>
      </c>
      <c r="T52">
        <f t="shared" si="7"/>
      </c>
    </row>
    <row r="53">
      <c r="A53" s="50">
        <v>46135</v>
      </c>
      <c r="B53" s="38">
        <f t="shared" si="0"/>
      </c>
      <c r="C53" s="49" t="s">
        <v>382</v>
      </c>
      <c r="D53" s="39" t="s">
        <v>580</v>
      </c>
      <c r="E53" s="42" t="s">
        <v>581</v>
      </c>
      <c r="F53" s="46" t="s">
        <v>565</v>
      </c>
      <c r="G53" t="s">
        <v>582</v>
      </c>
      <c r="H53" s="40">
        <v>2594</v>
      </c>
      <c r="I53">
        <f>'详细数据'!AC181</f>
      </c>
      <c r="J53" s="40">
        <v>2420</v>
      </c>
      <c r="K53" s="40">
        <v>92</v>
      </c>
      <c r="L53" s="40">
        <v>346</v>
      </c>
      <c r="M53" s="40">
        <v>1201</v>
      </c>
      <c r="N53" s="49">
        <f t="shared" si="10"/>
      </c>
      <c r="O53">
        <f>'详细数据'!J181</f>
      </c>
      <c r="P53" s="41">
        <f t="shared" si="3"/>
      </c>
      <c r="Q53" t="s">
        <v>393</v>
      </c>
      <c r="R53" t="s">
        <v>416</v>
      </c>
      <c r="T53">
        <f t="shared" si="7"/>
      </c>
    </row>
    <row r="54">
      <c r="A54" s="50">
        <v>46139</v>
      </c>
      <c r="B54" s="38">
        <f t="shared" si="0"/>
      </c>
      <c r="C54" t="s">
        <v>382</v>
      </c>
      <c r="D54" s="39" t="s">
        <v>583</v>
      </c>
      <c r="E54" s="42" t="s">
        <v>584</v>
      </c>
      <c r="F54" s="46" t="s">
        <v>585</v>
      </c>
      <c r="G54" s="42" t="s">
        <v>586</v>
      </c>
      <c r="H54" s="40">
        <v>75</v>
      </c>
      <c r="I54">
        <f>'详细数据'!AC188</f>
      </c>
      <c r="J54" s="40">
        <v>402</v>
      </c>
      <c r="K54" s="40">
        <v>11</v>
      </c>
      <c r="L54" s="40">
        <v>16</v>
      </c>
      <c r="M54" s="40">
        <v>0</v>
      </c>
      <c r="N54" s="49">
        <f t="shared" si="10"/>
      </c>
      <c r="O54">
        <f>'详细数据'!J188</f>
      </c>
      <c r="P54" s="41">
        <f t="shared" si="3"/>
      </c>
      <c r="Q54" t="s">
        <v>422</v>
      </c>
      <c r="R54" t="s">
        <v>587</v>
      </c>
      <c r="T54">
        <f t="shared" si="7"/>
      </c>
    </row>
    <row r="55">
      <c r="A55" s="50">
        <v>46140</v>
      </c>
      <c r="B55" s="38">
        <f t="shared" si="0"/>
      </c>
      <c r="C55" t="s">
        <v>382</v>
      </c>
      <c r="D55" s="42" t="s">
        <v>588</v>
      </c>
      <c r="E55" s="42" t="s">
        <v>589</v>
      </c>
      <c r="F55" s="46" t="s">
        <v>590</v>
      </c>
      <c r="G55" t="s">
        <v>591</v>
      </c>
      <c r="H55" s="40">
        <v>810</v>
      </c>
      <c r="I55">
        <f>'详细数据'!AC192</f>
      </c>
      <c r="J55" s="40">
        <v>2258</v>
      </c>
      <c r="K55" s="40">
        <v>64</v>
      </c>
      <c r="L55" s="40">
        <v>667</v>
      </c>
      <c r="M55" s="40">
        <v>118</v>
      </c>
      <c r="N55" s="49">
        <f t="shared" si="10"/>
      </c>
      <c r="O55">
        <f>'详细数据'!J192</f>
      </c>
      <c r="P55" s="41">
        <f t="shared" si="3"/>
      </c>
      <c r="Q55" t="s">
        <v>387</v>
      </c>
      <c r="R55" t="s">
        <v>429</v>
      </c>
      <c r="T55">
        <f t="shared" si="7"/>
      </c>
    </row>
    <row r="56">
      <c r="A56" s="50">
        <v>46140</v>
      </c>
      <c r="B56" s="38">
        <f t="shared" si="0"/>
      </c>
      <c r="C56" t="s">
        <v>382</v>
      </c>
      <c r="D56" s="42" t="s">
        <v>592</v>
      </c>
      <c r="E56" s="42" t="s">
        <v>593</v>
      </c>
      <c r="F56" s="46" t="s">
        <v>594</v>
      </c>
      <c r="G56" t="s">
        <v>595</v>
      </c>
      <c r="H56" s="40">
        <v>1251</v>
      </c>
      <c r="I56">
        <f>'详细数据'!AC191</f>
      </c>
      <c r="J56" s="40">
        <v>3228</v>
      </c>
      <c r="K56" s="40">
        <v>231</v>
      </c>
      <c r="L56" s="40">
        <v>175</v>
      </c>
      <c r="M56" s="40">
        <v>38</v>
      </c>
      <c r="N56" s="49">
        <f t="shared" si="10"/>
      </c>
      <c r="O56">
        <f>'详细数据'!J191</f>
      </c>
      <c r="P56" s="41">
        <f t="shared" si="3"/>
      </c>
      <c r="Q56" t="s">
        <v>475</v>
      </c>
      <c r="R56" t="s">
        <v>475</v>
      </c>
      <c r="T56">
        <f t="shared" si="7"/>
      </c>
    </row>
    <row r="57">
      <c r="A57" s="50">
        <v>46138</v>
      </c>
      <c r="B57" s="38">
        <f t="shared" si="0"/>
      </c>
      <c r="C57" t="s">
        <v>382</v>
      </c>
      <c r="D57" s="42" t="s">
        <v>596</v>
      </c>
      <c r="E57" s="42" t="s">
        <v>597</v>
      </c>
      <c r="F57" s="46" t="s">
        <v>598</v>
      </c>
      <c r="G57" t="s">
        <v>599</v>
      </c>
      <c r="H57" s="40">
        <v>81</v>
      </c>
      <c r="I57">
        <f>'详细数据'!AC190</f>
      </c>
      <c r="J57" s="40">
        <v>326</v>
      </c>
      <c r="K57" s="40">
        <v>13</v>
      </c>
      <c r="L57" s="40">
        <v>76</v>
      </c>
      <c r="M57" s="40">
        <v>0</v>
      </c>
      <c r="N57" s="49">
        <f t="shared" si="10"/>
      </c>
      <c r="O57">
        <f>'详细数据'!J190</f>
      </c>
      <c r="P57" s="41">
        <f t="shared" si="3"/>
      </c>
      <c r="Q57" t="s">
        <v>403</v>
      </c>
      <c r="R57" t="s">
        <v>404</v>
      </c>
      <c r="T57">
        <f t="shared" si="7"/>
      </c>
    </row>
    <row r="58">
      <c r="A58" s="50">
        <v>46138</v>
      </c>
      <c r="B58" s="38">
        <f t="shared" si="0"/>
      </c>
      <c r="C58" t="s">
        <v>382</v>
      </c>
      <c r="D58" s="42" t="s">
        <v>600</v>
      </c>
      <c r="E58" s="39" t="s">
        <v>601</v>
      </c>
      <c r="F58" s="46" t="s">
        <v>602</v>
      </c>
      <c r="G58" t="s">
        <v>603</v>
      </c>
      <c r="H58" s="40">
        <v>71</v>
      </c>
      <c r="I58">
        <f>'详细数据'!AC189</f>
      </c>
      <c r="J58" s="40">
        <v>361</v>
      </c>
      <c r="K58" s="40">
        <v>13</v>
      </c>
      <c r="L58" s="40">
        <v>17</v>
      </c>
      <c r="M58" s="40">
        <v>0</v>
      </c>
      <c r="N58" s="49">
        <f t="shared" si="10"/>
      </c>
      <c r="O58">
        <f>'详细数据'!J189</f>
      </c>
      <c r="P58" s="41">
        <f t="shared" si="3"/>
      </c>
      <c r="Q58" t="s">
        <v>403</v>
      </c>
      <c r="R58" t="s">
        <v>404</v>
      </c>
      <c r="T58">
        <f t="shared" si="7"/>
      </c>
    </row>
    <row r="59">
      <c r="A59" s="50">
        <v>46141</v>
      </c>
      <c r="B59" s="38">
        <f t="shared" si="0"/>
      </c>
      <c r="C59" t="s">
        <v>382</v>
      </c>
      <c r="D59" s="42" t="s">
        <v>604</v>
      </c>
      <c r="E59" s="42" t="s">
        <v>605</v>
      </c>
      <c r="F59" s="46" t="s">
        <v>606</v>
      </c>
      <c r="G59" s="40" t="s">
        <v>607</v>
      </c>
      <c r="H59" s="40">
        <v>125</v>
      </c>
      <c r="I59">
        <f>'详细数据'!AC197</f>
      </c>
      <c r="J59" s="40">
        <v>2878</v>
      </c>
      <c r="K59" s="40">
        <v>48</v>
      </c>
      <c r="L59" s="40">
        <v>11</v>
      </c>
      <c r="M59" s="40">
        <v>32</v>
      </c>
      <c r="N59" s="49">
        <f t="shared" si="10"/>
      </c>
      <c r="O59">
        <f>'详细数据'!J197</f>
      </c>
      <c r="P59" s="41">
        <f t="shared" si="3"/>
      </c>
      <c r="Q59" t="s">
        <v>422</v>
      </c>
      <c r="R59" t="s">
        <v>423</v>
      </c>
      <c r="T59">
        <f t="shared" si="7"/>
      </c>
    </row>
    <row r="60">
      <c r="A60" s="50">
        <v>46141</v>
      </c>
      <c r="B60" s="38">
        <f t="shared" si="0"/>
      </c>
      <c r="C60" t="s">
        <v>382</v>
      </c>
      <c r="D60" s="42" t="s">
        <v>608</v>
      </c>
      <c r="E60" s="42" t="s">
        <v>609</v>
      </c>
      <c r="F60" s="46" t="s">
        <v>606</v>
      </c>
      <c r="G60" t="s">
        <v>610</v>
      </c>
      <c r="H60" s="40">
        <v>1523</v>
      </c>
      <c r="I60">
        <f>'详细数据'!AC196</f>
      </c>
      <c r="J60" s="40">
        <v>2155</v>
      </c>
      <c r="K60" s="40">
        <v>201</v>
      </c>
      <c r="L60" s="40">
        <v>94</v>
      </c>
      <c r="M60" s="40">
        <v>1111</v>
      </c>
      <c r="N60" s="49">
        <f t="shared" si="10"/>
      </c>
      <c r="O60">
        <f>'详细数据'!J196</f>
      </c>
      <c r="P60" s="41">
        <f t="shared" si="3"/>
      </c>
      <c r="Q60" t="s">
        <v>422</v>
      </c>
      <c r="R60" t="s">
        <v>611</v>
      </c>
      <c r="T60">
        <f t="shared" si="7"/>
      </c>
    </row>
    <row r="61">
      <c r="A61" s="50">
        <v>46141</v>
      </c>
      <c r="B61" s="38">
        <f t="shared" si="0"/>
      </c>
      <c r="C61" t="s">
        <v>382</v>
      </c>
      <c r="D61" t="s">
        <v>612</v>
      </c>
      <c r="E61" s="42" t="s">
        <v>613</v>
      </c>
      <c r="F61" s="46" t="s">
        <v>606</v>
      </c>
      <c r="G61" t="s">
        <v>614</v>
      </c>
      <c r="H61" s="40">
        <v>198</v>
      </c>
      <c r="I61">
        <f>'详细数据'!AC195</f>
      </c>
      <c r="J61" s="40">
        <v>12000</v>
      </c>
      <c r="K61" s="40">
        <v>184</v>
      </c>
      <c r="L61" s="40">
        <v>309</v>
      </c>
      <c r="M61" s="40">
        <v>425</v>
      </c>
      <c r="N61" s="49">
        <f t="shared" si="10"/>
      </c>
      <c r="O61">
        <f>'详细数据'!J195</f>
      </c>
      <c r="P61" s="41">
        <f t="shared" si="3"/>
      </c>
      <c r="Q61" t="s">
        <v>393</v>
      </c>
      <c r="R61" t="s">
        <v>394</v>
      </c>
      <c r="T61">
        <f t="shared" si="7"/>
      </c>
    </row>
    <row r="62">
      <c r="A62" s="50">
        <v>46141</v>
      </c>
      <c r="B62" s="38">
        <f t="shared" si="0"/>
      </c>
      <c r="C62" t="s">
        <v>382</v>
      </c>
      <c r="D62" s="39" t="s">
        <v>615</v>
      </c>
      <c r="E62" s="42" t="s">
        <v>616</v>
      </c>
      <c r="F62" s="46" t="s">
        <v>606</v>
      </c>
      <c r="G62" t="s">
        <v>617</v>
      </c>
      <c r="H62" s="40">
        <v>79</v>
      </c>
      <c r="I62">
        <f>'详细数据'!AC193</f>
      </c>
      <c r="J62" s="40">
        <v>1132</v>
      </c>
      <c r="K62" s="40">
        <v>44</v>
      </c>
      <c r="L62" s="40">
        <v>31</v>
      </c>
      <c r="M62" s="40">
        <v>41</v>
      </c>
      <c r="N62" s="49">
        <f t="shared" si="10"/>
      </c>
      <c r="O62">
        <f>'详细数据'!J193</f>
      </c>
      <c r="P62" s="41">
        <f t="shared" si="3"/>
      </c>
      <c r="Q62" t="s">
        <v>403</v>
      </c>
      <c r="R62" t="s">
        <v>404</v>
      </c>
      <c r="T62">
        <f t="shared" si="7"/>
      </c>
    </row>
    <row r="63">
      <c r="A63" s="50">
        <v>46141</v>
      </c>
      <c r="B63" s="38">
        <f t="shared" si="0"/>
      </c>
      <c r="C63" t="s">
        <v>382</v>
      </c>
      <c r="D63" s="42" t="s">
        <v>618</v>
      </c>
      <c r="E63" s="42" t="s">
        <v>619</v>
      </c>
      <c r="F63" s="46" t="s">
        <v>606</v>
      </c>
      <c r="G63" t="s">
        <v>620</v>
      </c>
      <c r="H63" s="40">
        <v>75</v>
      </c>
      <c r="I63">
        <f>'详细数据'!AC194</f>
      </c>
      <c r="J63" s="40">
        <v>1978</v>
      </c>
      <c r="K63" s="40">
        <v>41</v>
      </c>
      <c r="L63" s="40">
        <v>58</v>
      </c>
      <c r="M63" s="40">
        <v>3</v>
      </c>
      <c r="N63" s="49">
        <f t="shared" si="10"/>
      </c>
      <c r="O63">
        <f>'详细数据'!J194</f>
      </c>
      <c r="P63" s="41">
        <f t="shared" si="3"/>
      </c>
      <c r="Q63" t="s">
        <v>387</v>
      </c>
      <c r="R63" t="s">
        <v>429</v>
      </c>
      <c r="T63">
        <f t="shared" si="7"/>
      </c>
    </row>
    <row r="64">
      <c r="A64" s="50"/>
      <c r="B64" s="38"/>
      <c r="D64" s="39"/>
      <c r="E64" s="42"/>
      <c r="F64" s="46"/>
      <c r="G64" s="42"/>
      <c r="H64" s="40"/>
      <c r="N64" s="40"/>
      <c r="P64" s="44"/>
    </row>
    <row r="65">
      <c r="A65" s="50"/>
      <c r="B65" s="38"/>
      <c r="D65" s="42"/>
      <c r="E65" s="42"/>
      <c r="F65" s="46"/>
      <c r="G65" s="42"/>
      <c r="H65" s="40"/>
      <c r="N65" s="40"/>
      <c r="P65" s="44"/>
    </row>
    <row r="66">
      <c r="A66" s="50"/>
      <c r="B66" s="38"/>
      <c r="D66" s="42"/>
      <c r="E66" s="42"/>
      <c r="F66" s="46"/>
      <c r="H66" s="40"/>
      <c r="N66" s="40"/>
      <c r="P66" s="44"/>
    </row>
    <row r="67">
      <c r="A67" s="50"/>
      <c r="B67" s="38"/>
      <c r="D67" s="39"/>
      <c r="E67" s="42"/>
      <c r="F67" s="46"/>
      <c r="G67" s="42"/>
      <c r="H67" s="40"/>
      <c r="N67" s="40"/>
      <c r="P67" s="44"/>
    </row>
    <row r="68">
      <c r="A68" s="50"/>
      <c r="B68" s="38"/>
      <c r="D68" s="42"/>
      <c r="E68" s="42"/>
      <c r="F68" s="46"/>
      <c r="G68" s="42"/>
      <c r="H68" s="40"/>
      <c r="N68" s="40"/>
      <c r="P68" s="44"/>
    </row>
    <row r="69">
      <c r="A69" s="50"/>
      <c r="B69" s="38"/>
      <c r="D69" s="42"/>
      <c r="E69" s="42"/>
      <c r="F69" s="48"/>
      <c r="G69" s="42"/>
      <c r="H69" s="40"/>
      <c r="N69" s="40"/>
      <c r="P69" s="44"/>
    </row>
    <row r="70">
      <c r="A70" s="50"/>
      <c r="B70" s="38"/>
      <c r="D70" s="42"/>
      <c r="E70" s="42"/>
      <c r="F70" s="48"/>
      <c r="G70" s="42"/>
      <c r="H70" s="40"/>
      <c r="N70" s="40"/>
      <c r="P70" s="44"/>
    </row>
    <row r="71">
      <c r="A71" s="50"/>
      <c r="B71" s="38"/>
      <c r="D71" s="42"/>
      <c r="E71" s="42"/>
      <c r="F71" s="40"/>
      <c r="G71" s="42"/>
      <c r="H71" s="40"/>
      <c r="N71" s="40"/>
      <c r="P71" s="44"/>
    </row>
    <row r="72">
      <c r="A72" s="50"/>
      <c r="B72" s="38"/>
      <c r="E72" s="42"/>
      <c r="F72" s="40"/>
      <c r="G72" s="42"/>
      <c r="H72" s="40"/>
      <c r="N72" s="40"/>
      <c r="P72" s="44"/>
    </row>
    <row r="73">
      <c r="A73" s="50"/>
      <c r="B73" s="52"/>
      <c r="D73" s="42"/>
      <c r="E73" s="42"/>
      <c r="F73" s="40"/>
      <c r="G73" s="42"/>
      <c r="H73" s="40"/>
      <c r="N73" s="40"/>
      <c r="P73" s="44"/>
    </row>
    <row r="74">
      <c r="A74" s="50"/>
      <c r="B74" s="52"/>
      <c r="D74" s="39"/>
      <c r="E74" s="42"/>
      <c r="F74" s="43"/>
      <c r="G74" s="42"/>
      <c r="H74" s="40"/>
      <c r="N74" s="40"/>
      <c r="P74" s="44"/>
    </row>
    <row r="75">
      <c r="A75" s="50"/>
      <c r="B75" s="52"/>
      <c r="D75" s="42"/>
      <c r="E75" s="42"/>
      <c r="F75" s="40"/>
      <c r="G75" s="42"/>
      <c r="H75" s="40"/>
      <c r="N75" s="40"/>
      <c r="P75" s="44"/>
    </row>
    <row r="76">
      <c r="A76" s="50"/>
      <c r="B76" s="52"/>
      <c r="D76" s="42"/>
      <c r="E76" s="42"/>
      <c r="F76" s="40"/>
      <c r="G76" s="42"/>
      <c r="H76" s="40"/>
      <c r="N76" s="40"/>
      <c r="P76" s="44"/>
    </row>
    <row r="77">
      <c r="A77" s="50"/>
      <c r="B77" s="52"/>
      <c r="D77" s="42"/>
      <c r="E77" s="42"/>
      <c r="F77" s="43"/>
      <c r="G77" s="42"/>
      <c r="H77" s="40"/>
      <c r="N77" s="40"/>
      <c r="P77" s="44"/>
      <c r="S77" s="40"/>
    </row>
    <row r="78">
      <c r="A78" s="50"/>
      <c r="B78" s="52"/>
      <c r="D78" s="42"/>
      <c r="E78" s="42"/>
      <c r="F78" s="43"/>
      <c r="G78" s="42"/>
      <c r="H78" s="40"/>
      <c r="N78" s="40"/>
      <c r="P78" s="44"/>
      <c r="S78" s="40"/>
    </row>
    <row r="79">
      <c r="A79" s="53"/>
      <c r="B79" s="52"/>
      <c r="E79" s="42"/>
      <c r="F79" s="43"/>
      <c r="G79" s="42"/>
      <c r="H79" s="40"/>
      <c r="N79" s="40"/>
      <c r="P79" s="44"/>
      <c r="S79" s="40"/>
    </row>
    <row r="80">
      <c r="A80" s="50"/>
      <c r="B80" s="52"/>
      <c r="D80" s="42"/>
      <c r="E80" s="42"/>
      <c r="F80" s="40"/>
      <c r="G80" s="42"/>
      <c r="H80" s="40"/>
      <c r="N80" s="40"/>
      <c r="P80" s="44"/>
    </row>
    <row r="81">
      <c r="A81" s="50"/>
      <c r="B81" s="52"/>
      <c r="D81" s="42"/>
      <c r="E81" s="42"/>
      <c r="F81" s="40"/>
      <c r="G81" s="42"/>
      <c r="H81" s="40"/>
      <c r="N81" s="40"/>
      <c r="P81" s="44"/>
    </row>
    <row r="82">
      <c r="A82" s="50"/>
      <c r="B82" s="52"/>
      <c r="E82" s="42"/>
      <c r="F82" s="40"/>
      <c r="G82" s="42"/>
      <c r="H82" s="40"/>
      <c r="N82" s="40"/>
      <c r="P82" s="44"/>
    </row>
    <row customHeight="true" ht="28" r="83">
      <c r="A83" s="50"/>
      <c r="B83" s="52"/>
      <c r="D83" s="42"/>
      <c r="E83" s="42"/>
      <c r="F83" s="43"/>
      <c r="G83" s="42"/>
      <c r="H83" s="40"/>
      <c r="N83" s="40"/>
      <c r="P83" s="44"/>
      <c r="S83" s="40"/>
    </row>
    <row r="84">
      <c r="A84" s="50"/>
      <c r="B84" s="52"/>
      <c r="D84" s="42"/>
      <c r="E84" s="42"/>
      <c r="F84" s="46"/>
      <c r="G84" s="42"/>
      <c r="H84" s="40"/>
      <c r="N84" s="40"/>
      <c r="P84" s="44"/>
    </row>
    <row r="85">
      <c r="A85" s="50"/>
      <c r="B85" s="52"/>
      <c r="D85" s="42"/>
      <c r="E85" s="42"/>
      <c r="F85" s="46"/>
      <c r="G85" s="42"/>
      <c r="H85" s="40"/>
      <c r="N85" s="40"/>
      <c r="P85" s="44"/>
    </row>
    <row r="86">
      <c r="A86" s="50"/>
      <c r="B86" s="52"/>
      <c r="D86" s="42"/>
      <c r="E86" s="42"/>
      <c r="F86" s="46"/>
      <c r="G86" s="42"/>
      <c r="H86" s="40"/>
      <c r="N86" s="40"/>
      <c r="P86" s="44"/>
    </row>
    <row r="87">
      <c r="A87" s="50"/>
      <c r="B87" s="52"/>
      <c r="D87" s="42"/>
      <c r="E87" s="42"/>
      <c r="G87" s="42"/>
      <c r="H87" s="40"/>
      <c r="P87" s="44"/>
    </row>
    <row r="88">
      <c r="A88" s="54"/>
      <c r="D88" s="42"/>
      <c r="E88" s="42"/>
      <c r="G88" s="42"/>
      <c r="P88" s="44"/>
    </row>
    <row r="89">
      <c r="A89" s="54"/>
      <c r="D89" s="42"/>
      <c r="E89" s="42"/>
      <c r="G89" s="42"/>
      <c r="P89" s="44"/>
    </row>
    <row r="90">
      <c r="A90" s="54"/>
      <c r="D90" s="42"/>
      <c r="E90" s="42"/>
      <c r="P90" s="44"/>
    </row>
    <row r="91">
      <c r="A91" s="54"/>
      <c r="D91" s="42"/>
      <c r="E91" s="42"/>
      <c r="G91" s="42"/>
      <c r="P91" s="44"/>
    </row>
    <row r="92">
      <c r="A92" s="54"/>
      <c r="D92" s="42"/>
      <c r="E92" s="42"/>
      <c r="G92" s="42"/>
      <c r="P92" s="44"/>
    </row>
    <row r="93">
      <c r="A93" s="54"/>
      <c r="D93" s="42"/>
      <c r="E93" s="42"/>
      <c r="G93" s="42"/>
      <c r="P93" s="44"/>
    </row>
    <row r="94">
      <c r="A94" s="54"/>
      <c r="D94" s="42"/>
      <c r="E94" s="42"/>
      <c r="G94" s="42"/>
      <c r="P94" s="44"/>
    </row>
    <row r="95">
      <c r="A95" s="54"/>
      <c r="D95" s="42"/>
      <c r="E95" s="42"/>
      <c r="G95" s="42"/>
      <c r="P95" s="44"/>
    </row>
    <row r="96">
      <c r="A96" s="54"/>
      <c r="D96" s="42"/>
      <c r="E96" s="42"/>
      <c r="G96" s="42"/>
      <c r="P96" s="44"/>
    </row>
    <row r="97">
      <c r="A97" s="54"/>
      <c r="D97" s="42"/>
      <c r="E97" s="42"/>
      <c r="G97" s="42"/>
      <c r="P97" s="44"/>
    </row>
    <row r="98">
      <c r="A98" s="54"/>
      <c r="D98" s="42"/>
      <c r="E98" s="42"/>
      <c r="G98" s="42"/>
      <c r="P98" s="44"/>
    </row>
    <row r="99">
      <c r="A99" s="54"/>
      <c r="D99" s="42"/>
      <c r="E99" s="42"/>
      <c r="G99" s="42"/>
      <c r="P99" s="44"/>
    </row>
    <row r="100">
      <c r="A100" s="54"/>
      <c r="D100" s="42"/>
      <c r="E100" s="42"/>
      <c r="G100" s="42"/>
      <c r="P100" s="44"/>
    </row>
    <row r="101">
      <c r="A101" s="54"/>
      <c r="D101" s="42"/>
      <c r="E101" s="42"/>
      <c r="G101" s="42"/>
      <c r="P101" s="44"/>
    </row>
    <row r="102">
      <c r="A102" s="54"/>
      <c r="D102" s="42"/>
      <c r="E102" s="42"/>
      <c r="G102" s="42"/>
      <c r="P102" s="44"/>
    </row>
    <row r="103">
      <c r="A103" s="54"/>
      <c r="D103" s="42"/>
      <c r="E103" s="42"/>
      <c r="G103" s="42"/>
      <c r="P103" s="44"/>
    </row>
    <row r="104">
      <c r="A104" s="54"/>
      <c r="D104" s="42"/>
      <c r="E104" s="42"/>
      <c r="G104" s="42"/>
      <c r="P104" s="44"/>
    </row>
    <row r="105">
      <c r="A105" s="54"/>
      <c r="D105" s="42"/>
      <c r="E105" s="42"/>
      <c r="G105" s="42"/>
      <c r="P105" s="44"/>
    </row>
    <row r="106">
      <c r="A106" s="54"/>
      <c r="D106" s="42"/>
      <c r="E106" s="42"/>
      <c r="G106" s="42"/>
      <c r="P106" s="44"/>
    </row>
    <row r="107">
      <c r="A107" s="54"/>
      <c r="D107" s="42"/>
      <c r="E107" s="42"/>
      <c r="G107" s="42"/>
      <c r="P107" s="44"/>
    </row>
    <row r="108">
      <c r="A108" s="54"/>
      <c r="D108" s="42"/>
      <c r="E108" s="42"/>
      <c r="G108" s="42"/>
      <c r="P108" s="44"/>
    </row>
    <row r="109">
      <c r="A109" s="54"/>
      <c r="D109" s="42"/>
      <c r="E109" s="42"/>
      <c r="G109" s="42"/>
      <c r="P109" s="44"/>
    </row>
    <row r="110">
      <c r="A110" s="54"/>
      <c r="D110" s="42"/>
      <c r="E110" s="42"/>
      <c r="G110" s="42"/>
      <c r="P110" s="44"/>
    </row>
    <row r="111">
      <c r="A111" s="54"/>
      <c r="D111" s="42"/>
      <c r="E111" s="42"/>
      <c r="G111" s="42"/>
      <c r="P111" s="44"/>
    </row>
    <row r="112">
      <c r="A112" s="54"/>
      <c r="D112" s="42"/>
      <c r="E112" s="42"/>
      <c r="G112" s="42"/>
      <c r="P112" s="44"/>
    </row>
    <row r="113">
      <c r="A113" s="54"/>
      <c r="D113" s="42"/>
      <c r="E113" s="42"/>
      <c r="G113" s="42"/>
      <c r="P113" s="44"/>
    </row>
    <row r="114">
      <c r="A114" s="54"/>
      <c r="D114" s="42"/>
      <c r="E114" s="42"/>
      <c r="G114" s="42"/>
      <c r="P114" s="44"/>
    </row>
    <row r="115">
      <c r="A115" s="54"/>
      <c r="D115" s="42"/>
      <c r="E115" s="42"/>
      <c r="G115" s="42"/>
      <c r="P115" s="44"/>
    </row>
    <row r="116">
      <c r="A116" s="54"/>
      <c r="D116" s="42"/>
      <c r="E116" s="42"/>
      <c r="G116" s="42"/>
      <c r="P116" s="44"/>
    </row>
    <row r="117">
      <c r="A117" s="54"/>
      <c r="D117" s="42"/>
      <c r="E117" s="42"/>
      <c r="G117" s="42"/>
      <c r="P117" s="44"/>
    </row>
    <row r="118">
      <c r="A118" s="54"/>
      <c r="D118" s="42"/>
      <c r="E118" s="42"/>
      <c r="G118" s="42"/>
      <c r="P118" s="44"/>
    </row>
    <row r="119">
      <c r="A119" s="54"/>
      <c r="D119" s="42"/>
      <c r="E119" s="42"/>
      <c r="G119" s="42"/>
      <c r="P119" s="44"/>
    </row>
    <row r="120">
      <c r="A120" s="54"/>
      <c r="D120" s="42"/>
      <c r="E120" s="42"/>
      <c r="G120" s="42"/>
      <c r="P120" s="44"/>
    </row>
    <row r="121">
      <c r="A121" s="54"/>
      <c r="D121" s="42"/>
      <c r="E121" s="42"/>
      <c r="G121" s="42"/>
      <c r="P121" s="44"/>
    </row>
    <row r="122">
      <c r="A122" s="54"/>
      <c r="D122" s="42"/>
      <c r="E122" s="42"/>
      <c r="G122" s="42"/>
      <c r="P122" s="44"/>
    </row>
    <row r="123">
      <c r="A123" s="54"/>
      <c r="D123" s="42"/>
      <c r="E123" s="42"/>
      <c r="G123" s="42"/>
      <c r="P123" s="44"/>
    </row>
    <row r="124">
      <c r="A124" s="54"/>
      <c r="D124" s="42"/>
      <c r="E124" s="42"/>
      <c r="G124" s="42"/>
      <c r="P124" s="44"/>
    </row>
    <row r="125">
      <c r="A125" s="54"/>
      <c r="D125" s="42"/>
      <c r="E125" s="42"/>
      <c r="G125" s="42"/>
      <c r="P125" s="44"/>
    </row>
    <row r="126">
      <c r="A126" s="54"/>
      <c r="D126" s="42"/>
      <c r="E126" s="42"/>
      <c r="G126" s="42"/>
      <c r="P126" s="44"/>
    </row>
    <row r="127">
      <c r="A127" s="54"/>
      <c r="D127" s="42"/>
      <c r="E127" s="42"/>
      <c r="G127" s="42"/>
      <c r="P127" s="44"/>
    </row>
    <row r="128">
      <c r="A128" s="54"/>
      <c r="D128" s="42"/>
      <c r="E128" s="42"/>
      <c r="G128" s="42"/>
      <c r="P128" s="44"/>
    </row>
    <row r="129">
      <c r="A129" s="54"/>
      <c r="D129" s="42"/>
      <c r="E129" s="42"/>
      <c r="G129" s="42"/>
      <c r="P129" s="44"/>
    </row>
    <row r="130">
      <c r="A130" s="54"/>
      <c r="D130" s="42"/>
      <c r="E130" s="42"/>
      <c r="G130" s="42"/>
      <c r="P130" s="44"/>
    </row>
    <row r="131">
      <c r="A131" s="54"/>
      <c r="D131" s="42"/>
      <c r="E131" s="42"/>
      <c r="G131" s="42"/>
      <c r="P131" s="44"/>
    </row>
    <row r="132">
      <c r="A132" s="54"/>
      <c r="D132" s="42"/>
      <c r="E132" s="42"/>
      <c r="G132" s="42"/>
      <c r="P132" s="44"/>
    </row>
    <row r="133">
      <c r="A133" s="54"/>
      <c r="D133" s="42"/>
      <c r="E133" s="42"/>
      <c r="G133" s="42"/>
      <c r="P133" s="44"/>
    </row>
    <row r="134">
      <c r="A134" s="54"/>
      <c r="D134" s="42"/>
      <c r="E134" s="42"/>
      <c r="G134" s="42"/>
      <c r="P134" s="44"/>
    </row>
    <row r="135">
      <c r="A135" s="54"/>
      <c r="D135" s="42"/>
      <c r="E135" s="42"/>
      <c r="G135" s="42"/>
      <c r="P135" s="44"/>
    </row>
    <row r="136">
      <c r="A136" s="54"/>
      <c r="D136" s="42"/>
      <c r="E136" s="42"/>
      <c r="G136" s="42"/>
      <c r="P136" s="44"/>
    </row>
    <row r="137">
      <c r="A137" s="54"/>
      <c r="D137" s="42"/>
      <c r="E137" s="42"/>
      <c r="G137" s="42"/>
      <c r="P137" s="44"/>
    </row>
    <row r="138">
      <c r="A138" s="54"/>
      <c r="D138" s="42"/>
      <c r="E138" s="42"/>
      <c r="G138" s="42"/>
      <c r="P138" s="44"/>
    </row>
    <row r="139">
      <c r="A139" s="54"/>
      <c r="D139" s="42"/>
      <c r="E139" s="42"/>
      <c r="G139" s="42"/>
      <c r="P139" s="44"/>
    </row>
    <row r="140">
      <c r="A140" s="54"/>
      <c r="D140" s="42"/>
      <c r="E140" s="42"/>
      <c r="G140" s="42"/>
      <c r="P140" s="44"/>
    </row>
    <row r="141">
      <c r="A141" s="54"/>
      <c r="D141" s="42"/>
      <c r="E141" s="42"/>
      <c r="G141" s="42"/>
      <c r="P141" s="44"/>
    </row>
    <row r="142">
      <c r="A142" s="54"/>
      <c r="D142" s="42"/>
      <c r="E142" s="42"/>
      <c r="G142" s="42"/>
      <c r="P142" s="44"/>
    </row>
    <row r="143">
      <c r="A143" s="54"/>
      <c r="D143" s="42"/>
      <c r="E143" s="42"/>
      <c r="G143" s="42"/>
      <c r="P143" s="44"/>
    </row>
    <row r="144">
      <c r="A144" s="54"/>
      <c r="D144" s="42"/>
      <c r="E144" s="42"/>
      <c r="G144" s="42"/>
      <c r="P144" s="44"/>
    </row>
    <row r="145">
      <c r="A145" s="54"/>
      <c r="D145" s="42"/>
      <c r="E145" s="42"/>
      <c r="G145" s="42"/>
      <c r="P145" s="44"/>
    </row>
    <row r="146">
      <c r="A146" s="54"/>
      <c r="D146" s="42"/>
      <c r="E146" s="42"/>
      <c r="G146" s="42"/>
      <c r="P146" s="44"/>
    </row>
    <row r="147">
      <c r="A147" s="54"/>
      <c r="D147" s="42"/>
      <c r="E147" s="42"/>
      <c r="G147" s="42"/>
      <c r="P147" s="44"/>
    </row>
    <row r="148">
      <c r="A148" s="54"/>
      <c r="D148" s="42"/>
      <c r="E148" s="42"/>
      <c r="G148" s="42"/>
      <c r="P148" s="44"/>
    </row>
    <row r="149">
      <c r="A149" s="54"/>
      <c r="D149" s="42"/>
      <c r="E149" s="42"/>
      <c r="G149" s="42"/>
      <c r="P149" s="44"/>
    </row>
    <row r="150">
      <c r="A150" s="54"/>
      <c r="D150" s="42"/>
      <c r="E150" s="42"/>
      <c r="G150" s="42"/>
      <c r="P150" s="44"/>
    </row>
    <row r="151">
      <c r="A151" s="54"/>
      <c r="D151" s="42"/>
      <c r="E151" s="42"/>
      <c r="G151" s="42"/>
      <c r="P151" s="44"/>
    </row>
    <row r="152">
      <c r="A152" s="54"/>
      <c r="D152" s="42"/>
      <c r="E152" s="42"/>
      <c r="G152" s="42"/>
      <c r="P152" s="44"/>
    </row>
    <row r="153">
      <c r="A153" s="54"/>
      <c r="D153" s="42"/>
      <c r="E153" s="42"/>
      <c r="G153" s="42"/>
      <c r="P153" s="44"/>
    </row>
    <row r="154">
      <c r="A154" s="54"/>
      <c r="D154" s="42"/>
      <c r="E154" s="42"/>
      <c r="G154" s="42"/>
      <c r="P154" s="44"/>
    </row>
    <row r="155">
      <c r="A155" s="54"/>
      <c r="D155" s="42"/>
      <c r="E155" s="42"/>
      <c r="G155" s="42"/>
      <c r="P155" s="44"/>
    </row>
    <row r="156">
      <c r="A156" s="54"/>
      <c r="D156" s="42"/>
      <c r="E156" s="42"/>
      <c r="G156" s="42"/>
      <c r="P156" s="44"/>
    </row>
    <row r="157">
      <c r="A157" s="54"/>
      <c r="D157" s="42"/>
      <c r="E157" s="42"/>
      <c r="G157" s="42"/>
      <c r="P157" s="44"/>
    </row>
    <row r="158">
      <c r="A158" s="54"/>
      <c r="D158" s="42"/>
      <c r="E158" s="42"/>
      <c r="G158" s="42"/>
      <c r="P158" s="44"/>
    </row>
    <row r="159">
      <c r="A159" s="54"/>
      <c r="D159" s="42"/>
      <c r="E159" s="42"/>
      <c r="G159" s="42"/>
      <c r="P159" s="44"/>
    </row>
    <row r="160">
      <c r="A160" s="54"/>
      <c r="D160" s="42"/>
      <c r="E160" s="42"/>
      <c r="G160" s="42"/>
      <c r="P160" s="44"/>
    </row>
    <row r="161">
      <c r="A161" s="54"/>
      <c r="D161" s="42"/>
      <c r="E161" s="42"/>
      <c r="G161" s="42"/>
      <c r="P161" s="44"/>
    </row>
    <row r="162">
      <c r="A162" s="54"/>
      <c r="D162" s="42"/>
      <c r="E162" s="42"/>
      <c r="G162" s="42"/>
      <c r="P162" s="44"/>
    </row>
    <row r="163">
      <c r="A163" s="54"/>
      <c r="D163" s="42"/>
      <c r="E163" s="42"/>
      <c r="G163" s="42"/>
      <c r="P163" s="44"/>
    </row>
    <row r="164">
      <c r="A164" s="54"/>
      <c r="D164" s="42"/>
      <c r="E164" s="42"/>
      <c r="G164" s="42"/>
      <c r="P164" s="44"/>
    </row>
    <row r="165">
      <c r="A165" s="54"/>
      <c r="D165" s="42"/>
      <c r="E165" s="42"/>
      <c r="G165" s="42"/>
      <c r="P165" s="44"/>
    </row>
    <row r="166">
      <c r="A166" s="54"/>
      <c r="D166" s="42"/>
      <c r="E166" s="42"/>
      <c r="G166" s="42"/>
      <c r="P166" s="44"/>
    </row>
    <row r="167">
      <c r="A167" s="54"/>
      <c r="D167" s="42"/>
      <c r="E167" s="42"/>
      <c r="G167" s="42"/>
      <c r="P167" s="44"/>
    </row>
    <row r="168">
      <c r="A168" s="54"/>
      <c r="D168" s="42"/>
      <c r="E168" s="42"/>
      <c r="G168" s="42"/>
      <c r="P168" s="44"/>
    </row>
    <row r="169">
      <c r="A169" s="54"/>
      <c r="D169" s="42"/>
      <c r="E169" s="42"/>
      <c r="G169" s="42"/>
      <c r="P169" s="44"/>
    </row>
    <row r="170">
      <c r="A170" s="54"/>
      <c r="D170" s="42"/>
      <c r="E170" s="42"/>
      <c r="G170" s="42"/>
      <c r="P170" s="44"/>
    </row>
    <row r="171">
      <c r="A171" s="54"/>
      <c r="D171" s="42"/>
      <c r="E171" s="42"/>
      <c r="G171" s="42"/>
      <c r="P171" s="44"/>
    </row>
    <row r="172">
      <c r="A172" s="54"/>
      <c r="D172" s="42"/>
      <c r="E172" s="42"/>
      <c r="G172" s="42"/>
      <c r="P172" s="44"/>
    </row>
    <row r="173">
      <c r="A173" s="54"/>
      <c r="D173" s="42"/>
      <c r="E173" s="42"/>
      <c r="G173" s="42"/>
      <c r="P173" s="44"/>
    </row>
    <row r="174">
      <c r="A174" s="54"/>
      <c r="D174" s="42"/>
      <c r="E174" s="42"/>
      <c r="G174" s="42"/>
      <c r="P174" s="44"/>
    </row>
    <row r="175">
      <c r="A175" s="54"/>
      <c r="D175" s="42"/>
      <c r="E175" s="42"/>
      <c r="G175" s="42"/>
      <c r="P175" s="44"/>
    </row>
    <row r="176">
      <c r="A176" s="54"/>
      <c r="D176" s="42"/>
      <c r="E176" s="42"/>
      <c r="G176" s="42"/>
      <c r="P176" s="44"/>
    </row>
    <row r="177">
      <c r="A177" s="54"/>
      <c r="D177" s="42"/>
      <c r="E177" s="42"/>
      <c r="G177" s="42"/>
      <c r="P177" s="44"/>
    </row>
    <row r="178">
      <c r="A178" s="54"/>
      <c r="D178" s="42"/>
      <c r="E178" s="42"/>
      <c r="G178" s="42"/>
      <c r="P178" s="44"/>
    </row>
    <row r="179">
      <c r="A179" s="54"/>
      <c r="D179" s="42"/>
      <c r="E179" s="42"/>
      <c r="G179" s="42"/>
      <c r="P179" s="44"/>
    </row>
    <row r="180">
      <c r="A180" s="54"/>
      <c r="D180" s="42"/>
      <c r="E180" s="42"/>
      <c r="G180" s="42"/>
      <c r="P180" s="44"/>
    </row>
    <row r="181">
      <c r="A181" s="54"/>
      <c r="D181" s="42"/>
      <c r="E181" s="42"/>
      <c r="G181" s="42"/>
      <c r="P181" s="44"/>
    </row>
    <row r="182">
      <c r="A182" s="54"/>
      <c r="D182" s="42"/>
      <c r="E182" s="42"/>
      <c r="G182" s="42"/>
      <c r="P182" s="44"/>
    </row>
    <row r="183">
      <c r="A183" s="54"/>
      <c r="D183" s="42"/>
      <c r="E183" s="42"/>
      <c r="G183" s="42"/>
      <c r="P183" s="44"/>
    </row>
    <row r="184">
      <c r="A184" s="54"/>
      <c r="D184" s="42"/>
      <c r="E184" s="42"/>
      <c r="G184" s="42"/>
      <c r="P184" s="44"/>
    </row>
    <row r="185">
      <c r="A185" s="54"/>
      <c r="D185" s="42"/>
      <c r="E185" s="42"/>
      <c r="G185" s="42"/>
      <c r="P185" s="44"/>
    </row>
    <row r="186">
      <c r="A186" s="54"/>
      <c r="D186" s="42"/>
      <c r="E186" s="42"/>
      <c r="G186" s="42"/>
      <c r="P186" s="44"/>
    </row>
    <row r="187">
      <c r="A187" s="54"/>
      <c r="D187" s="42"/>
      <c r="E187" s="42"/>
      <c r="G187" s="42"/>
      <c r="P187" s="44"/>
    </row>
    <row r="188">
      <c r="A188" s="54"/>
      <c r="D188" s="42"/>
      <c r="E188" s="42"/>
      <c r="G188" s="42"/>
      <c r="P188" s="44"/>
    </row>
    <row r="189">
      <c r="A189" s="54"/>
      <c r="D189" s="42"/>
      <c r="E189" s="42"/>
      <c r="G189" s="42"/>
      <c r="P189" s="44"/>
    </row>
    <row r="190">
      <c r="A190" s="54"/>
      <c r="D190" s="42"/>
      <c r="E190" s="42"/>
      <c r="G190" s="42"/>
      <c r="P190" s="44"/>
    </row>
    <row r="191">
      <c r="A191" s="54"/>
      <c r="D191" s="42"/>
      <c r="E191" s="42"/>
      <c r="G191" s="42"/>
      <c r="P191" s="44"/>
    </row>
    <row r="192">
      <c r="A192" s="54"/>
      <c r="D192" s="42"/>
      <c r="E192" s="42"/>
      <c r="G192" s="42"/>
      <c r="P192" s="44"/>
    </row>
    <row r="193">
      <c r="A193" s="54"/>
      <c r="D193" s="42"/>
      <c r="E193" s="42"/>
      <c r="G193" s="42"/>
      <c r="P193" s="44"/>
    </row>
    <row r="194">
      <c r="A194" s="54"/>
      <c r="D194" s="42"/>
      <c r="E194" s="42"/>
      <c r="G194" s="42"/>
      <c r="P194" s="44"/>
    </row>
    <row r="195">
      <c r="A195" s="54"/>
      <c r="D195" s="42"/>
      <c r="E195" s="42"/>
      <c r="G195" s="42"/>
      <c r="P195" s="44"/>
    </row>
    <row r="196">
      <c r="A196" s="54"/>
      <c r="D196" s="42"/>
      <c r="E196" s="42"/>
      <c r="G196" s="42"/>
      <c r="P196" s="44"/>
    </row>
  </sheetData>
  <mergeCells>
    <mergeCell ref="A2:G2"/>
  </mergeCells>
  <dataValidations count="2">
    <dataValidation allowBlank="true" errorStyle="stop" showErrorMessage="true" sqref="C3:C196" type="list">
      <formula1>"在投,停投,无法授权,拒审,待授权,投放完毕,无法投放"</formula1>
    </dataValidation>
    <dataValidation allowBlank="true" errorStyle="stop" showErrorMessage="true" sqref="Q4:Q20" type="list">
      <formula1>"产品力,场景,车内,司机,地广/活动"</formula1>
    </dataValidation>
  </dataValidations>
  <hyperlinks>
    <hyperlink ref="E12" display="https://www.douyin.com/note/7626240521292568483" r:id="rId1"/>
    <hyperlink ref="E28" display="https://www.douyin.com/note/7630280919329366708" r:id="rId2"/>
    <hyperlink ref="E44" display="https://www.douyin.com/video/7631754234015477361" r:id="rId3"/>
    <hyperlink ref="E60" display="https://www.douyin.com/video/7634061256496521851" r:id="rId4"/>
    <hyperlink ref="E17" display="https://www.douyin.com/note/7626984999901013113" r:id="rId5"/>
    <hyperlink ref="E33" display="https://www.douyin.com/video/7630433467185514597" r:id="rId6"/>
    <hyperlink ref="E49" display="https://www.douyin.com/note/7632617218002329514" r:id="rId7"/>
    <hyperlink ref="E18" display="https://www.douyin.com/note/7627440028503106771" r:id="rId8"/>
    <hyperlink ref="E34" display="https://www.douyin.com/video/7629612388421693945" r:id="rId9"/>
    <hyperlink ref="E50" display="https://www.douyin.com/video/7632511512201008505" r:id="rId10"/>
    <hyperlink ref="E15" display="https://www.douyin.com/video/7626715483103183604" r:id="rId11"/>
    <hyperlink ref="E31" display="https://www.douyin.com/video/7630071089049654198" r:id="rId12"/>
    <hyperlink ref="E47" display="https://www.douyin.com/video/7632912964463542479" r:id="rId13"/>
    <hyperlink ref="E63" display="https://www.douyin.com/video/7634026065808580795" r:id="rId14"/>
    <hyperlink ref="E16" display="https://www.douyin.com/video/7627467421783603045" r:id="rId15"/>
    <hyperlink ref="E32" display="https://www.douyin.com/video/7630474109919557051" r:id="rId16"/>
    <hyperlink ref="E48" display="https://www.douyin.com/video/7632889897694619264" r:id="rId17"/>
    <hyperlink ref="E5" display="https://www.douyin.com/video/7624862115832787121" r:id="rId18"/>
    <hyperlink ref="E21" display="https://www.douyin.com/video/7627656361078613477" r:id="rId19"/>
    <hyperlink ref="E22" display="https://www.douyin.com/video/7628568501427008241" r:id="rId20"/>
    <hyperlink ref="E37" display="https://www.douyin.com/video/7630833058359450441" r:id="rId21"/>
    <hyperlink ref="E53" display="https://www.douyin.com/video/7631754660667995892" r:id="rId22"/>
    <hyperlink ref="E6" display="https://www.douyin.com/video/7624320840444438116" r:id="rId23"/>
    <hyperlink ref="E19" display="https://www.douyin.com/video/7627890045047581027" r:id="rId24"/>
    <hyperlink ref="E38" display="https://www.douyin.com/video/7631145389820062201" r:id="rId25"/>
    <hyperlink ref="E54" display="https://www.douyin.com/video/7633260661108049226" r:id="rId26"/>
    <hyperlink ref="E3" display="https://www.douyin.com/video/7623768838857578048" r:id="rId27"/>
    <hyperlink ref="E20" display="https://www.douyin.com/video/7628055768176180586" r:id="rId28"/>
    <hyperlink ref="E35" display="https://www.douyin.com/video/7629126711086685289" r:id="rId29"/>
    <hyperlink ref="E51" display="https://www.douyin.com/video/7632465056047360442" r:id="rId30"/>
    <hyperlink ref="E4" display="https://www.douyin.com/note/7624113880570299215" r:id="rId31"/>
    <hyperlink ref="E25" display="https://www.douyin.com/video/7629141999672840169" r:id="rId32"/>
    <hyperlink ref="E36" display="https://www.douyin.com/video/7628801934065316517" r:id="rId33"/>
    <hyperlink ref="E52" display="https://www.douyin.com/video/7631938177683662579" r:id="rId34"/>
    <hyperlink ref="E9" display="https://www.douyin.com/video/7625090564824947065" r:id="rId35"/>
    <hyperlink ref="E26" display="https://www.douyin.com/video/7628928486560089529" r:id="rId36"/>
    <hyperlink ref="E41" display="https://www.douyin.com/video/7631062852215782976" r:id="rId37"/>
    <hyperlink ref="E57" display="https://www.douyin.com/video/7633007885915943606" r:id="rId38"/>
    <hyperlink ref="E10" display="https://www.douyin.com/note/7625760714330410816" r:id="rId39"/>
    <hyperlink ref="E23" display="https://www.douyin.com/video/7628593020561465713" r:id="rId40"/>
    <hyperlink ref="E42" display="https://www.douyin.com/video/7631406422018455730" r:id="rId41"/>
    <hyperlink ref="E58" display="https://www.douyin.com/video/7632969984486313061" r:id="rId42"/>
    <hyperlink ref="E7" display="https://www.douyin.com/note/7625245014687938233" r:id="rId43"/>
    <hyperlink ref="E24" display="https://www.douyin.com/video/7628175992222109553" r:id="rId44"/>
    <hyperlink ref="E39" display="https://www.douyin.com/video/7631151287887270757" r:id="rId45"/>
    <hyperlink ref="E55" display="https://www.douyin.com/video/7633750886359587048" r:id="rId46"/>
    <hyperlink ref="E8" display="https://www.douyin.com/note/7624963816623740027" r:id="rId47"/>
    <hyperlink ref="E40" display="https://www.douyin.com/video/7631159721408326771" r:id="rId48"/>
    <hyperlink ref="E56" display="https://www.douyin.com/video/7633786629181727609" r:id="rId49"/>
    <hyperlink ref="E13" display="https://www.douyin.com/video/7626383694223907429" r:id="rId50"/>
    <hyperlink ref="E29" display="https://www.douyin.com/video/7630163601161398178" r:id="rId51"/>
    <hyperlink ref="E45" display="https://www.douyin.com/video/7631803624960610230" r:id="rId52"/>
    <hyperlink ref="E61" display="https://www.douyin.com/note/7634169978048694630" r:id="rId53"/>
    <hyperlink ref="E14" display="https://www.douyin.com/note/7626557894406165434" r:id="rId54"/>
    <hyperlink ref="E30" display="https://www.douyin.com/video/7629911775865505906" r:id="rId55"/>
    <hyperlink ref="E46" display="https://www.douyin.com/video/7631919828249700068" r:id="rId56"/>
    <hyperlink ref="E62" display="https://www.douyin.com/video/7633992971189784147" r:id="rId57"/>
    <hyperlink ref="E11" display="https://www.douyin.com/note/7625846621917471208" r:id="rId58"/>
    <hyperlink ref="E27" display="https://www.douyin.com/note/7630389147651540148" r:id="rId59"/>
    <hyperlink ref="E43" display="https://www.douyin.com/note/7631161091032347131" r:id="rId60"/>
    <hyperlink ref="E59" display="https://www.douyin.com/note/7634085219296901353" r:id="rId61"/>
  </hyperlink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F2" xSplit="5" ySplit="1"/>
    </sheetView>
  </sheetViews>
  <sheetFormatPr defaultColWidth="14" defaultRowHeight="19"/>
  <cols>
    <col collapsed="false" customWidth="true" hidden="false" max="4" min="4" style="0" width="14"/>
    <col collapsed="false" customWidth="true" hidden="false" max="6" min="6" style="0" width="21"/>
    <col collapsed="false" customWidth="true" hidden="false" max="10" min="10" style="0" width="14"/>
    <col collapsed="false" customWidth="true" hidden="false" max="12" min="12" style="0" width="14"/>
    <col collapsed="false" customWidth="true" hidden="false" max="2" min="2" style="0" width="12"/>
    <col collapsed="false" customWidth="true" hidden="false" max="5" min="5" style="0" width="15"/>
    <col collapsed="false" customWidth="true" hidden="false" max="7" min="7" style="0" width="90"/>
    <col collapsed="false" customWidth="true" hidden="false" max="11" min="11" style="0" width="14"/>
    <col collapsed="false" customWidth="true" hidden="false" max="13" min="13" style="0" width="14"/>
    <col collapsed="false" customWidth="true" hidden="false" max="1" min="1" style="0" width="11"/>
  </cols>
  <sheetData>
    <row r="1">
      <c r="A1" s="55" t="s">
        <v>621</v>
      </c>
      <c r="B1" s="55" t="s">
        <v>622</v>
      </c>
      <c r="C1" s="56" t="s">
        <v>623</v>
      </c>
      <c r="D1" s="55" t="s">
        <v>624</v>
      </c>
      <c r="E1" s="56" t="s">
        <v>625</v>
      </c>
      <c r="F1" s="57" t="s">
        <v>626</v>
      </c>
      <c r="G1" s="56" t="s">
        <v>627</v>
      </c>
      <c r="H1" s="57" t="s">
        <v>628</v>
      </c>
      <c r="I1" s="58" t="s">
        <v>629</v>
      </c>
      <c r="J1" s="58" t="s">
        <v>630</v>
      </c>
      <c r="K1" s="58" t="s">
        <v>631</v>
      </c>
      <c r="L1" s="58" t="s">
        <v>632</v>
      </c>
      <c r="M1" s="58" t="s">
        <v>633</v>
      </c>
      <c r="N1" s="57" t="s">
        <v>634</v>
      </c>
      <c r="O1" s="57" t="s">
        <v>635</v>
      </c>
      <c r="P1" s="59" t="s">
        <v>636</v>
      </c>
      <c r="Q1" s="57" t="s">
        <v>637</v>
      </c>
      <c r="R1" s="56" t="s">
        <v>638</v>
      </c>
      <c r="S1" s="56" t="s">
        <v>639</v>
      </c>
      <c r="T1" s="55" t="s">
        <v>640</v>
      </c>
      <c r="U1" s="60"/>
      <c r="V1" s="60"/>
      <c r="W1" s="60"/>
      <c r="X1" s="60"/>
      <c r="Y1" s="60"/>
      <c r="Z1" s="60"/>
      <c r="AA1" s="60"/>
      <c r="AB1" s="60"/>
    </row>
    <row r="2">
      <c r="A2" s="55" t="s">
        <v>641</v>
      </c>
      <c r="B2" s="55"/>
      <c r="C2" s="55"/>
      <c r="D2" s="55"/>
      <c r="E2" s="55"/>
      <c r="F2" s="55"/>
      <c r="G2" s="55"/>
      <c r="H2" s="58" t="s">
        <v>642</v>
      </c>
      <c r="I2" s="58" t="s">
        <v>642</v>
      </c>
      <c r="J2" s="58"/>
      <c r="K2" s="58"/>
      <c r="L2" s="58"/>
      <c r="M2" s="58"/>
      <c r="N2" s="57">
        <f>SUM(N3:N70)</f>
      </c>
      <c r="O2" s="57">
        <f>SUM(O3:O70)</f>
      </c>
      <c r="P2" s="59">
        <f t="shared" ref="P2:P8" si="7">O2/N2</f>
      </c>
      <c r="Q2" s="57"/>
      <c r="R2" s="56"/>
      <c r="S2" s="56"/>
      <c r="T2" s="56"/>
      <c r="U2" s="60"/>
      <c r="V2" s="60"/>
      <c r="W2" s="60"/>
      <c r="X2" s="60"/>
      <c r="Y2" s="60"/>
      <c r="Z2" s="60"/>
      <c r="AA2" s="60"/>
      <c r="AB2" s="60"/>
    </row>
    <row r="3">
      <c r="A3" s="61">
        <v>46147</v>
      </c>
      <c r="B3" s="62">
        <f t="shared" ref="B3:B50" si="6">A3+7</f>
      </c>
      <c r="C3" s="60" t="s">
        <v>643</v>
      </c>
      <c r="D3" t="s">
        <v>644</v>
      </c>
      <c r="E3" s="63" t="s">
        <v>645</v>
      </c>
      <c r="F3" s="64" t="s">
        <v>646</v>
      </c>
      <c r="G3" t="s">
        <v>647</v>
      </c>
      <c r="H3" s="65">
        <v>76</v>
      </c>
      <c r="I3">
        <f>'详细数据'!AC204+'详细数据'!AC206</f>
      </c>
      <c r="J3" s="65">
        <v>30000</v>
      </c>
      <c r="K3" s="65">
        <v>2718</v>
      </c>
      <c r="L3" s="65">
        <v>983</v>
      </c>
      <c r="M3" s="65">
        <v>379</v>
      </c>
      <c r="N3">
        <f t="shared" ref="N3:N8" si="3">SUM(J3:M3)</f>
      </c>
      <c r="O3">
        <f>'详细数据'!J204+'详细数据'!J206</f>
      </c>
      <c r="P3" s="66">
        <f t="shared" si="7"/>
      </c>
      <c r="Q3" t="s">
        <v>648</v>
      </c>
      <c r="R3" t="s">
        <v>648</v>
      </c>
      <c r="T3">
        <f t="shared" ref="T3:T8" si="0">IF(N3="","",IF(N3&gt;=500000,"S 级",IF(N3&gt;=100000,"A 级",IF(N3&gt;=50000,"B 级","C 级"))))</f>
      </c>
    </row>
    <row r="4">
      <c r="A4" s="61">
        <v>46146</v>
      </c>
      <c r="B4" s="62">
        <f t="shared" si="6"/>
      </c>
      <c r="C4" s="60" t="s">
        <v>643</v>
      </c>
      <c r="D4" s="67" t="s">
        <v>649</v>
      </c>
      <c r="E4" s="67" t="s">
        <v>650</v>
      </c>
      <c r="F4" s="65" t="s">
        <v>651</v>
      </c>
      <c r="G4" s="67" t="s">
        <v>652</v>
      </c>
      <c r="H4" s="65">
        <v>131</v>
      </c>
      <c r="I4">
        <f>'详细数据'!AC203</f>
      </c>
      <c r="J4" s="65">
        <v>2440</v>
      </c>
      <c r="K4" s="65">
        <v>47</v>
      </c>
      <c r="L4" s="65">
        <v>225</v>
      </c>
      <c r="M4" s="65">
        <v>4</v>
      </c>
      <c r="N4">
        <f t="shared" si="3"/>
      </c>
      <c r="O4">
        <f>'详细数据'!J203</f>
      </c>
      <c r="P4" s="68">
        <f t="shared" si="7"/>
      </c>
      <c r="Q4" s="60" t="s">
        <v>653</v>
      </c>
      <c r="R4" t="s">
        <v>654</v>
      </c>
      <c r="T4">
        <f t="shared" si="0"/>
      </c>
    </row>
    <row r="5">
      <c r="A5" s="61">
        <v>46146</v>
      </c>
      <c r="B5" s="62">
        <f t="shared" si="6"/>
      </c>
      <c r="C5" s="60" t="s">
        <v>643</v>
      </c>
      <c r="D5" s="67" t="s">
        <v>655</v>
      </c>
      <c r="E5" s="67" t="s">
        <v>656</v>
      </c>
      <c r="F5" s="64" t="s">
        <v>657</v>
      </c>
      <c r="G5" s="67" t="s">
        <v>658</v>
      </c>
      <c r="H5" s="65">
        <v>16600</v>
      </c>
      <c r="I5">
        <f>'详细数据'!AC202+'详细数据'!AC205+'详细数据'!AC209</f>
      </c>
      <c r="J5" s="65">
        <v>96000</v>
      </c>
      <c r="K5" s="65">
        <v>23000</v>
      </c>
      <c r="L5" s="65">
        <v>3860</v>
      </c>
      <c r="M5" s="65">
        <v>20000</v>
      </c>
      <c r="N5">
        <f t="shared" si="3"/>
      </c>
      <c r="O5">
        <f>'详细数据'!J202+'详细数据'!J205+'详细数据'!J209</f>
      </c>
      <c r="P5" s="69">
        <f t="shared" si="7"/>
      </c>
      <c r="Q5" s="60" t="s">
        <v>659</v>
      </c>
      <c r="R5" t="s">
        <v>660</v>
      </c>
      <c r="S5" s="65"/>
      <c r="T5">
        <f t="shared" si="0"/>
      </c>
    </row>
    <row r="6">
      <c r="A6" s="61">
        <v>46145</v>
      </c>
      <c r="B6" s="62">
        <f t="shared" si="6"/>
      </c>
      <c r="C6" s="60" t="s">
        <v>643</v>
      </c>
      <c r="D6" s="67" t="s">
        <v>661</v>
      </c>
      <c r="E6" s="63" t="s">
        <v>662</v>
      </c>
      <c r="F6" s="65" t="s">
        <v>651</v>
      </c>
      <c r="G6" s="63" t="s">
        <v>663</v>
      </c>
      <c r="H6" s="65">
        <v>86</v>
      </c>
      <c r="I6">
        <f>'详细数据'!AC201</f>
      </c>
      <c r="J6" s="65">
        <v>949</v>
      </c>
      <c r="K6" s="65">
        <v>11</v>
      </c>
      <c r="L6" s="65">
        <v>19</v>
      </c>
      <c r="M6" s="65">
        <v>14</v>
      </c>
      <c r="N6">
        <f t="shared" si="3"/>
      </c>
      <c r="O6">
        <f>'详细数据'!J201</f>
      </c>
      <c r="P6" s="68">
        <f t="shared" si="7"/>
      </c>
      <c r="Q6" s="60" t="s">
        <v>659</v>
      </c>
      <c r="R6" t="s">
        <v>664</v>
      </c>
      <c r="T6">
        <f t="shared" si="0"/>
      </c>
    </row>
    <row r="7">
      <c r="A7" s="61">
        <v>46146</v>
      </c>
      <c r="B7" s="62">
        <f t="shared" si="6"/>
      </c>
      <c r="C7" s="60" t="s">
        <v>643</v>
      </c>
      <c r="D7" s="63" t="s">
        <v>665</v>
      </c>
      <c r="E7" s="67" t="s">
        <v>666</v>
      </c>
      <c r="F7" s="65" t="s">
        <v>651</v>
      </c>
      <c r="G7" s="65" t="s">
        <v>667</v>
      </c>
      <c r="H7" s="65">
        <v>16</v>
      </c>
      <c r="I7">
        <f>'详细数据'!AC200</f>
      </c>
      <c r="J7" s="65">
        <v>747</v>
      </c>
      <c r="K7" s="65">
        <v>31</v>
      </c>
      <c r="L7" s="65">
        <v>41</v>
      </c>
      <c r="M7" s="65">
        <v>10</v>
      </c>
      <c r="N7">
        <f t="shared" si="3"/>
      </c>
      <c r="O7">
        <f>'详细数据'!J200</f>
      </c>
      <c r="P7" s="68">
        <f t="shared" si="7"/>
      </c>
      <c r="Q7" s="60" t="s">
        <v>668</v>
      </c>
      <c r="R7" t="s">
        <v>669</v>
      </c>
      <c r="T7">
        <f t="shared" si="0"/>
      </c>
    </row>
    <row r="8">
      <c r="A8" s="61">
        <v>46145</v>
      </c>
      <c r="B8" s="62">
        <f t="shared" si="6"/>
      </c>
      <c r="C8" s="60" t="s">
        <v>643</v>
      </c>
      <c r="D8" s="67" t="s">
        <v>670</v>
      </c>
      <c r="E8" s="63" t="s">
        <v>671</v>
      </c>
      <c r="F8" s="65" t="s">
        <v>651</v>
      </c>
      <c r="G8" s="63" t="s">
        <v>672</v>
      </c>
      <c r="H8" s="65">
        <v>12</v>
      </c>
      <c r="I8">
        <f>'详细数据'!AC199</f>
      </c>
      <c r="J8" s="65">
        <v>1152</v>
      </c>
      <c r="K8" s="65">
        <v>36</v>
      </c>
      <c r="L8" s="65">
        <v>138</v>
      </c>
      <c r="M8" s="65">
        <v>13</v>
      </c>
      <c r="N8">
        <f t="shared" si="3"/>
      </c>
      <c r="O8">
        <f>'详细数据'!J199</f>
      </c>
      <c r="P8" s="68">
        <f t="shared" si="7"/>
      </c>
      <c r="Q8" s="60" t="s">
        <v>653</v>
      </c>
      <c r="R8" t="s">
        <v>673</v>
      </c>
      <c r="S8" s="65"/>
      <c r="T8">
        <f t="shared" si="0"/>
      </c>
    </row>
    <row r="9">
      <c r="A9" s="61">
        <v>46148</v>
      </c>
      <c r="B9" s="62">
        <f t="shared" si="6"/>
      </c>
      <c r="C9" s="60" t="s">
        <v>674</v>
      </c>
      <c r="D9" s="67" t="s">
        <v>675</v>
      </c>
      <c r="E9" s="63" t="s">
        <v>676</v>
      </c>
      <c r="F9" s="65" t="s">
        <v>651</v>
      </c>
      <c r="G9" s="67" t="s">
        <v>677</v>
      </c>
      <c r="H9" s="65">
        <v>138</v>
      </c>
      <c r="I9" s="65"/>
      <c r="J9" s="65"/>
      <c r="K9" s="65"/>
      <c r="L9" s="65"/>
      <c r="M9" s="65"/>
      <c r="P9" s="68"/>
      <c r="Q9" s="60" t="s">
        <v>653</v>
      </c>
      <c r="R9" t="s">
        <v>678</v>
      </c>
    </row>
    <row r="10">
      <c r="A10" s="61">
        <v>46146</v>
      </c>
      <c r="B10" s="62">
        <f t="shared" si="6"/>
      </c>
      <c r="C10" s="60" t="s">
        <v>643</v>
      </c>
      <c r="D10" s="67" t="s">
        <v>679</v>
      </c>
      <c r="E10" s="67" t="s">
        <v>680</v>
      </c>
      <c r="F10" s="65" t="s">
        <v>651</v>
      </c>
      <c r="G10" s="67" t="s">
        <v>681</v>
      </c>
      <c r="H10" s="65">
        <v>7</v>
      </c>
      <c r="I10">
        <f>'详细数据'!AC198</f>
      </c>
      <c r="J10" s="65">
        <v>423</v>
      </c>
      <c r="K10" s="65">
        <v>13</v>
      </c>
      <c r="L10" s="65">
        <v>8</v>
      </c>
      <c r="M10" s="65">
        <v>9</v>
      </c>
      <c r="N10">
        <f t="shared" ref="N10:N14" si="4">SUM(J10:M10)</f>
      </c>
      <c r="O10">
        <f>'详细数据'!J198</f>
      </c>
      <c r="P10" s="68">
        <f t="shared" ref="P10:P14" si="8">O10/N10</f>
      </c>
      <c r="Q10" s="60" t="s">
        <v>668</v>
      </c>
      <c r="R10" t="s">
        <v>682</v>
      </c>
      <c r="T10">
        <f t="shared" ref="T10:T14" si="1">IF(N10="","",IF(N10&gt;=500000,"S 级",IF(N10&gt;=100000,"A 级",IF(N10&gt;=50000,"B 级","C 级"))))</f>
      </c>
    </row>
    <row r="11">
      <c r="A11" s="61">
        <v>46149</v>
      </c>
      <c r="B11" s="62">
        <f t="shared" si="6"/>
      </c>
      <c r="C11" s="60" t="s">
        <v>643</v>
      </c>
      <c r="D11" s="67" t="s">
        <v>683</v>
      </c>
      <c r="E11" s="67" t="s">
        <v>684</v>
      </c>
      <c r="F11" s="65" t="s">
        <v>685</v>
      </c>
      <c r="G11" s="67" t="s">
        <v>686</v>
      </c>
      <c r="H11" s="65">
        <v>108</v>
      </c>
      <c r="I11" s="70">
        <f>'详细数据'!AC208</f>
      </c>
      <c r="J11" s="65">
        <v>259</v>
      </c>
      <c r="K11" s="65">
        <v>11</v>
      </c>
      <c r="L11" s="65">
        <v>12</v>
      </c>
      <c r="M11" s="65">
        <v>17</v>
      </c>
      <c r="N11">
        <f t="shared" si="4"/>
      </c>
      <c r="O11" s="70">
        <f>'详细数据'!J208</f>
      </c>
      <c r="P11" s="68">
        <f t="shared" si="8"/>
      </c>
      <c r="Q11" s="60" t="s">
        <v>653</v>
      </c>
      <c r="R11" s="70" t="s">
        <v>687</v>
      </c>
      <c r="S11" s="70"/>
      <c r="T11">
        <f t="shared" si="1"/>
      </c>
      <c r="U11" s="70"/>
      <c r="V11" s="70"/>
      <c r="W11" s="70"/>
      <c r="X11" s="70"/>
      <c r="Y11" s="70"/>
      <c r="Z11" s="70"/>
      <c r="AA11" s="70"/>
      <c r="AB11" s="70"/>
    </row>
    <row customHeight="true" ht="19" r="12">
      <c r="A12" s="61">
        <v>46149</v>
      </c>
      <c r="B12" s="62">
        <f t="shared" si="6"/>
      </c>
      <c r="C12" s="60" t="s">
        <v>643</v>
      </c>
      <c r="D12" s="67" t="s">
        <v>688</v>
      </c>
      <c r="E12" s="67" t="s">
        <v>689</v>
      </c>
      <c r="F12" s="65" t="s">
        <v>685</v>
      </c>
      <c r="G12" s="67" t="s">
        <v>690</v>
      </c>
      <c r="H12" s="65">
        <v>2</v>
      </c>
      <c r="I12" s="70">
        <f>'详细数据'!AC207</f>
      </c>
      <c r="J12" s="65">
        <v>768</v>
      </c>
      <c r="K12" s="65">
        <v>65</v>
      </c>
      <c r="L12" s="65">
        <v>10</v>
      </c>
      <c r="M12" s="65">
        <v>17</v>
      </c>
      <c r="N12">
        <f t="shared" si="4"/>
      </c>
      <c r="O12" s="70">
        <f>'详细数据'!J207</f>
      </c>
      <c r="P12" s="68">
        <f t="shared" si="8"/>
      </c>
      <c r="Q12" s="60" t="s">
        <v>659</v>
      </c>
      <c r="R12" s="70" t="s">
        <v>664</v>
      </c>
      <c r="S12" s="70"/>
      <c r="T12">
        <f t="shared" si="1"/>
      </c>
      <c r="U12" s="70"/>
      <c r="V12" s="70"/>
      <c r="W12" s="70"/>
      <c r="X12" s="70"/>
      <c r="Y12" s="70"/>
      <c r="Z12" s="70"/>
      <c r="AA12" s="70"/>
      <c r="AB12" s="70"/>
    </row>
    <row r="13">
      <c r="A13" s="61">
        <v>46148</v>
      </c>
      <c r="B13" s="62">
        <f t="shared" si="6"/>
      </c>
      <c r="C13" s="60" t="s">
        <v>643</v>
      </c>
      <c r="D13" s="67" t="s">
        <v>691</v>
      </c>
      <c r="E13" s="67" t="s">
        <v>692</v>
      </c>
      <c r="F13" s="65" t="s">
        <v>693</v>
      </c>
      <c r="G13" s="67" t="s">
        <v>694</v>
      </c>
      <c r="H13" s="65">
        <v>72</v>
      </c>
      <c r="I13">
        <f>'详细数据'!AC210</f>
      </c>
      <c r="J13" s="65">
        <v>778</v>
      </c>
      <c r="K13" s="65">
        <v>28</v>
      </c>
      <c r="L13" s="65">
        <v>31</v>
      </c>
      <c r="M13" s="65">
        <v>5</v>
      </c>
      <c r="N13">
        <f t="shared" si="4"/>
      </c>
      <c r="O13">
        <f>'详细数据'!J210</f>
      </c>
      <c r="P13" s="68">
        <f t="shared" si="8"/>
      </c>
      <c r="Q13" s="60" t="s">
        <v>695</v>
      </c>
      <c r="R13" s="70" t="s">
        <v>696</v>
      </c>
      <c r="S13" s="70"/>
      <c r="T13">
        <f t="shared" si="1"/>
      </c>
      <c r="U13" s="70"/>
      <c r="V13" s="70"/>
      <c r="W13" s="70"/>
      <c r="X13" s="70"/>
      <c r="Y13" s="70"/>
      <c r="Z13" s="70"/>
      <c r="AA13" s="70"/>
      <c r="AB13" s="70"/>
    </row>
    <row r="14">
      <c r="A14" s="61">
        <v>46150</v>
      </c>
      <c r="B14" s="62">
        <f t="shared" si="6"/>
      </c>
      <c r="C14" s="60" t="s">
        <v>643</v>
      </c>
      <c r="D14" s="63" t="s">
        <v>697</v>
      </c>
      <c r="E14" s="63" t="s">
        <v>698</v>
      </c>
      <c r="F14" s="65" t="s">
        <v>699</v>
      </c>
      <c r="G14" s="63" t="s">
        <v>700</v>
      </c>
      <c r="H14" s="65">
        <v>98</v>
      </c>
      <c r="I14" s="65">
        <f>'详细数据'!AC211</f>
      </c>
      <c r="J14" s="65">
        <v>468</v>
      </c>
      <c r="K14" s="65">
        <v>27</v>
      </c>
      <c r="L14" s="65">
        <v>28</v>
      </c>
      <c r="M14" s="65">
        <v>34</v>
      </c>
      <c r="N14">
        <f t="shared" si="4"/>
      </c>
      <c r="O14" s="71">
        <f>'详细数据'!J211</f>
      </c>
      <c r="P14" s="68">
        <f t="shared" si="8"/>
      </c>
      <c r="Q14" s="60" t="s">
        <v>659</v>
      </c>
      <c r="R14" t="s">
        <v>701</v>
      </c>
      <c r="T14">
        <f t="shared" si="1"/>
      </c>
    </row>
    <row r="15">
      <c r="A15" s="61">
        <v>46151</v>
      </c>
      <c r="B15" s="62">
        <f t="shared" si="6"/>
      </c>
      <c r="C15" t="s">
        <v>674</v>
      </c>
      <c r="D15" s="63" t="s">
        <v>702</v>
      </c>
      <c r="E15" s="63" t="s">
        <v>703</v>
      </c>
      <c r="F15" s="72"/>
      <c r="G15" s="63" t="s">
        <v>704</v>
      </c>
      <c r="H15" s="65">
        <v>119</v>
      </c>
      <c r="J15" s="65"/>
      <c r="K15" s="65"/>
      <c r="L15" s="65"/>
      <c r="M15" s="65"/>
      <c r="O15" s="71"/>
      <c r="P15" s="68"/>
      <c r="Q15" s="60" t="s">
        <v>659</v>
      </c>
      <c r="R15" t="s">
        <v>664</v>
      </c>
    </row>
    <row r="16">
      <c r="A16" s="61">
        <v>46152</v>
      </c>
      <c r="B16" s="62">
        <f t="shared" si="6"/>
      </c>
      <c r="C16" t="s">
        <v>643</v>
      </c>
      <c r="D16" s="63" t="s">
        <v>705</v>
      </c>
      <c r="E16" s="67" t="s">
        <v>706</v>
      </c>
      <c r="F16" s="65" t="s">
        <v>707</v>
      </c>
      <c r="G16" s="67" t="s">
        <v>708</v>
      </c>
      <c r="H16" s="65">
        <v>88</v>
      </c>
      <c r="I16">
        <f>'详细数据'!AC212</f>
      </c>
      <c r="J16" s="65">
        <v>2765</v>
      </c>
      <c r="K16" s="65">
        <v>57</v>
      </c>
      <c r="L16" s="65">
        <v>17</v>
      </c>
      <c r="M16" s="65">
        <v>52</v>
      </c>
      <c r="N16">
        <f>SUM(J16:M16)</f>
      </c>
      <c r="O16" s="71">
        <f>'详细数据'!J212</f>
      </c>
      <c r="P16" s="68">
        <f>O16/N16</f>
      </c>
      <c r="Q16" s="60" t="s">
        <v>659</v>
      </c>
      <c r="R16" t="s">
        <v>709</v>
      </c>
      <c r="S16" s="65"/>
      <c r="T16">
        <f>IF(N16="","",IF(N16&gt;=500000,"S 级",IF(N16&gt;=100000,"A 级",IF(N16&gt;=50000,"B 级","C 级"))))</f>
      </c>
    </row>
    <row r="17">
      <c r="A17" s="61">
        <v>46154</v>
      </c>
      <c r="B17" s="62">
        <f t="shared" si="6"/>
      </c>
      <c r="C17" t="s">
        <v>674</v>
      </c>
      <c r="D17" s="63" t="s">
        <v>710</v>
      </c>
      <c r="E17" s="67" t="s">
        <v>711</v>
      </c>
      <c r="F17" s="72"/>
      <c r="G17" s="63" t="s">
        <v>712</v>
      </c>
      <c r="H17" s="65">
        <v>130</v>
      </c>
      <c r="J17" s="65"/>
      <c r="K17" s="65"/>
      <c r="L17" s="65"/>
      <c r="M17" s="65"/>
      <c r="O17" s="71"/>
      <c r="P17" s="68"/>
      <c r="Q17" s="60" t="s">
        <v>653</v>
      </c>
      <c r="R17" t="s">
        <v>673</v>
      </c>
    </row>
    <row r="18">
      <c r="A18" s="61">
        <v>46153</v>
      </c>
      <c r="B18" s="62">
        <f t="shared" si="6"/>
      </c>
      <c r="C18" t="s">
        <v>643</v>
      </c>
      <c r="D18" s="63" t="s">
        <v>713</v>
      </c>
      <c r="E18" s="67" t="s">
        <v>714</v>
      </c>
      <c r="F18" s="65" t="s">
        <v>715</v>
      </c>
      <c r="G18" s="67" t="s">
        <v>716</v>
      </c>
      <c r="H18" s="65">
        <v>73</v>
      </c>
      <c r="I18">
        <f>'详细数据'!AC213</f>
      </c>
      <c r="J18" s="65">
        <v>102</v>
      </c>
      <c r="K18" s="65">
        <v>5</v>
      </c>
      <c r="L18" s="65">
        <v>10</v>
      </c>
      <c r="M18" s="65">
        <v>5</v>
      </c>
      <c r="N18">
        <f t="shared" ref="N18:N50" si="5">SUM(J18:M18)</f>
      </c>
      <c r="O18" s="71">
        <f>'详细数据'!J213</f>
      </c>
      <c r="P18" s="68">
        <f t="shared" ref="P18:P50" si="9">O18/N18</f>
      </c>
      <c r="Q18" s="60" t="s">
        <v>659</v>
      </c>
      <c r="R18" t="s">
        <v>701</v>
      </c>
      <c r="T18">
        <f t="shared" ref="T18:T50" si="2">IF(N18="","",IF(N18&gt;=500000,"S 级",IF(N18&gt;=100000,"A 级",IF(N18&gt;=50000,"B 级","C 级"))))</f>
      </c>
    </row>
    <row r="19">
      <c r="A19" s="61">
        <v>46155</v>
      </c>
      <c r="B19" s="62">
        <f t="shared" si="6"/>
      </c>
      <c r="C19" t="s">
        <v>643</v>
      </c>
      <c r="D19" s="67" t="s">
        <v>717</v>
      </c>
      <c r="E19" s="67" t="s">
        <v>718</v>
      </c>
      <c r="F19" s="65" t="s">
        <v>719</v>
      </c>
      <c r="G19" s="67" t="s">
        <v>720</v>
      </c>
      <c r="H19" s="65">
        <v>142</v>
      </c>
      <c r="I19" s="65">
        <f>'详细数据'!AC221</f>
      </c>
      <c r="J19" s="65">
        <v>1061</v>
      </c>
      <c r="K19" s="65">
        <v>14</v>
      </c>
      <c r="L19" s="65">
        <v>148</v>
      </c>
      <c r="M19" s="65">
        <v>10</v>
      </c>
      <c r="N19">
        <f t="shared" si="5"/>
      </c>
      <c r="O19">
        <f>'详细数据'!J221</f>
      </c>
      <c r="P19" s="68">
        <f t="shared" si="9"/>
      </c>
      <c r="Q19" s="60" t="s">
        <v>695</v>
      </c>
      <c r="R19" t="s">
        <v>721</v>
      </c>
      <c r="T19">
        <f t="shared" si="2"/>
      </c>
    </row>
    <row r="20">
      <c r="A20" s="61">
        <v>46155</v>
      </c>
      <c r="B20" s="62">
        <f t="shared" si="6"/>
      </c>
      <c r="C20" t="s">
        <v>643</v>
      </c>
      <c r="D20" s="67" t="s">
        <v>722</v>
      </c>
      <c r="E20" s="67" t="s">
        <v>723</v>
      </c>
      <c r="F20" s="65" t="s">
        <v>719</v>
      </c>
      <c r="G20" s="67" t="s">
        <v>724</v>
      </c>
      <c r="H20" s="65">
        <v>248</v>
      </c>
      <c r="I20" s="65">
        <f>'详细数据'!AC220</f>
      </c>
      <c r="J20" s="65">
        <v>931</v>
      </c>
      <c r="K20" s="65">
        <v>22</v>
      </c>
      <c r="L20" s="65">
        <v>348</v>
      </c>
      <c r="M20" s="65">
        <v>77</v>
      </c>
      <c r="N20">
        <f t="shared" si="5"/>
      </c>
      <c r="O20" s="65">
        <f>'详细数据'!J220</f>
      </c>
      <c r="P20" s="68">
        <f t="shared" si="9"/>
      </c>
      <c r="Q20" s="65" t="s">
        <v>653</v>
      </c>
      <c r="R20" t="s">
        <v>725</v>
      </c>
      <c r="T20">
        <f t="shared" si="2"/>
      </c>
    </row>
    <row r="21">
      <c r="A21" s="73">
        <v>46156</v>
      </c>
      <c r="B21" s="62">
        <f t="shared" si="6"/>
      </c>
      <c r="C21" t="s">
        <v>643</v>
      </c>
      <c r="D21" s="63" t="s">
        <v>726</v>
      </c>
      <c r="E21" s="67" t="s">
        <v>727</v>
      </c>
      <c r="F21" s="65" t="s">
        <v>719</v>
      </c>
      <c r="G21" t="s">
        <v>728</v>
      </c>
      <c r="H21" s="65">
        <v>88</v>
      </c>
      <c r="I21">
        <f>'详细数据'!AC219</f>
      </c>
      <c r="J21" s="65">
        <v>291</v>
      </c>
      <c r="K21" s="65">
        <v>6</v>
      </c>
      <c r="L21" s="65">
        <v>7</v>
      </c>
      <c r="M21" s="65">
        <v>7</v>
      </c>
      <c r="N21">
        <f t="shared" si="5"/>
      </c>
      <c r="O21">
        <f>'详细数据'!J219</f>
      </c>
      <c r="P21" s="68">
        <f t="shared" si="9"/>
      </c>
      <c r="Q21" t="s">
        <v>653</v>
      </c>
      <c r="R21" t="s">
        <v>729</v>
      </c>
      <c r="T21">
        <f t="shared" si="2"/>
      </c>
    </row>
    <row r="22">
      <c r="A22" s="73">
        <v>46154</v>
      </c>
      <c r="B22" s="62">
        <f t="shared" si="6"/>
      </c>
      <c r="C22" t="s">
        <v>643</v>
      </c>
      <c r="D22" s="63" t="s">
        <v>730</v>
      </c>
      <c r="E22" s="67" t="s">
        <v>731</v>
      </c>
      <c r="F22" s="65" t="s">
        <v>719</v>
      </c>
      <c r="G22" t="s">
        <v>732</v>
      </c>
      <c r="H22" s="65">
        <v>74</v>
      </c>
      <c r="I22">
        <f>'详细数据'!AC215</f>
      </c>
      <c r="J22" s="65">
        <v>880</v>
      </c>
      <c r="K22" s="65">
        <v>19</v>
      </c>
      <c r="L22" s="65">
        <v>42</v>
      </c>
      <c r="M22" s="65">
        <v>3</v>
      </c>
      <c r="N22">
        <f t="shared" si="5"/>
      </c>
      <c r="O22">
        <f>'详细数据'!J215</f>
      </c>
      <c r="P22" s="68">
        <f t="shared" si="9"/>
      </c>
      <c r="Q22" t="s">
        <v>659</v>
      </c>
      <c r="R22" t="s">
        <v>733</v>
      </c>
      <c r="T22">
        <f t="shared" si="2"/>
      </c>
    </row>
    <row r="23">
      <c r="A23" s="73">
        <v>46156</v>
      </c>
      <c r="B23" s="62">
        <f t="shared" si="6"/>
      </c>
      <c r="C23" t="s">
        <v>643</v>
      </c>
      <c r="D23" s="63" t="s">
        <v>734</v>
      </c>
      <c r="E23" s="63" t="s">
        <v>735</v>
      </c>
      <c r="F23" s="65" t="s">
        <v>719</v>
      </c>
      <c r="G23" t="s">
        <v>736</v>
      </c>
      <c r="H23" s="65">
        <v>149</v>
      </c>
      <c r="I23">
        <f>'详细数据'!AC218</f>
      </c>
      <c r="J23" s="65">
        <v>342</v>
      </c>
      <c r="K23" s="65">
        <v>31</v>
      </c>
      <c r="L23" s="65">
        <v>19</v>
      </c>
      <c r="M23" s="65">
        <v>16</v>
      </c>
      <c r="N23">
        <f t="shared" si="5"/>
      </c>
      <c r="O23">
        <f>'详细数据'!J218</f>
      </c>
      <c r="P23" s="68">
        <f t="shared" si="9"/>
      </c>
      <c r="Q23" t="s">
        <v>648</v>
      </c>
      <c r="R23" t="s">
        <v>648</v>
      </c>
      <c r="T23">
        <f t="shared" si="2"/>
      </c>
    </row>
    <row r="24">
      <c r="A24" s="73">
        <v>46156</v>
      </c>
      <c r="B24" s="62">
        <f t="shared" si="6"/>
      </c>
      <c r="C24" t="s">
        <v>643</v>
      </c>
      <c r="D24" s="67" t="s">
        <v>737</v>
      </c>
      <c r="E24" s="67" t="s">
        <v>738</v>
      </c>
      <c r="F24" s="65" t="s">
        <v>719</v>
      </c>
      <c r="G24" t="s">
        <v>739</v>
      </c>
      <c r="H24" s="65">
        <v>87</v>
      </c>
      <c r="I24">
        <f>'详细数据'!AC217</f>
      </c>
      <c r="J24" s="65">
        <v>421</v>
      </c>
      <c r="K24" s="65">
        <v>4</v>
      </c>
      <c r="L24" s="65">
        <v>7</v>
      </c>
      <c r="M24" s="65">
        <v>12</v>
      </c>
      <c r="N24">
        <f t="shared" si="5"/>
      </c>
      <c r="O24">
        <f>'详细数据'!J217</f>
      </c>
      <c r="P24" s="68">
        <f t="shared" si="9"/>
      </c>
      <c r="Q24" t="s">
        <v>659</v>
      </c>
      <c r="R24" t="s">
        <v>701</v>
      </c>
      <c r="T24">
        <f t="shared" si="2"/>
      </c>
    </row>
    <row r="25">
      <c r="A25" s="73">
        <v>46156</v>
      </c>
      <c r="B25" s="62">
        <f t="shared" si="6"/>
      </c>
      <c r="C25" t="s">
        <v>643</v>
      </c>
      <c r="D25" s="67" t="s">
        <v>740</v>
      </c>
      <c r="E25" s="67" t="s">
        <v>741</v>
      </c>
      <c r="F25" s="65" t="s">
        <v>719</v>
      </c>
      <c r="G25" t="s">
        <v>742</v>
      </c>
      <c r="H25" s="65">
        <v>188</v>
      </c>
      <c r="I25">
        <f>'详细数据'!AC216</f>
      </c>
      <c r="J25" s="65">
        <v>3951</v>
      </c>
      <c r="K25" s="65">
        <v>56</v>
      </c>
      <c r="L25" s="65">
        <v>69</v>
      </c>
      <c r="M25" s="65">
        <v>38</v>
      </c>
      <c r="N25">
        <f t="shared" si="5"/>
      </c>
      <c r="O25">
        <f>'详细数据'!J216</f>
      </c>
      <c r="P25" s="68">
        <f t="shared" si="9"/>
      </c>
      <c r="Q25" t="s">
        <v>653</v>
      </c>
      <c r="R25" t="s">
        <v>743</v>
      </c>
      <c r="T25">
        <f t="shared" si="2"/>
      </c>
    </row>
    <row r="26">
      <c r="A26" s="73">
        <v>46157</v>
      </c>
      <c r="B26" s="62">
        <f t="shared" si="6"/>
      </c>
      <c r="C26" t="s">
        <v>643</v>
      </c>
      <c r="D26" s="63" t="s">
        <v>744</v>
      </c>
      <c r="E26" s="67" t="s">
        <v>745</v>
      </c>
      <c r="F26" s="65" t="s">
        <v>746</v>
      </c>
      <c r="G26" t="s">
        <v>747</v>
      </c>
      <c r="H26" s="65">
        <v>111</v>
      </c>
      <c r="I26">
        <f>'详细数据'!AC226</f>
      </c>
      <c r="J26" s="65">
        <v>669</v>
      </c>
      <c r="K26" s="65">
        <v>28</v>
      </c>
      <c r="L26" s="65">
        <v>41</v>
      </c>
      <c r="M26" s="65">
        <v>26</v>
      </c>
      <c r="N26">
        <f t="shared" si="5"/>
      </c>
      <c r="O26">
        <f>'详细数据'!J226</f>
      </c>
      <c r="P26" s="68">
        <f t="shared" si="9"/>
      </c>
      <c r="Q26" t="s">
        <v>659</v>
      </c>
      <c r="R26" t="s">
        <v>748</v>
      </c>
      <c r="T26">
        <f t="shared" si="2"/>
      </c>
    </row>
    <row r="27">
      <c r="A27" s="73">
        <v>46158</v>
      </c>
      <c r="B27" s="62">
        <f t="shared" si="6"/>
      </c>
      <c r="C27" t="s">
        <v>643</v>
      </c>
      <c r="D27" s="63" t="s">
        <v>749</v>
      </c>
      <c r="E27" s="67" t="s">
        <v>750</v>
      </c>
      <c r="F27" s="64" t="s">
        <v>751</v>
      </c>
      <c r="G27" s="67" t="s">
        <v>752</v>
      </c>
      <c r="H27" s="65">
        <v>3430</v>
      </c>
      <c r="I27">
        <f>'详细数据'!AC225+'详细数据'!AC227</f>
      </c>
      <c r="J27" s="65">
        <v>18000</v>
      </c>
      <c r="K27" s="65">
        <v>264</v>
      </c>
      <c r="L27" s="65">
        <v>3065</v>
      </c>
      <c r="M27" s="65">
        <v>1114</v>
      </c>
      <c r="N27">
        <f t="shared" si="5"/>
      </c>
      <c r="O27">
        <f>'详细数据'!J225+'详细数据'!J227</f>
      </c>
      <c r="P27" s="69">
        <f t="shared" si="9"/>
      </c>
      <c r="Q27" t="s">
        <v>659</v>
      </c>
      <c r="R27" t="s">
        <v>709</v>
      </c>
      <c r="T27">
        <f t="shared" si="2"/>
      </c>
    </row>
    <row r="28">
      <c r="A28" s="73">
        <v>46157</v>
      </c>
      <c r="B28" s="62">
        <f t="shared" si="6"/>
      </c>
      <c r="C28" t="s">
        <v>643</v>
      </c>
      <c r="D28" s="67" t="s">
        <v>753</v>
      </c>
      <c r="E28" s="67" t="s">
        <v>754</v>
      </c>
      <c r="F28" s="65" t="s">
        <v>746</v>
      </c>
      <c r="G28" t="s">
        <v>755</v>
      </c>
      <c r="H28" s="65">
        <v>742</v>
      </c>
      <c r="I28">
        <f>'详细数据'!AC224</f>
      </c>
      <c r="J28" s="65">
        <v>1075</v>
      </c>
      <c r="K28" s="65">
        <v>45</v>
      </c>
      <c r="L28" s="65">
        <v>176</v>
      </c>
      <c r="M28" s="65">
        <v>258</v>
      </c>
      <c r="N28">
        <f t="shared" si="5"/>
      </c>
      <c r="O28">
        <f>'详细数据'!J224</f>
      </c>
      <c r="P28" s="68">
        <f t="shared" si="9"/>
      </c>
      <c r="Q28" t="s">
        <v>695</v>
      </c>
      <c r="R28" t="s">
        <v>756</v>
      </c>
      <c r="T28">
        <f t="shared" si="2"/>
      </c>
    </row>
    <row r="29">
      <c r="A29" s="73">
        <v>46159</v>
      </c>
      <c r="B29" s="62">
        <f t="shared" si="6"/>
      </c>
      <c r="C29" t="s">
        <v>643</v>
      </c>
      <c r="D29" s="67" t="s">
        <v>757</v>
      </c>
      <c r="E29" s="67" t="s">
        <v>758</v>
      </c>
      <c r="F29" s="65" t="s">
        <v>746</v>
      </c>
      <c r="G29" t="s">
        <v>759</v>
      </c>
      <c r="H29" s="65">
        <v>481</v>
      </c>
      <c r="I29">
        <f>'详细数据'!AC223</f>
      </c>
      <c r="J29" s="65">
        <v>1357</v>
      </c>
      <c r="K29" s="65">
        <v>30</v>
      </c>
      <c r="L29" s="65">
        <v>59</v>
      </c>
      <c r="M29" s="65">
        <v>491</v>
      </c>
      <c r="N29">
        <f t="shared" si="5"/>
      </c>
      <c r="O29">
        <f>'详细数据'!J223</f>
      </c>
      <c r="P29" s="68">
        <f t="shared" si="9"/>
      </c>
      <c r="Q29" t="s">
        <v>659</v>
      </c>
      <c r="R29" t="s">
        <v>701</v>
      </c>
      <c r="T29">
        <f t="shared" si="2"/>
      </c>
    </row>
    <row r="30">
      <c r="A30" s="73">
        <v>46159</v>
      </c>
      <c r="B30" s="62">
        <f t="shared" si="6"/>
      </c>
      <c r="C30" t="s">
        <v>643</v>
      </c>
      <c r="D30" s="67" t="s">
        <v>760</v>
      </c>
      <c r="E30" s="67" t="s">
        <v>761</v>
      </c>
      <c r="F30" s="65" t="s">
        <v>746</v>
      </c>
      <c r="G30" t="s">
        <v>762</v>
      </c>
      <c r="H30" s="65">
        <v>48</v>
      </c>
      <c r="I30">
        <f>'详细数据'!AC222</f>
      </c>
      <c r="J30" s="65">
        <v>1045</v>
      </c>
      <c r="K30" s="65">
        <v>51</v>
      </c>
      <c r="L30" s="65">
        <v>47</v>
      </c>
      <c r="M30" s="65">
        <v>61</v>
      </c>
      <c r="N30">
        <f t="shared" si="5"/>
      </c>
      <c r="O30">
        <f>'详细数据'!J222</f>
      </c>
      <c r="P30" s="68">
        <f t="shared" si="9"/>
      </c>
      <c r="Q30" t="s">
        <v>668</v>
      </c>
      <c r="R30" t="s">
        <v>763</v>
      </c>
      <c r="T30">
        <f t="shared" si="2"/>
      </c>
    </row>
    <row r="31">
      <c r="A31" s="73">
        <v>46160</v>
      </c>
      <c r="B31" s="62">
        <f t="shared" si="6"/>
      </c>
      <c r="C31" t="s">
        <v>643</v>
      </c>
      <c r="D31" s="67" t="s">
        <v>764</v>
      </c>
      <c r="E31" s="63" t="s">
        <v>765</v>
      </c>
      <c r="F31" s="65" t="s">
        <v>766</v>
      </c>
      <c r="G31" t="s">
        <v>767</v>
      </c>
      <c r="H31" s="65">
        <v>198</v>
      </c>
      <c r="I31">
        <f>'详细数据'!AC232</f>
      </c>
      <c r="J31" s="65">
        <v>1330</v>
      </c>
      <c r="K31" s="65">
        <v>33</v>
      </c>
      <c r="L31" s="65">
        <v>80</v>
      </c>
      <c r="M31" s="65">
        <v>6</v>
      </c>
      <c r="N31">
        <f t="shared" si="5"/>
      </c>
      <c r="O31">
        <f>'详细数据'!J232</f>
      </c>
      <c r="P31" s="68">
        <f t="shared" si="9"/>
      </c>
      <c r="Q31" t="s">
        <v>653</v>
      </c>
      <c r="R31" t="s">
        <v>673</v>
      </c>
      <c r="T31">
        <f t="shared" si="2"/>
      </c>
    </row>
    <row r="32">
      <c r="A32" s="73">
        <v>46160</v>
      </c>
      <c r="B32" s="62">
        <f t="shared" si="6"/>
      </c>
      <c r="C32" t="s">
        <v>643</v>
      </c>
      <c r="D32" s="67" t="s">
        <v>768</v>
      </c>
      <c r="E32" s="67" t="s">
        <v>769</v>
      </c>
      <c r="F32" s="65" t="s">
        <v>766</v>
      </c>
      <c r="G32" s="65" t="s">
        <v>770</v>
      </c>
      <c r="H32" s="65">
        <v>95</v>
      </c>
      <c r="I32">
        <f>'详细数据'!AC231</f>
      </c>
      <c r="J32" s="65">
        <v>1662</v>
      </c>
      <c r="K32" s="65">
        <v>29</v>
      </c>
      <c r="L32" s="65">
        <v>100</v>
      </c>
      <c r="M32" s="65">
        <v>38</v>
      </c>
      <c r="N32">
        <f t="shared" si="5"/>
      </c>
      <c r="O32">
        <f>'详细数据'!J231</f>
      </c>
      <c r="P32" s="68">
        <f t="shared" si="9"/>
      </c>
      <c r="Q32" t="s">
        <v>659</v>
      </c>
      <c r="R32" t="s">
        <v>733</v>
      </c>
      <c r="T32">
        <f t="shared" si="2"/>
      </c>
    </row>
    <row r="33">
      <c r="A33" s="73">
        <v>46160</v>
      </c>
      <c r="B33" s="62">
        <f t="shared" si="6"/>
      </c>
      <c r="C33" t="s">
        <v>643</v>
      </c>
      <c r="D33" s="67" t="s">
        <v>771</v>
      </c>
      <c r="E33" s="67" t="s">
        <v>772</v>
      </c>
      <c r="F33" s="65" t="s">
        <v>766</v>
      </c>
      <c r="G33" t="s">
        <v>773</v>
      </c>
      <c r="H33" s="65">
        <v>77</v>
      </c>
      <c r="I33">
        <f>'详细数据'!AC230</f>
      </c>
      <c r="J33" s="65">
        <v>143</v>
      </c>
      <c r="K33" s="65">
        <v>4</v>
      </c>
      <c r="L33" s="65">
        <v>65</v>
      </c>
      <c r="M33" s="65">
        <v>7</v>
      </c>
      <c r="N33">
        <f t="shared" si="5"/>
      </c>
      <c r="O33">
        <f>'详细数据'!J230</f>
      </c>
      <c r="P33" s="68">
        <f t="shared" si="9"/>
      </c>
      <c r="Q33" t="s">
        <v>648</v>
      </c>
      <c r="R33" t="s">
        <v>648</v>
      </c>
      <c r="T33">
        <f t="shared" si="2"/>
      </c>
    </row>
    <row r="34">
      <c r="A34" s="73">
        <v>46159</v>
      </c>
      <c r="B34" s="62">
        <f t="shared" si="6"/>
      </c>
      <c r="C34" t="s">
        <v>643</v>
      </c>
      <c r="D34" t="s">
        <v>774</v>
      </c>
      <c r="E34" s="67" t="s">
        <v>775</v>
      </c>
      <c r="F34" s="65" t="s">
        <v>766</v>
      </c>
      <c r="G34" t="s">
        <v>776</v>
      </c>
      <c r="H34" s="65">
        <v>198</v>
      </c>
      <c r="I34">
        <f>'详细数据'!AC229</f>
      </c>
      <c r="J34" s="65">
        <v>1331</v>
      </c>
      <c r="K34" s="65">
        <v>29</v>
      </c>
      <c r="L34" s="65">
        <v>68</v>
      </c>
      <c r="M34" s="65">
        <v>12</v>
      </c>
      <c r="N34">
        <f t="shared" si="5"/>
      </c>
      <c r="O34">
        <f>'详细数据'!J229</f>
      </c>
      <c r="P34" s="68">
        <f t="shared" si="9"/>
      </c>
      <c r="Q34" t="s">
        <v>695</v>
      </c>
      <c r="R34" t="s">
        <v>756</v>
      </c>
      <c r="T34">
        <f t="shared" si="2"/>
      </c>
    </row>
    <row r="35">
      <c r="A35" s="73">
        <v>46160</v>
      </c>
      <c r="B35" s="62">
        <f t="shared" si="6"/>
      </c>
      <c r="C35" t="s">
        <v>643</v>
      </c>
      <c r="D35" s="63" t="s">
        <v>777</v>
      </c>
      <c r="E35" s="67" t="s">
        <v>778</v>
      </c>
      <c r="F35" s="65" t="s">
        <v>766</v>
      </c>
      <c r="G35" t="s">
        <v>779</v>
      </c>
      <c r="H35" s="65">
        <v>88</v>
      </c>
      <c r="I35">
        <f>'详细数据'!AC228</f>
      </c>
      <c r="J35" s="65">
        <v>1591</v>
      </c>
      <c r="K35" s="65">
        <v>47</v>
      </c>
      <c r="L35" s="65">
        <v>43</v>
      </c>
      <c r="M35" s="65">
        <v>19</v>
      </c>
      <c r="N35">
        <f t="shared" si="5"/>
      </c>
      <c r="O35">
        <f>'详细数据'!J228</f>
      </c>
      <c r="P35" s="68">
        <f t="shared" si="9"/>
      </c>
      <c r="Q35" t="s">
        <v>659</v>
      </c>
      <c r="R35" t="s">
        <v>701</v>
      </c>
      <c r="T35">
        <f t="shared" si="2"/>
      </c>
    </row>
    <row r="36">
      <c r="A36" s="73">
        <v>46162</v>
      </c>
      <c r="B36" s="62">
        <f t="shared" si="6"/>
      </c>
      <c r="C36" t="s">
        <v>643</v>
      </c>
      <c r="D36" s="63" t="s">
        <v>774</v>
      </c>
      <c r="E36" s="67" t="s">
        <v>780</v>
      </c>
      <c r="F36" s="65" t="s">
        <v>781</v>
      </c>
      <c r="G36" s="67" t="s">
        <v>782</v>
      </c>
      <c r="H36" s="65">
        <v>84</v>
      </c>
      <c r="I36">
        <f>'详细数据'!AC239</f>
      </c>
      <c r="J36" s="65">
        <v>191</v>
      </c>
      <c r="K36" s="65">
        <v>10</v>
      </c>
      <c r="L36" s="65">
        <v>16</v>
      </c>
      <c r="M36" s="65">
        <v>4</v>
      </c>
      <c r="N36">
        <f t="shared" si="5"/>
      </c>
      <c r="O36">
        <f>'详细数据'!J239</f>
      </c>
      <c r="P36" s="68">
        <f t="shared" si="9"/>
      </c>
      <c r="Q36" t="s">
        <v>668</v>
      </c>
      <c r="R36" t="s">
        <v>783</v>
      </c>
      <c r="T36">
        <f t="shared" si="2"/>
      </c>
    </row>
    <row r="37">
      <c r="A37" s="73">
        <v>46162</v>
      </c>
      <c r="B37" s="62">
        <f t="shared" si="6"/>
      </c>
      <c r="C37" t="s">
        <v>643</v>
      </c>
      <c r="D37" s="67" t="s">
        <v>784</v>
      </c>
      <c r="E37" s="67" t="s">
        <v>785</v>
      </c>
      <c r="F37" s="65" t="s">
        <v>781</v>
      </c>
      <c r="G37" s="67" t="s">
        <v>786</v>
      </c>
      <c r="H37" s="65">
        <v>75</v>
      </c>
      <c r="I37">
        <f>'详细数据'!AC238</f>
      </c>
      <c r="J37" s="65">
        <v>421</v>
      </c>
      <c r="K37" s="65">
        <v>5</v>
      </c>
      <c r="L37" s="65">
        <v>21</v>
      </c>
      <c r="M37" s="65">
        <v>1</v>
      </c>
      <c r="N37">
        <f t="shared" si="5"/>
      </c>
      <c r="O37">
        <f>'详细数据'!J238</f>
      </c>
      <c r="P37" s="68">
        <f t="shared" si="9"/>
      </c>
      <c r="Q37" t="s">
        <v>653</v>
      </c>
      <c r="R37" t="s">
        <v>725</v>
      </c>
      <c r="T37">
        <f t="shared" si="2"/>
      </c>
    </row>
    <row r="38">
      <c r="A38" s="73">
        <v>46162</v>
      </c>
      <c r="B38" s="62">
        <f t="shared" si="6"/>
      </c>
      <c r="C38" t="s">
        <v>643</v>
      </c>
      <c r="D38" s="67" t="s">
        <v>787</v>
      </c>
      <c r="E38" s="67" t="s">
        <v>788</v>
      </c>
      <c r="F38" s="65" t="s">
        <v>781</v>
      </c>
      <c r="G38" t="s">
        <v>789</v>
      </c>
      <c r="H38" s="65">
        <v>109</v>
      </c>
      <c r="I38">
        <f>'详细数据'!AC237</f>
      </c>
      <c r="J38" s="65">
        <v>766</v>
      </c>
      <c r="K38" s="65">
        <v>13</v>
      </c>
      <c r="L38" s="65">
        <v>38</v>
      </c>
      <c r="M38" s="65">
        <v>21</v>
      </c>
      <c r="N38">
        <f t="shared" si="5"/>
      </c>
      <c r="O38">
        <f>'详细数据'!J237</f>
      </c>
      <c r="P38" s="68">
        <f t="shared" si="9"/>
      </c>
      <c r="Q38" t="s">
        <v>653</v>
      </c>
      <c r="R38" t="s">
        <v>725</v>
      </c>
      <c r="T38">
        <f t="shared" si="2"/>
      </c>
    </row>
    <row r="39">
      <c r="A39" s="73">
        <v>46162</v>
      </c>
      <c r="B39" s="62">
        <f t="shared" si="6"/>
      </c>
      <c r="C39" t="s">
        <v>643</v>
      </c>
      <c r="D39" s="63" t="s">
        <v>790</v>
      </c>
      <c r="E39" s="67" t="s">
        <v>791</v>
      </c>
      <c r="F39" s="65" t="s">
        <v>781</v>
      </c>
      <c r="G39" s="67" t="s">
        <v>792</v>
      </c>
      <c r="H39" s="65">
        <v>167</v>
      </c>
      <c r="I39">
        <f>'详细数据'!AC236</f>
      </c>
      <c r="J39" s="65">
        <v>370</v>
      </c>
      <c r="K39" s="65">
        <v>8</v>
      </c>
      <c r="L39" s="65">
        <v>11</v>
      </c>
      <c r="M39" s="65">
        <v>4</v>
      </c>
      <c r="N39">
        <f t="shared" si="5"/>
      </c>
      <c r="O39">
        <f>'详细数据'!J236</f>
      </c>
      <c r="P39" s="68">
        <f t="shared" si="9"/>
      </c>
      <c r="Q39" t="s">
        <v>659</v>
      </c>
      <c r="R39" t="s">
        <v>664</v>
      </c>
      <c r="T39">
        <f t="shared" si="2"/>
      </c>
    </row>
    <row r="40">
      <c r="A40" s="73">
        <v>46162</v>
      </c>
      <c r="B40" s="62">
        <f t="shared" si="6"/>
      </c>
      <c r="C40" t="s">
        <v>643</v>
      </c>
      <c r="D40" s="67" t="s">
        <v>793</v>
      </c>
      <c r="E40" s="67" t="s">
        <v>794</v>
      </c>
      <c r="F40" s="64" t="s">
        <v>795</v>
      </c>
      <c r="G40" s="67" t="s">
        <v>796</v>
      </c>
      <c r="H40" s="65">
        <v>78302</v>
      </c>
      <c r="I40">
        <f>'详细数据'!AC235+'详细数据'!AC242</f>
      </c>
      <c r="J40" s="65">
        <v>232000</v>
      </c>
      <c r="K40" s="65">
        <v>16000</v>
      </c>
      <c r="L40" s="65">
        <v>9946</v>
      </c>
      <c r="M40" s="65">
        <v>16000</v>
      </c>
      <c r="N40" s="74">
        <f t="shared" si="5"/>
      </c>
      <c r="O40">
        <f>'详细数据'!J235+'详细数据'!J242</f>
      </c>
      <c r="P40" s="66">
        <f t="shared" si="9"/>
      </c>
      <c r="Q40" t="s">
        <v>659</v>
      </c>
      <c r="R40" t="s">
        <v>664</v>
      </c>
      <c r="T40">
        <f t="shared" si="2"/>
      </c>
    </row>
    <row r="41">
      <c r="A41" s="73">
        <v>46162</v>
      </c>
      <c r="B41" s="62">
        <f t="shared" si="6"/>
      </c>
      <c r="C41" t="s">
        <v>643</v>
      </c>
      <c r="D41" s="67" t="s">
        <v>797</v>
      </c>
      <c r="E41" s="67" t="s">
        <v>798</v>
      </c>
      <c r="F41" s="65" t="s">
        <v>781</v>
      </c>
      <c r="G41" s="67" t="s">
        <v>799</v>
      </c>
      <c r="H41" s="65">
        <v>717</v>
      </c>
      <c r="I41">
        <f>'详细数据'!AC234</f>
      </c>
      <c r="J41" s="65">
        <v>1257</v>
      </c>
      <c r="K41" s="65">
        <v>13</v>
      </c>
      <c r="L41" s="65">
        <v>29</v>
      </c>
      <c r="M41" s="65">
        <v>17</v>
      </c>
      <c r="N41">
        <f t="shared" si="5"/>
      </c>
      <c r="O41">
        <f>'详细数据'!J234</f>
      </c>
      <c r="P41" s="68">
        <f t="shared" si="9"/>
      </c>
      <c r="Q41" t="s">
        <v>659</v>
      </c>
      <c r="R41" t="s">
        <v>660</v>
      </c>
      <c r="T41">
        <f t="shared" si="2"/>
      </c>
    </row>
    <row r="42">
      <c r="A42" s="73">
        <v>46161</v>
      </c>
      <c r="B42" s="62">
        <f t="shared" si="6"/>
      </c>
      <c r="C42" t="s">
        <v>643</v>
      </c>
      <c r="D42" s="67" t="s">
        <v>800</v>
      </c>
      <c r="E42" s="67" t="s">
        <v>801</v>
      </c>
      <c r="F42" s="65" t="s">
        <v>781</v>
      </c>
      <c r="G42" s="67" t="s">
        <v>802</v>
      </c>
      <c r="H42" s="65">
        <v>224</v>
      </c>
      <c r="I42">
        <f>'详细数据'!AC233</f>
      </c>
      <c r="J42" s="65">
        <v>1006</v>
      </c>
      <c r="K42" s="65">
        <v>33</v>
      </c>
      <c r="L42" s="65">
        <v>92</v>
      </c>
      <c r="M42" s="65">
        <v>5</v>
      </c>
      <c r="N42">
        <f t="shared" si="5"/>
      </c>
      <c r="O42">
        <f>'详细数据'!J233</f>
      </c>
      <c r="P42" s="68">
        <f t="shared" si="9"/>
      </c>
      <c r="Q42" t="s">
        <v>668</v>
      </c>
      <c r="R42" t="s">
        <v>803</v>
      </c>
      <c r="T42">
        <f t="shared" si="2"/>
      </c>
    </row>
    <row r="43">
      <c r="A43" s="73">
        <v>46164</v>
      </c>
      <c r="B43" s="62">
        <f t="shared" si="6"/>
      </c>
      <c r="C43" t="s">
        <v>643</v>
      </c>
      <c r="D43" s="67" t="s">
        <v>804</v>
      </c>
      <c r="E43" s="67" t="s">
        <v>805</v>
      </c>
      <c r="F43" s="65" t="s">
        <v>781</v>
      </c>
      <c r="G43" s="67" t="s">
        <v>806</v>
      </c>
      <c r="H43" s="65">
        <v>202</v>
      </c>
      <c r="I43">
        <f>'详细数据'!AC241</f>
      </c>
      <c r="J43" s="65">
        <v>359</v>
      </c>
      <c r="K43" s="65">
        <v>10</v>
      </c>
      <c r="L43" s="65">
        <v>23</v>
      </c>
      <c r="M43" s="65">
        <v>158</v>
      </c>
      <c r="N43">
        <f t="shared" si="5"/>
      </c>
      <c r="O43">
        <f>'详细数据'!J241</f>
      </c>
      <c r="P43" s="68">
        <f t="shared" si="9"/>
      </c>
      <c r="Q43" s="65" t="s">
        <v>695</v>
      </c>
      <c r="R43" t="s">
        <v>756</v>
      </c>
      <c r="T43">
        <f t="shared" si="2"/>
      </c>
    </row>
    <row r="44">
      <c r="A44" s="73">
        <v>46165</v>
      </c>
      <c r="B44" s="62">
        <f t="shared" si="6"/>
      </c>
      <c r="C44" t="s">
        <v>643</v>
      </c>
      <c r="D44" t="s">
        <v>807</v>
      </c>
      <c r="E44" s="67" t="s">
        <v>808</v>
      </c>
      <c r="F44" s="65" t="s">
        <v>809</v>
      </c>
      <c r="G44" s="67" t="s">
        <v>810</v>
      </c>
      <c r="H44" s="65">
        <v>113</v>
      </c>
      <c r="I44">
        <f>'详细数据'!AC240</f>
      </c>
      <c r="J44" s="65">
        <v>323</v>
      </c>
      <c r="K44" s="65">
        <v>9</v>
      </c>
      <c r="L44" s="65">
        <v>137</v>
      </c>
      <c r="M44" s="65">
        <v>2</v>
      </c>
      <c r="N44">
        <f t="shared" si="5"/>
      </c>
      <c r="O44">
        <f>'详细数据'!J240</f>
      </c>
      <c r="P44" s="68">
        <f t="shared" si="9"/>
      </c>
      <c r="Q44" t="s">
        <v>659</v>
      </c>
      <c r="R44" t="s">
        <v>664</v>
      </c>
      <c r="T44">
        <f t="shared" si="2"/>
      </c>
    </row>
    <row r="45">
      <c r="A45" s="73">
        <v>46167</v>
      </c>
      <c r="B45" s="62">
        <f t="shared" si="6"/>
      </c>
      <c r="C45" t="s">
        <v>643</v>
      </c>
      <c r="D45" s="67" t="s">
        <v>811</v>
      </c>
      <c r="E45" s="67" t="s">
        <v>812</v>
      </c>
      <c r="F45" s="65" t="s">
        <v>809</v>
      </c>
      <c r="G45" s="67" t="s">
        <v>813</v>
      </c>
      <c r="H45" s="65">
        <v>1283</v>
      </c>
      <c r="I45">
        <f>'详细数据'!AC243</f>
      </c>
      <c r="J45" s="65">
        <v>1443</v>
      </c>
      <c r="K45" s="65">
        <v>33</v>
      </c>
      <c r="L45" s="65">
        <v>330</v>
      </c>
      <c r="M45" s="65">
        <v>31</v>
      </c>
      <c r="N45">
        <f t="shared" si="5"/>
      </c>
      <c r="O45">
        <f>'详细数据'!J243</f>
      </c>
      <c r="P45" s="68">
        <f t="shared" si="9"/>
      </c>
      <c r="Q45" t="s">
        <v>659</v>
      </c>
      <c r="R45" t="s">
        <v>664</v>
      </c>
      <c r="T45">
        <f t="shared" si="2"/>
      </c>
    </row>
    <row r="46">
      <c r="A46" s="73">
        <v>46170</v>
      </c>
      <c r="B46" s="62">
        <f t="shared" si="6"/>
      </c>
      <c r="C46" t="s">
        <v>643</v>
      </c>
      <c r="D46" s="67" t="s">
        <v>814</v>
      </c>
      <c r="E46" s="67" t="s">
        <v>815</v>
      </c>
      <c r="F46" s="65" t="s">
        <v>816</v>
      </c>
      <c r="G46" s="67" t="s">
        <v>817</v>
      </c>
      <c r="H46" s="65">
        <v>111</v>
      </c>
      <c r="I46">
        <f>'详细数据'!AC245</f>
      </c>
      <c r="J46" s="65">
        <v>1561</v>
      </c>
      <c r="K46" s="65">
        <v>49</v>
      </c>
      <c r="L46" s="65">
        <v>38</v>
      </c>
      <c r="M46" s="65">
        <v>66</v>
      </c>
      <c r="N46">
        <f t="shared" si="5"/>
      </c>
      <c r="O46">
        <f>'详细数据'!J245</f>
      </c>
      <c r="P46" s="68">
        <f t="shared" si="9"/>
      </c>
      <c r="Q46" s="60" t="s">
        <v>659</v>
      </c>
      <c r="R46" t="s">
        <v>709</v>
      </c>
      <c r="T46">
        <f t="shared" si="2"/>
      </c>
    </row>
    <row r="47">
      <c r="A47" s="73">
        <v>46170</v>
      </c>
      <c r="B47" s="62">
        <f t="shared" si="6"/>
      </c>
      <c r="C47" t="s">
        <v>643</v>
      </c>
      <c r="D47" s="67" t="s">
        <v>818</v>
      </c>
      <c r="E47" s="67" t="s">
        <v>819</v>
      </c>
      <c r="F47" s="65" t="s">
        <v>816</v>
      </c>
      <c r="G47" s="67" t="s">
        <v>820</v>
      </c>
      <c r="H47" s="65">
        <v>159</v>
      </c>
      <c r="I47">
        <f>'详细数据'!AC244</f>
      </c>
      <c r="J47" s="65">
        <v>2215</v>
      </c>
      <c r="K47" s="65">
        <v>27</v>
      </c>
      <c r="L47" s="65">
        <v>33</v>
      </c>
      <c r="M47" s="65">
        <v>32</v>
      </c>
      <c r="N47">
        <f t="shared" si="5"/>
      </c>
      <c r="O47">
        <f>'详细数据'!J244</f>
      </c>
      <c r="P47" s="68">
        <f t="shared" si="9"/>
      </c>
      <c r="Q47" s="60" t="s">
        <v>695</v>
      </c>
      <c r="R47" t="s">
        <v>721</v>
      </c>
      <c r="T47">
        <f t="shared" si="2"/>
      </c>
    </row>
    <row r="48">
      <c r="A48" s="73">
        <v>46171</v>
      </c>
      <c r="B48" s="62">
        <f t="shared" si="6"/>
      </c>
      <c r="C48" t="s">
        <v>643</v>
      </c>
      <c r="D48" s="67" t="s">
        <v>821</v>
      </c>
      <c r="E48" s="67" t="s">
        <v>822</v>
      </c>
      <c r="F48" s="65" t="s">
        <v>823</v>
      </c>
      <c r="G48" s="67" t="s">
        <v>824</v>
      </c>
      <c r="H48" s="65">
        <v>231</v>
      </c>
      <c r="I48" s="65">
        <f>'详细数据'!AC248</f>
      </c>
      <c r="J48" s="65">
        <v>242</v>
      </c>
      <c r="K48" s="65">
        <v>6</v>
      </c>
      <c r="L48" s="65">
        <v>18</v>
      </c>
      <c r="M48" s="65">
        <v>15</v>
      </c>
      <c r="N48">
        <f t="shared" si="5"/>
      </c>
      <c r="O48" s="65">
        <f>'详细数据'!J248</f>
      </c>
      <c r="P48" s="68">
        <f t="shared" si="9"/>
      </c>
      <c r="Q48" t="s">
        <v>653</v>
      </c>
      <c r="R48" s="65" t="s">
        <v>729</v>
      </c>
      <c r="T48">
        <f t="shared" si="2"/>
      </c>
    </row>
    <row r="49">
      <c r="A49" s="73">
        <v>46172</v>
      </c>
      <c r="B49" s="62">
        <f t="shared" si="6"/>
      </c>
      <c r="C49" t="s">
        <v>825</v>
      </c>
      <c r="D49" s="67" t="s">
        <v>826</v>
      </c>
      <c r="E49" s="67" t="s">
        <v>827</v>
      </c>
      <c r="F49" s="64" t="s">
        <v>828</v>
      </c>
      <c r="G49" s="67" t="s">
        <v>829</v>
      </c>
      <c r="H49" s="65">
        <v>146000</v>
      </c>
      <c r="I49">
        <f>'详细数据'!AC247+'详细数据'!AC249+'详细数据'!AC251+'详细数据'!AC257</f>
      </c>
      <c r="J49" s="65">
        <v>207000</v>
      </c>
      <c r="K49" s="65">
        <v>8157</v>
      </c>
      <c r="L49" s="65">
        <v>19000</v>
      </c>
      <c r="M49" s="65">
        <v>335000</v>
      </c>
      <c r="N49">
        <f t="shared" si="5"/>
      </c>
      <c r="O49" s="65">
        <f>'详细数据'!J247+'详细数据'!J249+'详细数据'!J251+'详细数据'!J257</f>
      </c>
      <c r="P49" s="69">
        <f t="shared" si="9"/>
      </c>
      <c r="Q49" t="s">
        <v>653</v>
      </c>
      <c r="R49" t="s">
        <v>673</v>
      </c>
      <c r="S49" s="65"/>
      <c r="T49">
        <f t="shared" si="2"/>
      </c>
    </row>
    <row r="50">
      <c r="A50" s="73">
        <v>46172</v>
      </c>
      <c r="B50" s="62">
        <f t="shared" si="6"/>
      </c>
      <c r="C50" t="s">
        <v>643</v>
      </c>
      <c r="D50" s="67" t="s">
        <v>830</v>
      </c>
      <c r="E50" s="67" t="s">
        <v>831</v>
      </c>
      <c r="F50" s="65" t="s">
        <v>823</v>
      </c>
      <c r="G50" s="67" t="s">
        <v>832</v>
      </c>
      <c r="H50" s="65">
        <v>1595</v>
      </c>
      <c r="I50" s="65">
        <f>'详细数据'!AC246</f>
      </c>
      <c r="J50" s="65">
        <v>854</v>
      </c>
      <c r="K50" s="65">
        <v>86</v>
      </c>
      <c r="L50" s="65">
        <v>350</v>
      </c>
      <c r="M50" s="65">
        <v>1001</v>
      </c>
      <c r="N50">
        <f t="shared" si="5"/>
      </c>
      <c r="O50" s="65">
        <f>'详细数据'!J246</f>
      </c>
      <c r="P50" s="68">
        <f t="shared" si="9"/>
      </c>
      <c r="Q50" t="s">
        <v>653</v>
      </c>
      <c r="R50" t="s">
        <v>673</v>
      </c>
      <c r="S50" s="65"/>
      <c r="T50">
        <f t="shared" si="2"/>
      </c>
    </row>
    <row r="51">
      <c r="A51" s="75"/>
      <c r="B51" s="76"/>
      <c r="E51" s="67"/>
      <c r="F51" s="64"/>
      <c r="G51" s="67"/>
      <c r="H51" s="65"/>
      <c r="N51" s="65"/>
      <c r="P51" s="66"/>
      <c r="S51" s="65"/>
    </row>
    <row r="52">
      <c r="A52" s="73"/>
      <c r="B52" s="76"/>
      <c r="D52" s="67"/>
      <c r="E52" s="67"/>
      <c r="F52" s="65"/>
      <c r="G52" s="67"/>
      <c r="H52" s="65"/>
      <c r="N52" s="65"/>
      <c r="O52" s="77"/>
      <c r="P52" s="78"/>
    </row>
    <row r="53">
      <c r="A53" s="73"/>
      <c r="B53" s="76"/>
      <c r="D53" s="67"/>
      <c r="E53" s="67"/>
      <c r="F53" s="65"/>
      <c r="G53" s="67"/>
      <c r="H53" s="65"/>
      <c r="N53" s="65"/>
      <c r="P53" s="66"/>
    </row>
    <row r="54">
      <c r="A54" s="73"/>
      <c r="B54" s="76"/>
      <c r="E54" s="67"/>
      <c r="F54" s="65"/>
      <c r="G54" s="67"/>
      <c r="H54" s="65"/>
      <c r="N54" s="65"/>
      <c r="P54" s="66"/>
    </row>
    <row customHeight="true" ht="28" r="55">
      <c r="A55" s="73"/>
      <c r="B55" s="76"/>
      <c r="D55" s="67"/>
      <c r="E55" s="67"/>
      <c r="F55" s="64"/>
      <c r="G55" s="67"/>
      <c r="H55" s="65"/>
      <c r="N55" s="65"/>
      <c r="P55" s="66"/>
      <c r="S55" s="65"/>
    </row>
    <row r="56">
      <c r="A56" s="73"/>
      <c r="B56" s="76"/>
      <c r="D56" s="67"/>
      <c r="E56" s="67"/>
      <c r="F56" s="72"/>
      <c r="G56" s="67"/>
      <c r="H56" s="65"/>
      <c r="N56" s="65"/>
      <c r="P56" s="66"/>
    </row>
    <row r="57">
      <c r="A57" s="73"/>
      <c r="B57" s="76"/>
      <c r="D57" s="67"/>
      <c r="E57" s="67"/>
      <c r="F57" s="72"/>
      <c r="G57" s="67"/>
      <c r="H57" s="65"/>
      <c r="N57" s="65"/>
      <c r="P57" s="66"/>
    </row>
    <row r="58">
      <c r="A58" s="73"/>
      <c r="B58" s="76"/>
      <c r="D58" s="67"/>
      <c r="E58" s="67"/>
      <c r="F58" s="72"/>
      <c r="G58" s="67"/>
      <c r="H58" s="65"/>
      <c r="N58" s="65"/>
      <c r="P58" s="66"/>
    </row>
    <row r="59">
      <c r="A59" s="73"/>
      <c r="B59" s="76"/>
      <c r="D59" s="67"/>
      <c r="E59" s="67"/>
      <c r="G59" s="67"/>
      <c r="H59" s="65"/>
      <c r="P59" s="66"/>
    </row>
    <row r="60">
      <c r="A60" s="79"/>
      <c r="D60" s="67"/>
      <c r="E60" s="67"/>
      <c r="G60" s="67"/>
      <c r="P60" s="66"/>
    </row>
    <row r="61">
      <c r="A61" s="79"/>
      <c r="D61" s="67"/>
      <c r="E61" s="67"/>
      <c r="G61" s="67"/>
      <c r="P61" s="66"/>
    </row>
    <row r="62">
      <c r="A62" s="79"/>
      <c r="D62" s="67"/>
      <c r="E62" s="67"/>
      <c r="P62" s="66"/>
    </row>
    <row r="63">
      <c r="A63" s="79"/>
      <c r="D63" s="67"/>
      <c r="E63" s="67"/>
      <c r="G63" s="67"/>
      <c r="P63" s="66"/>
    </row>
    <row r="64">
      <c r="A64" s="79"/>
      <c r="D64" s="67"/>
      <c r="E64" s="67"/>
      <c r="G64" s="67"/>
      <c r="P64" s="66"/>
    </row>
    <row r="65">
      <c r="A65" s="79"/>
      <c r="D65" s="67"/>
      <c r="E65" s="67"/>
      <c r="G65" s="67"/>
      <c r="P65" s="66"/>
    </row>
    <row r="66">
      <c r="A66" s="79"/>
      <c r="D66" s="67"/>
      <c r="E66" s="67"/>
      <c r="G66" s="67"/>
      <c r="P66" s="66"/>
    </row>
    <row r="67">
      <c r="A67" s="79"/>
      <c r="D67" s="67"/>
      <c r="E67" s="67"/>
      <c r="G67" s="67"/>
      <c r="P67" s="66"/>
    </row>
    <row r="68">
      <c r="A68" s="79"/>
      <c r="D68" s="67"/>
      <c r="E68" s="67"/>
      <c r="G68" s="67"/>
      <c r="P68" s="66"/>
    </row>
    <row r="69">
      <c r="A69" s="79"/>
      <c r="D69" s="67"/>
      <c r="E69" s="67"/>
      <c r="G69" s="67"/>
      <c r="P69" s="66"/>
    </row>
    <row r="70">
      <c r="A70" s="79"/>
      <c r="D70" s="67"/>
      <c r="E70" s="67"/>
      <c r="G70" s="67"/>
      <c r="P70" s="66"/>
    </row>
    <row r="71">
      <c r="A71" s="79"/>
      <c r="D71" s="67"/>
      <c r="E71" s="67"/>
      <c r="G71" s="67"/>
      <c r="P71" s="66"/>
    </row>
    <row r="72">
      <c r="A72" s="79"/>
      <c r="D72" s="67"/>
      <c r="E72" s="67"/>
      <c r="G72" s="67"/>
      <c r="P72" s="66"/>
    </row>
    <row r="73">
      <c r="A73" s="79"/>
      <c r="D73" s="67"/>
      <c r="E73" s="67"/>
      <c r="G73" s="67"/>
      <c r="P73" s="66"/>
    </row>
    <row r="74">
      <c r="A74" s="79"/>
      <c r="D74" s="67"/>
      <c r="E74" s="67"/>
      <c r="G74" s="67"/>
      <c r="P74" s="66"/>
    </row>
    <row r="75">
      <c r="A75" s="79"/>
      <c r="D75" s="67"/>
      <c r="E75" s="67"/>
      <c r="G75" s="67"/>
      <c r="P75" s="66"/>
    </row>
    <row r="76">
      <c r="A76" s="79"/>
      <c r="D76" s="67"/>
      <c r="E76" s="67"/>
      <c r="G76" s="67"/>
      <c r="P76" s="66"/>
    </row>
    <row r="77">
      <c r="A77" s="79"/>
      <c r="D77" s="67"/>
      <c r="E77" s="67"/>
      <c r="G77" s="67"/>
      <c r="P77" s="66"/>
    </row>
    <row r="78">
      <c r="A78" s="79"/>
      <c r="D78" s="67"/>
      <c r="E78" s="67"/>
      <c r="G78" s="67"/>
      <c r="P78" s="66"/>
    </row>
    <row r="79">
      <c r="A79" s="79"/>
      <c r="D79" s="67"/>
      <c r="E79" s="67"/>
      <c r="G79" s="67"/>
      <c r="P79" s="66"/>
    </row>
    <row r="80">
      <c r="A80" s="79"/>
      <c r="D80" s="67"/>
      <c r="E80" s="67"/>
      <c r="G80" s="67"/>
      <c r="P80" s="66"/>
    </row>
    <row r="81">
      <c r="A81" s="79"/>
      <c r="D81" s="67"/>
      <c r="E81" s="67"/>
      <c r="G81" s="67"/>
      <c r="P81" s="66"/>
    </row>
    <row r="82">
      <c r="A82" s="79"/>
      <c r="D82" s="67"/>
      <c r="E82" s="67"/>
      <c r="G82" s="67"/>
      <c r="P82" s="66"/>
    </row>
    <row r="83">
      <c r="A83" s="79"/>
      <c r="D83" s="67"/>
      <c r="E83" s="67"/>
      <c r="G83" s="67"/>
      <c r="P83" s="66"/>
    </row>
    <row r="84">
      <c r="A84" s="79"/>
      <c r="D84" s="67"/>
      <c r="E84" s="67"/>
      <c r="G84" s="67"/>
      <c r="P84" s="66"/>
    </row>
    <row r="85">
      <c r="A85" s="79"/>
      <c r="D85" s="67"/>
      <c r="E85" s="67"/>
      <c r="G85" s="67"/>
      <c r="P85" s="66"/>
    </row>
    <row r="86">
      <c r="A86" s="79"/>
      <c r="D86" s="67"/>
      <c r="E86" s="67"/>
      <c r="G86" s="67"/>
      <c r="P86" s="66"/>
    </row>
    <row r="87">
      <c r="A87" s="79"/>
      <c r="D87" s="67"/>
      <c r="E87" s="67"/>
      <c r="G87" s="67"/>
      <c r="P87" s="66"/>
    </row>
    <row r="88">
      <c r="A88" s="79"/>
      <c r="D88" s="67"/>
      <c r="E88" s="67"/>
      <c r="G88" s="67"/>
      <c r="P88" s="66"/>
    </row>
    <row r="89">
      <c r="A89" s="79"/>
      <c r="D89" s="67"/>
      <c r="E89" s="67"/>
      <c r="G89" s="67"/>
      <c r="P89" s="66"/>
    </row>
    <row r="90">
      <c r="A90" s="79"/>
      <c r="D90" s="67"/>
      <c r="E90" s="67"/>
      <c r="G90" s="67"/>
      <c r="P90" s="66"/>
    </row>
    <row r="91">
      <c r="A91" s="79"/>
      <c r="D91" s="67"/>
      <c r="E91" s="67"/>
      <c r="G91" s="67"/>
      <c r="P91" s="66"/>
    </row>
    <row r="92">
      <c r="A92" s="79"/>
      <c r="D92" s="67"/>
      <c r="E92" s="67"/>
      <c r="G92" s="67"/>
      <c r="P92" s="66"/>
    </row>
    <row r="93">
      <c r="A93" s="79"/>
      <c r="D93" s="67"/>
      <c r="E93" s="67"/>
      <c r="G93" s="67"/>
      <c r="P93" s="66"/>
    </row>
    <row r="94">
      <c r="A94" s="79"/>
      <c r="D94" s="67"/>
      <c r="E94" s="67"/>
      <c r="G94" s="67"/>
      <c r="P94" s="66"/>
    </row>
    <row r="95">
      <c r="A95" s="79"/>
      <c r="D95" s="67"/>
      <c r="E95" s="67"/>
      <c r="G95" s="67"/>
      <c r="P95" s="66"/>
    </row>
    <row r="96">
      <c r="A96" s="79"/>
      <c r="D96" s="67"/>
      <c r="E96" s="67"/>
      <c r="G96" s="67"/>
      <c r="P96" s="66"/>
    </row>
    <row r="97">
      <c r="A97" s="79"/>
      <c r="D97" s="67"/>
      <c r="E97" s="67"/>
      <c r="G97" s="67"/>
      <c r="P97" s="66"/>
    </row>
    <row r="98">
      <c r="A98" s="79"/>
      <c r="D98" s="67"/>
      <c r="E98" s="67"/>
      <c r="G98" s="67"/>
      <c r="P98" s="66"/>
    </row>
    <row r="99">
      <c r="A99" s="79"/>
      <c r="D99" s="67"/>
      <c r="E99" s="67"/>
      <c r="G99" s="67"/>
      <c r="P99" s="66"/>
    </row>
    <row r="100">
      <c r="A100" s="79"/>
      <c r="D100" s="67"/>
      <c r="E100" s="67"/>
      <c r="G100" s="67"/>
      <c r="P100" s="66"/>
    </row>
    <row r="101">
      <c r="A101" s="79"/>
      <c r="D101" s="67"/>
      <c r="E101" s="67"/>
      <c r="G101" s="67"/>
      <c r="P101" s="66"/>
    </row>
    <row r="102">
      <c r="A102" s="79"/>
      <c r="D102" s="67"/>
      <c r="E102" s="67"/>
      <c r="G102" s="67"/>
      <c r="P102" s="66"/>
    </row>
    <row r="103">
      <c r="A103" s="79"/>
      <c r="D103" s="67"/>
      <c r="E103" s="67"/>
      <c r="G103" s="67"/>
      <c r="P103" s="66"/>
    </row>
    <row r="104">
      <c r="A104" s="79"/>
      <c r="D104" s="67"/>
      <c r="E104" s="67"/>
      <c r="G104" s="67"/>
      <c r="P104" s="66"/>
    </row>
    <row r="105">
      <c r="A105" s="79"/>
      <c r="D105" s="67"/>
      <c r="E105" s="67"/>
      <c r="G105" s="67"/>
      <c r="P105" s="66"/>
    </row>
    <row r="106">
      <c r="A106" s="79"/>
      <c r="D106" s="67"/>
      <c r="E106" s="67"/>
      <c r="G106" s="67"/>
      <c r="P106" s="66"/>
    </row>
    <row r="107">
      <c r="A107" s="79"/>
      <c r="D107" s="67"/>
      <c r="E107" s="67"/>
      <c r="G107" s="67"/>
      <c r="P107" s="66"/>
    </row>
    <row r="108">
      <c r="A108" s="79"/>
      <c r="D108" s="67"/>
      <c r="E108" s="67"/>
      <c r="G108" s="67"/>
      <c r="P108" s="66"/>
    </row>
    <row r="109">
      <c r="A109" s="79"/>
      <c r="D109" s="67"/>
      <c r="E109" s="67"/>
      <c r="G109" s="67"/>
      <c r="P109" s="66"/>
    </row>
    <row r="110">
      <c r="A110" s="79"/>
      <c r="D110" s="67"/>
      <c r="E110" s="67"/>
      <c r="G110" s="67"/>
      <c r="P110" s="66"/>
    </row>
    <row r="111">
      <c r="A111" s="79"/>
      <c r="D111" s="67"/>
      <c r="E111" s="67"/>
      <c r="G111" s="67"/>
      <c r="P111" s="66"/>
    </row>
    <row r="112">
      <c r="A112" s="79"/>
      <c r="D112" s="67"/>
      <c r="E112" s="67"/>
      <c r="G112" s="67"/>
      <c r="P112" s="66"/>
    </row>
    <row r="113">
      <c r="A113" s="79"/>
      <c r="D113" s="67"/>
      <c r="E113" s="67"/>
      <c r="G113" s="67"/>
      <c r="P113" s="66"/>
    </row>
    <row r="114">
      <c r="A114" s="79"/>
      <c r="D114" s="67"/>
      <c r="E114" s="67"/>
      <c r="G114" s="67"/>
      <c r="P114" s="66"/>
    </row>
    <row r="115">
      <c r="A115" s="79"/>
      <c r="D115" s="67"/>
      <c r="E115" s="67"/>
      <c r="G115" s="67"/>
      <c r="P115" s="66"/>
    </row>
    <row r="116">
      <c r="A116" s="79"/>
      <c r="D116" s="67"/>
      <c r="E116" s="67"/>
      <c r="G116" s="67"/>
      <c r="P116" s="66"/>
    </row>
    <row r="117">
      <c r="A117" s="79"/>
      <c r="D117" s="67"/>
      <c r="E117" s="67"/>
      <c r="G117" s="67"/>
      <c r="P117" s="66"/>
    </row>
    <row r="118">
      <c r="A118" s="79"/>
      <c r="D118" s="67"/>
      <c r="E118" s="67"/>
      <c r="G118" s="67"/>
      <c r="P118" s="66"/>
    </row>
    <row r="119">
      <c r="A119" s="79"/>
      <c r="D119" s="67"/>
      <c r="E119" s="67"/>
      <c r="G119" s="67"/>
      <c r="P119" s="66"/>
    </row>
    <row r="120">
      <c r="A120" s="79"/>
      <c r="D120" s="67"/>
      <c r="E120" s="67"/>
      <c r="G120" s="67"/>
      <c r="P120" s="66"/>
    </row>
    <row r="121">
      <c r="A121" s="79"/>
      <c r="D121" s="67"/>
      <c r="E121" s="67"/>
      <c r="G121" s="67"/>
      <c r="P121" s="66"/>
    </row>
    <row r="122">
      <c r="A122" s="79"/>
      <c r="D122" s="67"/>
      <c r="E122" s="67"/>
      <c r="G122" s="67"/>
      <c r="P122" s="66"/>
    </row>
    <row r="123">
      <c r="A123" s="79"/>
      <c r="D123" s="67"/>
      <c r="E123" s="67"/>
      <c r="G123" s="67"/>
      <c r="P123" s="66"/>
    </row>
    <row r="124">
      <c r="A124" s="79"/>
      <c r="D124" s="67"/>
      <c r="E124" s="67"/>
      <c r="G124" s="67"/>
      <c r="P124" s="66"/>
    </row>
    <row r="125">
      <c r="A125" s="79"/>
      <c r="D125" s="67"/>
      <c r="E125" s="67"/>
      <c r="G125" s="67"/>
      <c r="P125" s="66"/>
    </row>
    <row r="126">
      <c r="A126" s="79"/>
      <c r="D126" s="67"/>
      <c r="E126" s="67"/>
      <c r="G126" s="67"/>
      <c r="P126" s="66"/>
    </row>
    <row r="127">
      <c r="A127" s="79"/>
      <c r="D127" s="67"/>
      <c r="E127" s="67"/>
      <c r="G127" s="67"/>
      <c r="P127" s="66"/>
    </row>
    <row r="128">
      <c r="A128" s="79"/>
      <c r="D128" s="67"/>
      <c r="E128" s="67"/>
      <c r="G128" s="67"/>
      <c r="P128" s="66"/>
    </row>
    <row r="129">
      <c r="A129" s="79"/>
      <c r="D129" s="67"/>
      <c r="E129" s="67"/>
      <c r="G129" s="67"/>
      <c r="P129" s="66"/>
    </row>
    <row r="130">
      <c r="A130" s="79"/>
      <c r="D130" s="67"/>
      <c r="E130" s="67"/>
      <c r="G130" s="67"/>
      <c r="P130" s="66"/>
    </row>
    <row r="131">
      <c r="A131" s="79"/>
      <c r="D131" s="67"/>
      <c r="E131" s="67"/>
      <c r="G131" s="67"/>
      <c r="P131" s="66"/>
    </row>
    <row r="132">
      <c r="A132" s="79"/>
      <c r="D132" s="67"/>
      <c r="E132" s="67"/>
      <c r="G132" s="67"/>
      <c r="P132" s="66"/>
    </row>
    <row r="133">
      <c r="A133" s="79"/>
      <c r="D133" s="67"/>
      <c r="E133" s="67"/>
      <c r="G133" s="67"/>
      <c r="P133" s="66"/>
    </row>
    <row r="134">
      <c r="A134" s="79"/>
      <c r="D134" s="67"/>
      <c r="E134" s="67"/>
      <c r="G134" s="67"/>
      <c r="P134" s="66"/>
    </row>
    <row r="135">
      <c r="A135" s="79"/>
      <c r="D135" s="67"/>
      <c r="E135" s="67"/>
      <c r="G135" s="67"/>
      <c r="P135" s="66"/>
    </row>
    <row r="136">
      <c r="A136" s="79"/>
      <c r="D136" s="67"/>
      <c r="E136" s="67"/>
      <c r="G136" s="67"/>
      <c r="P136" s="66"/>
    </row>
    <row r="137">
      <c r="A137" s="79"/>
      <c r="D137" s="67"/>
      <c r="E137" s="67"/>
      <c r="G137" s="67"/>
      <c r="P137" s="66"/>
    </row>
    <row r="138">
      <c r="A138" s="79"/>
      <c r="D138" s="67"/>
      <c r="E138" s="67"/>
      <c r="G138" s="67"/>
      <c r="P138" s="66"/>
    </row>
    <row r="139">
      <c r="A139" s="79"/>
      <c r="D139" s="67"/>
      <c r="E139" s="67"/>
      <c r="G139" s="67"/>
      <c r="P139" s="66"/>
    </row>
    <row r="140">
      <c r="A140" s="79"/>
      <c r="D140" s="67"/>
      <c r="E140" s="67"/>
      <c r="G140" s="67"/>
      <c r="P140" s="66"/>
    </row>
    <row r="141">
      <c r="A141" s="79"/>
      <c r="D141" s="67"/>
      <c r="E141" s="67"/>
      <c r="G141" s="67"/>
      <c r="P141" s="66"/>
    </row>
    <row r="142">
      <c r="A142" s="79"/>
      <c r="D142" s="67"/>
      <c r="E142" s="67"/>
      <c r="G142" s="67"/>
      <c r="P142" s="66"/>
    </row>
    <row r="143">
      <c r="A143" s="79"/>
      <c r="D143" s="67"/>
      <c r="E143" s="67"/>
      <c r="G143" s="67"/>
      <c r="P143" s="66"/>
    </row>
    <row r="144">
      <c r="A144" s="79"/>
      <c r="D144" s="67"/>
      <c r="E144" s="67"/>
      <c r="G144" s="67"/>
      <c r="P144" s="66"/>
    </row>
    <row r="145">
      <c r="A145" s="79"/>
      <c r="D145" s="67"/>
      <c r="E145" s="67"/>
      <c r="G145" s="67"/>
      <c r="P145" s="66"/>
    </row>
    <row r="146">
      <c r="A146" s="79"/>
      <c r="D146" s="67"/>
      <c r="E146" s="67"/>
      <c r="G146" s="67"/>
      <c r="P146" s="66"/>
    </row>
    <row r="147">
      <c r="A147" s="79"/>
      <c r="D147" s="67"/>
      <c r="E147" s="67"/>
      <c r="G147" s="67"/>
      <c r="P147" s="66"/>
    </row>
    <row r="148">
      <c r="A148" s="79"/>
      <c r="D148" s="67"/>
      <c r="E148" s="67"/>
      <c r="G148" s="67"/>
      <c r="P148" s="66"/>
    </row>
    <row r="149">
      <c r="A149" s="79"/>
      <c r="D149" s="67"/>
      <c r="E149" s="67"/>
      <c r="G149" s="67"/>
      <c r="P149" s="66"/>
    </row>
    <row r="150">
      <c r="A150" s="79"/>
      <c r="D150" s="67"/>
      <c r="E150" s="67"/>
      <c r="G150" s="67"/>
      <c r="P150" s="66"/>
    </row>
    <row r="151">
      <c r="A151" s="79"/>
      <c r="D151" s="67"/>
      <c r="E151" s="67"/>
      <c r="G151" s="67"/>
      <c r="P151" s="66"/>
    </row>
    <row r="152">
      <c r="A152" s="79"/>
      <c r="D152" s="67"/>
      <c r="E152" s="67"/>
      <c r="G152" s="67"/>
      <c r="P152" s="66"/>
    </row>
    <row r="153">
      <c r="A153" s="79"/>
      <c r="D153" s="67"/>
      <c r="E153" s="67"/>
      <c r="G153" s="67"/>
      <c r="P153" s="66"/>
    </row>
    <row r="154">
      <c r="A154" s="79"/>
      <c r="D154" s="67"/>
      <c r="E154" s="67"/>
      <c r="G154" s="67"/>
      <c r="P154" s="66"/>
    </row>
    <row r="155">
      <c r="A155" s="79"/>
      <c r="D155" s="67"/>
      <c r="E155" s="67"/>
      <c r="G155" s="67"/>
      <c r="P155" s="66"/>
    </row>
    <row r="156">
      <c r="A156" s="79"/>
      <c r="D156" s="67"/>
      <c r="E156" s="67"/>
      <c r="G156" s="67"/>
      <c r="P156" s="66"/>
    </row>
    <row r="157">
      <c r="A157" s="79"/>
      <c r="D157" s="67"/>
      <c r="E157" s="67"/>
      <c r="G157" s="67"/>
      <c r="P157" s="66"/>
    </row>
    <row r="158">
      <c r="A158" s="79"/>
      <c r="D158" s="67"/>
      <c r="E158" s="67"/>
      <c r="G158" s="67"/>
      <c r="P158" s="66"/>
    </row>
    <row r="159">
      <c r="A159" s="79"/>
      <c r="D159" s="67"/>
      <c r="E159" s="67"/>
      <c r="G159" s="67"/>
      <c r="P159" s="66"/>
    </row>
    <row r="160">
      <c r="A160" s="79"/>
      <c r="D160" s="67"/>
      <c r="E160" s="67"/>
      <c r="G160" s="67"/>
      <c r="P160" s="66"/>
    </row>
    <row r="161">
      <c r="A161" s="79"/>
      <c r="D161" s="67"/>
      <c r="E161" s="67"/>
      <c r="G161" s="67"/>
      <c r="P161" s="66"/>
    </row>
    <row r="162">
      <c r="A162" s="79"/>
      <c r="D162" s="67"/>
      <c r="E162" s="67"/>
      <c r="G162" s="67"/>
      <c r="P162" s="66"/>
    </row>
    <row r="163">
      <c r="A163" s="79"/>
      <c r="D163" s="67"/>
      <c r="E163" s="67"/>
      <c r="G163" s="67"/>
      <c r="P163" s="66"/>
    </row>
    <row r="164">
      <c r="A164" s="79"/>
      <c r="D164" s="67"/>
      <c r="E164" s="67"/>
      <c r="G164" s="67"/>
      <c r="P164" s="66"/>
    </row>
    <row r="165">
      <c r="A165" s="79"/>
      <c r="D165" s="67"/>
      <c r="E165" s="67"/>
      <c r="G165" s="67"/>
      <c r="P165" s="66"/>
    </row>
    <row r="166">
      <c r="A166" s="79"/>
      <c r="D166" s="67"/>
      <c r="E166" s="67"/>
      <c r="G166" s="67"/>
      <c r="P166" s="66"/>
    </row>
    <row r="167">
      <c r="A167" s="79"/>
      <c r="D167" s="67"/>
      <c r="E167" s="67"/>
      <c r="G167" s="67"/>
      <c r="P167" s="66"/>
    </row>
    <row r="168">
      <c r="A168" s="79"/>
      <c r="D168" s="67"/>
      <c r="E168" s="67"/>
      <c r="G168" s="67"/>
      <c r="P168" s="66"/>
    </row>
  </sheetData>
  <mergeCells>
    <mergeCell ref="A2:G2"/>
  </mergeCells>
  <dataValidations count="2">
    <dataValidation allowBlank="true" errorStyle="stop" showErrorMessage="true" sqref="C3:C168" type="list">
      <formula1>"在投,停投,无法授权,拒审,待授权,投放完毕,无法投放"</formula1>
    </dataValidation>
    <dataValidation allowBlank="true" errorStyle="stop" showErrorMessage="true" sqref="Q4:Q19 Q46:Q47" type="list">
      <formula1>"产品力,场景,车内,司机,地广/活动"</formula1>
    </dataValidation>
  </dataValidations>
  <hyperlinks>
    <hyperlink ref="E33" display="https://www.douyin.com/video/7640897437604151503" r:id="rId1"/>
    <hyperlink ref="E36" display="https://www.douyin.com/note/7641875385806374833" r:id="rId2"/>
    <hyperlink ref="E44" display="https://www.douyin.com/video/7642987403964425702" r:id="rId3"/>
    <hyperlink ref="E9" display="https://www.douyin.com/video/7636439919821352357" r:id="rId4"/>
    <hyperlink ref="E12" display="https://www.douyin.com/video/7637044455720278251" r:id="rId5"/>
    <hyperlink ref="E25" display="https://www.douyin.com/note/7639772595369289381" r:id="rId6"/>
    <hyperlink ref="E20" display="https://www.douyin.com/note/7639360447649575034" r:id="rId7"/>
    <hyperlink ref="E28" display="https://www.douyin.com/note/7640097613844477669" r:id="rId8"/>
    <hyperlink ref="E35" display="https://www.douyin.com/note/7641163045289481322" r:id="rId9"/>
    <hyperlink ref="E43" display="https://www.douyin.com/video/7642542991392131697" r:id="rId10"/>
    <hyperlink ref="E3" display="https://www.douyin.com/note/7636204932429437370" r:id="rId11"/>
    <hyperlink ref="E4" display="https://www.douyin.com/video/7636020034524274043" r:id="rId12"/>
    <hyperlink ref="E11" display="https://www.douyin.com/video/7636826521273382309" r:id="rId13"/>
    <hyperlink ref="E27" display="https://www.douyin.com/note/7640285558464104890" r:id="rId14"/>
    <hyperlink ref="E38" display="https://www.douyin.com/note/7641993475752266235" r:id="rId15"/>
    <hyperlink ref="E46" display="https://www.douyin.com/note/7644783522482479781" r:id="rId16"/>
    <hyperlink ref="E6" display="https://www.douyin.com/note/7635545727879850313" r:id="rId17"/>
    <hyperlink ref="E14" display="https://www.douyin.com/video/7637394139268615462" r:id="rId18"/>
    <hyperlink ref="E19" display="https://www.douyin.com/note/7639298762268064241" r:id="rId19"/>
    <hyperlink ref="E30" display="https://www.douyin.com/video/7640834357934858225" r:id="rId20"/>
    <hyperlink ref="E37" display="https://www.douyin.com/video/7641882679970377957" r:id="rId21"/>
    <hyperlink ref="E45" display="https://www.douyin.com/note/7643698260415278282" r:id="rId22"/>
    <hyperlink ref="E5" display="https://www.douyin.com/video/7636040612411755802" r:id="rId23"/>
    <hyperlink ref="E13" display="https://www.douyin.com/video/7636643841961216127" r:id="rId24"/>
    <hyperlink ref="E22" display="https://www.douyin.com/note/7638908016368917681" r:id="rId25"/>
    <hyperlink ref="E40" display="https://www.douyin.com/video/7641922307711110454" r:id="rId26"/>
    <hyperlink ref="E48" display="https://www.douyin.com/note/7645240445212140901" r:id="rId27"/>
    <hyperlink ref="E16" display="https://www.douyin.com/video/7637869144147080817" r:id="rId28"/>
    <hyperlink ref="E21" display="https://www.douyin.com/note/7639587991471701105" r:id="rId29"/>
    <hyperlink ref="E29" display="https://www.douyin.com/video/7640775971604485993" r:id="rId30"/>
    <hyperlink ref="E32" display="https://www.douyin.com/note/7640942718125977999" r:id="rId31"/>
    <hyperlink ref="E39" display="https://www.douyin.com/video/7641921320654050427" r:id="rId32"/>
    <hyperlink ref="E47" display="https://www.douyin.com/note/7644884486891055345" r:id="rId33"/>
    <hyperlink ref="E8" display="https://www.douyin.com/video/7635684064943428729" r:id="rId34"/>
    <hyperlink ref="E15" display="https://www.douyin.com/video/7637703323614063275" r:id="rId35"/>
    <hyperlink ref="E24" display="https://www.douyin.com/note/7639700717046112383" r:id="rId36"/>
    <hyperlink ref="E31" display="https://www.douyin.com/video/7641120212301335651" r:id="rId37"/>
    <hyperlink ref="E42" display="https://www.douyin.com/video/7641439405101877689" r:id="rId38"/>
    <hyperlink ref="E50" display="https://www.douyin.com/user/MS4wLjABAAAA_7cgS9jyMObeRftEnQsxCj3kgz23c5BEfSOrqxibHa0?from_tab_name=main&amp;modal_id=7645601096832956904&amp;vid=7645601096832956904" r:id="rId39"/>
    <hyperlink ref="E7" display="https://www.douyin.com/note/7635922915368283775" r:id="rId40"/>
    <hyperlink ref="E18" display="https://www.douyin.com/note/7638470477203931643" r:id="rId41"/>
    <hyperlink ref="E23" display="https://www.douyin.com/video/7639539369804821434" r:id="rId42"/>
    <hyperlink ref="E34" display="https://www.douyin.com/note/7640813564869112942" r:id="rId43"/>
    <hyperlink ref="E41" display="https://www.douyin.com/video/7641872986798179494" r:id="rId44"/>
    <hyperlink ref="E49" display="https://www.douyin.com/user/MS4wLjABAAAAHiNlZYZTggesEkYjsQOZAMiIoZx92Px0Ly_6HDjpSMc?from_tab_name=main&amp;modal_id=7645700319447662666&amp;vid=7645700319447662666" r:id="rId45"/>
    <hyperlink ref="E10" display="https://www.douyin.com/video/7636034872154967707" r:id="rId46"/>
    <hyperlink ref="E17" display="https://www.douyin.com/note/7638835615421411577" r:id="rId47"/>
    <hyperlink ref="E26" display="https://www.douyin.com/note/7640081270203342562" r:id="rId48"/>
  </hyperlink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6" min="6" style="0" width="19"/>
  </cols>
  <sheetData>
    <row r="1">
      <c r="A1" s="80" t="s">
        <v>833</v>
      </c>
      <c r="B1" s="80" t="s">
        <v>834</v>
      </c>
      <c r="C1" s="81" t="s">
        <v>835</v>
      </c>
      <c r="D1" s="80" t="s">
        <v>836</v>
      </c>
      <c r="E1" s="81" t="s">
        <v>837</v>
      </c>
      <c r="F1" s="82" t="s">
        <v>838</v>
      </c>
      <c r="G1" s="81" t="s">
        <v>839</v>
      </c>
      <c r="H1" s="82" t="s">
        <v>840</v>
      </c>
      <c r="I1" s="83" t="s">
        <v>841</v>
      </c>
      <c r="J1" s="83" t="s">
        <v>842</v>
      </c>
      <c r="K1" s="83" t="s">
        <v>843</v>
      </c>
      <c r="L1" s="83" t="s">
        <v>844</v>
      </c>
      <c r="M1" s="83" t="s">
        <v>845</v>
      </c>
      <c r="N1" s="82" t="s">
        <v>846</v>
      </c>
      <c r="O1" s="82" t="s">
        <v>847</v>
      </c>
      <c r="P1" s="84" t="s">
        <v>848</v>
      </c>
      <c r="Q1" s="82" t="s">
        <v>849</v>
      </c>
      <c r="R1" s="81" t="s">
        <v>850</v>
      </c>
    </row>
    <row r="2">
      <c r="A2" s="80" t="s">
        <v>851</v>
      </c>
      <c r="B2" s="80"/>
      <c r="C2" s="80"/>
      <c r="D2" s="80"/>
      <c r="E2" s="80"/>
      <c r="F2" s="80"/>
      <c r="G2" s="80"/>
      <c r="H2" s="83" t="s">
        <v>852</v>
      </c>
      <c r="I2" s="83" t="s">
        <v>852</v>
      </c>
      <c r="J2" s="83"/>
      <c r="K2" s="83"/>
      <c r="L2" s="83"/>
      <c r="M2" s="83"/>
      <c r="N2" s="82">
        <f>SUM(N3:N70)</f>
      </c>
      <c r="O2" s="82">
        <f>SUM(O3:O70)</f>
      </c>
      <c r="P2" s="84">
        <f t="shared" ref="P2:P5" si="2">O2/N2</f>
      </c>
      <c r="Q2" s="82"/>
      <c r="R2" s="81"/>
    </row>
    <row r="3">
      <c r="A3" s="85">
        <v>46173</v>
      </c>
      <c r="B3" s="86">
        <f t="shared" ref="B3:B20" si="4">A3+7</f>
      </c>
      <c r="C3" t="s">
        <v>853</v>
      </c>
      <c r="D3" t="s">
        <v>854</v>
      </c>
      <c r="E3" t="s">
        <v>855</v>
      </c>
      <c r="F3" s="87" t="s">
        <v>856</v>
      </c>
      <c r="G3" t="s">
        <v>857</v>
      </c>
      <c r="H3" s="88">
        <v>80</v>
      </c>
      <c r="I3">
        <f>'详细数据'!AC250</f>
      </c>
      <c r="J3" s="88">
        <v>554</v>
      </c>
      <c r="K3" s="88">
        <v>8</v>
      </c>
      <c r="L3" s="88">
        <v>34</v>
      </c>
      <c r="M3" s="88">
        <v>2</v>
      </c>
      <c r="N3">
        <f t="shared" ref="N3:N5" si="0">SUM(J3:M3)</f>
      </c>
      <c r="O3">
        <f>'详细数据'!J250</f>
      </c>
      <c r="P3" s="89">
        <f t="shared" si="2"/>
      </c>
      <c r="Q3" s="87" t="s">
        <v>858</v>
      </c>
      <c r="R3" t="s">
        <v>859</v>
      </c>
    </row>
    <row r="4">
      <c r="A4" s="85">
        <v>46175</v>
      </c>
      <c r="B4" s="86">
        <f t="shared" si="4"/>
      </c>
      <c r="C4" t="s">
        <v>853</v>
      </c>
      <c r="D4" t="s">
        <v>860</v>
      </c>
      <c r="E4" t="s">
        <v>861</v>
      </c>
      <c r="F4" s="90" t="s">
        <v>862</v>
      </c>
      <c r="G4" t="s">
        <v>863</v>
      </c>
      <c r="H4" s="88">
        <v>2597</v>
      </c>
      <c r="I4">
        <f>'详细数据'!AC253+'详细数据'!AC258</f>
      </c>
      <c r="J4" s="88">
        <v>16000</v>
      </c>
      <c r="K4" s="88">
        <v>1311</v>
      </c>
      <c r="L4" s="88">
        <v>444</v>
      </c>
      <c r="M4" s="88">
        <v>231</v>
      </c>
      <c r="N4">
        <f t="shared" si="0"/>
      </c>
      <c r="O4">
        <f>'详细数据'!J253+'详细数据'!J258</f>
      </c>
      <c r="P4" s="91">
        <f t="shared" si="2"/>
      </c>
      <c r="Q4" t="s">
        <v>858</v>
      </c>
      <c r="R4" t="s">
        <v>864</v>
      </c>
    </row>
    <row r="5">
      <c r="A5" s="85">
        <v>46175</v>
      </c>
      <c r="B5" s="86">
        <f t="shared" si="4"/>
      </c>
      <c r="C5" t="s">
        <v>853</v>
      </c>
      <c r="D5" t="s">
        <v>865</v>
      </c>
      <c r="E5" t="s">
        <v>866</v>
      </c>
      <c r="F5" s="92" t="s">
        <v>867</v>
      </c>
      <c r="G5" t="s">
        <v>868</v>
      </c>
      <c r="H5" s="88">
        <v>95</v>
      </c>
      <c r="I5">
        <f>'详细数据'!AC254</f>
      </c>
      <c r="J5" s="88">
        <v>392</v>
      </c>
      <c r="K5" s="88">
        <v>19</v>
      </c>
      <c r="L5" s="88">
        <v>100</v>
      </c>
      <c r="M5" s="88">
        <v>15</v>
      </c>
      <c r="N5">
        <f t="shared" si="0"/>
      </c>
      <c r="O5">
        <f>'详细数据'!J254</f>
      </c>
      <c r="P5" s="89">
        <f t="shared" si="2"/>
      </c>
      <c r="Q5" t="s">
        <v>858</v>
      </c>
      <c r="R5" t="s">
        <v>869</v>
      </c>
    </row>
    <row r="6">
      <c r="A6" s="85">
        <v>46175</v>
      </c>
      <c r="B6" s="86">
        <f t="shared" si="4"/>
      </c>
      <c r="C6" t="s">
        <v>870</v>
      </c>
      <c r="D6" t="s">
        <v>871</v>
      </c>
      <c r="E6" t="s">
        <v>872</v>
      </c>
      <c r="G6" t="s">
        <v>873</v>
      </c>
      <c r="H6" s="88">
        <v>521</v>
      </c>
      <c r="P6" s="89"/>
      <c r="Q6" t="s">
        <v>874</v>
      </c>
      <c r="R6" s="88" t="s">
        <v>875</v>
      </c>
    </row>
    <row r="7">
      <c r="A7" s="85">
        <v>46177</v>
      </c>
      <c r="B7" s="86">
        <f t="shared" si="4"/>
      </c>
      <c r="C7" t="s">
        <v>853</v>
      </c>
      <c r="D7" s="88" t="s">
        <v>876</v>
      </c>
      <c r="E7" t="s">
        <v>877</v>
      </c>
      <c r="F7" s="92" t="s">
        <v>878</v>
      </c>
      <c r="G7" t="s">
        <v>879</v>
      </c>
      <c r="H7" s="88">
        <v>219</v>
      </c>
      <c r="I7">
        <f>'详细数据'!AC256</f>
      </c>
      <c r="J7" s="88">
        <v>2173</v>
      </c>
      <c r="K7" s="88">
        <v>21</v>
      </c>
      <c r="L7" s="88">
        <v>18</v>
      </c>
      <c r="M7" s="88">
        <v>9</v>
      </c>
      <c r="N7">
        <f t="shared" ref="N7:N18" si="1">SUM(J7:M7)</f>
      </c>
      <c r="O7">
        <f>'详细数据'!J256</f>
      </c>
      <c r="P7" s="89">
        <f t="shared" ref="P7:P18" si="3">O7/N7</f>
      </c>
      <c r="Q7" s="93" t="s">
        <v>858</v>
      </c>
      <c r="R7" s="93" t="s">
        <v>880</v>
      </c>
    </row>
    <row r="8">
      <c r="A8" s="85">
        <v>46175</v>
      </c>
      <c r="B8" s="86">
        <f t="shared" si="4"/>
      </c>
      <c r="C8" t="s">
        <v>853</v>
      </c>
      <c r="D8" t="s">
        <v>881</v>
      </c>
      <c r="E8" t="s">
        <v>882</v>
      </c>
      <c r="F8" s="92" t="s">
        <v>878</v>
      </c>
      <c r="G8" t="s">
        <v>883</v>
      </c>
      <c r="H8" s="88">
        <v>171</v>
      </c>
      <c r="I8">
        <f>'详细数据'!AC255</f>
      </c>
      <c r="J8" s="88">
        <v>1016</v>
      </c>
      <c r="K8" s="88">
        <v>48</v>
      </c>
      <c r="L8" s="88">
        <v>125</v>
      </c>
      <c r="M8" s="88">
        <v>31</v>
      </c>
      <c r="N8">
        <f t="shared" si="1"/>
      </c>
      <c r="O8">
        <f>'详细数据'!J255</f>
      </c>
      <c r="P8" s="89">
        <f t="shared" si="3"/>
      </c>
      <c r="Q8" t="s">
        <v>874</v>
      </c>
      <c r="R8" t="s">
        <v>884</v>
      </c>
    </row>
    <row r="9">
      <c r="A9" s="85">
        <v>46177</v>
      </c>
      <c r="B9" s="86">
        <f t="shared" si="4"/>
      </c>
      <c r="C9" t="s">
        <v>853</v>
      </c>
      <c r="D9" t="s">
        <v>885</v>
      </c>
      <c r="E9" t="s">
        <v>886</v>
      </c>
      <c r="F9" s="92" t="s">
        <v>887</v>
      </c>
      <c r="G9" t="s">
        <v>888</v>
      </c>
      <c r="H9" s="88">
        <v>52</v>
      </c>
      <c r="I9">
        <f>'详细数据'!AC259</f>
      </c>
      <c r="J9" s="88">
        <v>383</v>
      </c>
      <c r="K9" s="88">
        <v>11</v>
      </c>
      <c r="L9" s="88">
        <v>31</v>
      </c>
      <c r="M9" s="88">
        <v>14</v>
      </c>
      <c r="N9">
        <f t="shared" si="1"/>
      </c>
      <c r="O9">
        <f>'详细数据'!J259</f>
      </c>
      <c r="P9" s="89">
        <f t="shared" si="3"/>
      </c>
      <c r="Q9" t="s">
        <v>874</v>
      </c>
      <c r="R9" t="s">
        <v>884</v>
      </c>
    </row>
    <row r="10">
      <c r="A10" s="85">
        <v>46179</v>
      </c>
      <c r="B10" s="86">
        <f t="shared" si="4"/>
      </c>
      <c r="C10" t="s">
        <v>853</v>
      </c>
      <c r="D10" t="s">
        <v>889</v>
      </c>
      <c r="E10" t="s">
        <v>890</v>
      </c>
      <c r="F10" s="92" t="s">
        <v>891</v>
      </c>
      <c r="G10" t="s">
        <v>892</v>
      </c>
      <c r="H10" s="88">
        <v>164</v>
      </c>
      <c r="I10">
        <f>'详细数据'!AC261</f>
      </c>
      <c r="J10" s="88">
        <v>1414</v>
      </c>
      <c r="K10" s="88">
        <v>48</v>
      </c>
      <c r="L10" s="88">
        <v>33</v>
      </c>
      <c r="M10" s="88">
        <v>5</v>
      </c>
      <c r="N10">
        <f t="shared" si="1"/>
      </c>
      <c r="O10">
        <f>'详细数据'!J261</f>
      </c>
      <c r="P10" s="89">
        <f t="shared" si="3"/>
      </c>
      <c r="Q10" t="s">
        <v>858</v>
      </c>
      <c r="R10" t="s">
        <v>869</v>
      </c>
    </row>
    <row r="11">
      <c r="A11" s="85">
        <v>46178</v>
      </c>
      <c r="B11" s="86">
        <f t="shared" si="4"/>
      </c>
      <c r="C11" t="s">
        <v>853</v>
      </c>
      <c r="D11" t="s">
        <v>893</v>
      </c>
      <c r="E11" t="s">
        <v>894</v>
      </c>
      <c r="F11" s="92" t="s">
        <v>891</v>
      </c>
      <c r="G11" t="s">
        <v>895</v>
      </c>
      <c r="H11" s="88">
        <v>267</v>
      </c>
      <c r="I11">
        <f>'详细数据'!AC260</f>
      </c>
      <c r="J11" s="88">
        <v>1742</v>
      </c>
      <c r="K11" s="88">
        <v>42</v>
      </c>
      <c r="L11" s="88">
        <v>47</v>
      </c>
      <c r="M11" s="88">
        <v>4</v>
      </c>
      <c r="N11">
        <f t="shared" si="1"/>
      </c>
      <c r="O11">
        <f>'详细数据'!J260</f>
      </c>
      <c r="P11" s="89">
        <f t="shared" si="3"/>
      </c>
      <c r="Q11" t="s">
        <v>858</v>
      </c>
      <c r="R11" t="s">
        <v>869</v>
      </c>
    </row>
    <row r="12">
      <c r="A12" s="85">
        <v>46177</v>
      </c>
      <c r="B12" s="86">
        <f t="shared" si="4"/>
      </c>
      <c r="C12" t="s">
        <v>853</v>
      </c>
      <c r="D12" s="88" t="s">
        <v>896</v>
      </c>
      <c r="E12" t="s">
        <v>897</v>
      </c>
      <c r="F12" s="90" t="s">
        <v>898</v>
      </c>
      <c r="G12" t="s">
        <v>899</v>
      </c>
      <c r="I12">
        <f>'详细数据'!AC263+'详细数据'!AC265</f>
      </c>
      <c r="J12" s="88">
        <v>23000</v>
      </c>
      <c r="K12" s="88">
        <v>768</v>
      </c>
      <c r="L12" s="88">
        <v>842</v>
      </c>
      <c r="M12" s="88">
        <v>5532</v>
      </c>
      <c r="N12">
        <f t="shared" si="1"/>
      </c>
      <c r="O12" s="88">
        <f>'详细数据'!J263+'详细数据'!J265</f>
      </c>
      <c r="P12" s="91">
        <f t="shared" si="3"/>
      </c>
      <c r="Q12" t="s">
        <v>874</v>
      </c>
      <c r="R12" t="s">
        <v>884</v>
      </c>
    </row>
    <row r="13">
      <c r="A13" s="85">
        <v>46181</v>
      </c>
      <c r="B13" s="86">
        <f t="shared" si="4"/>
      </c>
      <c r="C13" t="s">
        <v>853</v>
      </c>
      <c r="D13" s="88" t="s">
        <v>900</v>
      </c>
      <c r="E13" t="s">
        <v>901</v>
      </c>
      <c r="F13" s="92" t="s">
        <v>902</v>
      </c>
      <c r="G13" t="s">
        <v>903</v>
      </c>
      <c r="I13">
        <f>'详细数据'!AC262</f>
      </c>
      <c r="J13" s="88">
        <v>562</v>
      </c>
      <c r="K13" s="88">
        <v>50</v>
      </c>
      <c r="L13" s="88">
        <v>29</v>
      </c>
      <c r="M13" s="88">
        <v>137</v>
      </c>
      <c r="N13">
        <f t="shared" si="1"/>
      </c>
      <c r="O13" s="88">
        <f>'详细数据'!J262</f>
      </c>
      <c r="P13" s="89">
        <f t="shared" si="3"/>
      </c>
      <c r="Q13" s="88" t="s">
        <v>874</v>
      </c>
      <c r="R13" s="88" t="s">
        <v>904</v>
      </c>
    </row>
    <row r="14">
      <c r="A14" s="85">
        <v>46181</v>
      </c>
      <c r="B14" s="86">
        <f t="shared" si="4"/>
      </c>
      <c r="C14" t="s">
        <v>853</v>
      </c>
      <c r="D14" t="s">
        <v>905</v>
      </c>
      <c r="E14" t="s">
        <v>906</v>
      </c>
      <c r="F14" s="92" t="s">
        <v>907</v>
      </c>
      <c r="G14" t="s">
        <v>908</v>
      </c>
      <c r="H14" s="88">
        <v>759</v>
      </c>
      <c r="I14">
        <f>'详细数据'!AC264</f>
      </c>
      <c r="J14" s="88">
        <v>1236</v>
      </c>
      <c r="K14" s="88">
        <v>33</v>
      </c>
      <c r="L14" s="88">
        <v>420</v>
      </c>
      <c r="M14" s="88">
        <v>141</v>
      </c>
      <c r="N14">
        <f t="shared" si="1"/>
      </c>
      <c r="O14">
        <f>'详细数据'!J264</f>
      </c>
      <c r="P14" s="89">
        <f t="shared" si="3"/>
      </c>
      <c r="Q14" t="s">
        <v>858</v>
      </c>
      <c r="R14" s="88" t="s">
        <v>909</v>
      </c>
    </row>
    <row r="15">
      <c r="A15" s="85">
        <v>46179</v>
      </c>
      <c r="B15" s="86">
        <f t="shared" si="4"/>
      </c>
      <c r="C15" t="s">
        <v>853</v>
      </c>
      <c r="D15" t="s">
        <v>910</v>
      </c>
      <c r="E15" t="s">
        <v>911</v>
      </c>
      <c r="F15" s="92" t="s">
        <v>907</v>
      </c>
      <c r="G15" t="s">
        <v>912</v>
      </c>
      <c r="H15" s="88">
        <v>1739</v>
      </c>
      <c r="I15">
        <f>'详细数据'!AC269</f>
      </c>
      <c r="J15" s="88">
        <v>2496</v>
      </c>
      <c r="K15" s="88">
        <v>95</v>
      </c>
      <c r="L15" s="88">
        <v>275</v>
      </c>
      <c r="M15" s="88">
        <v>879</v>
      </c>
      <c r="N15">
        <f t="shared" si="1"/>
      </c>
      <c r="O15">
        <f>'详细数据'!J269</f>
      </c>
      <c r="P15" s="89">
        <f t="shared" si="3"/>
      </c>
      <c r="Q15" t="s">
        <v>874</v>
      </c>
      <c r="R15" t="s">
        <v>884</v>
      </c>
    </row>
    <row r="16">
      <c r="A16" s="85">
        <v>46180</v>
      </c>
      <c r="B16" s="86">
        <f t="shared" si="4"/>
      </c>
      <c r="C16" t="s">
        <v>853</v>
      </c>
      <c r="D16" t="s">
        <v>913</v>
      </c>
      <c r="E16" t="s">
        <v>914</v>
      </c>
      <c r="F16" s="92" t="s">
        <v>907</v>
      </c>
      <c r="G16" t="s">
        <v>915</v>
      </c>
      <c r="H16" s="88">
        <v>4091</v>
      </c>
      <c r="I16">
        <f>'详细数据'!AC268</f>
      </c>
      <c r="J16" s="88">
        <v>3271</v>
      </c>
      <c r="K16" s="88">
        <v>224</v>
      </c>
      <c r="L16" s="88">
        <v>667</v>
      </c>
      <c r="M16" s="88">
        <v>2321</v>
      </c>
      <c r="N16">
        <f t="shared" si="1"/>
      </c>
      <c r="O16">
        <f>'详细数据'!J268</f>
      </c>
      <c r="P16" s="89">
        <f t="shared" si="3"/>
      </c>
      <c r="Q16" t="s">
        <v>874</v>
      </c>
      <c r="R16" t="s">
        <v>884</v>
      </c>
    </row>
    <row r="17">
      <c r="A17" s="85">
        <v>46181</v>
      </c>
      <c r="B17" s="86">
        <f t="shared" si="4"/>
      </c>
      <c r="C17" t="s">
        <v>853</v>
      </c>
      <c r="D17" t="s">
        <v>916</v>
      </c>
      <c r="E17" t="s">
        <v>917</v>
      </c>
      <c r="F17" s="92" t="s">
        <v>907</v>
      </c>
      <c r="G17" t="s">
        <v>918</v>
      </c>
      <c r="H17" s="88">
        <v>741</v>
      </c>
      <c r="I17">
        <f>'详细数据'!AC267</f>
      </c>
      <c r="J17" s="88">
        <v>1033</v>
      </c>
      <c r="K17" s="88">
        <v>71</v>
      </c>
      <c r="L17" s="88">
        <v>150</v>
      </c>
      <c r="M17" s="88">
        <v>529</v>
      </c>
      <c r="N17">
        <f t="shared" si="1"/>
      </c>
      <c r="O17">
        <f>'详细数据'!J267</f>
      </c>
      <c r="P17" s="89">
        <f t="shared" si="3"/>
      </c>
      <c r="Q17" t="s">
        <v>874</v>
      </c>
      <c r="R17" t="s">
        <v>884</v>
      </c>
    </row>
    <row r="18">
      <c r="A18" s="85">
        <v>46182</v>
      </c>
      <c r="B18" s="86">
        <f t="shared" si="4"/>
      </c>
      <c r="C18" t="s">
        <v>919</v>
      </c>
      <c r="D18" t="s">
        <v>920</v>
      </c>
      <c r="E18" t="s">
        <v>921</v>
      </c>
      <c r="F18" s="92" t="s">
        <v>907</v>
      </c>
      <c r="G18" t="s">
        <v>922</v>
      </c>
      <c r="H18" s="88">
        <v>73</v>
      </c>
      <c r="I18">
        <f>'详细数据'!AC266</f>
      </c>
      <c r="J18" s="88">
        <v>326</v>
      </c>
      <c r="K18" s="88">
        <v>18</v>
      </c>
      <c r="L18" s="88">
        <v>7</v>
      </c>
      <c r="M18" s="88">
        <v>5</v>
      </c>
      <c r="N18">
        <f t="shared" si="1"/>
      </c>
      <c r="O18">
        <f>'详细数据'!J266</f>
      </c>
      <c r="P18" s="89">
        <f t="shared" si="3"/>
      </c>
      <c r="Q18" s="87" t="s">
        <v>858</v>
      </c>
      <c r="R18" t="s">
        <v>859</v>
      </c>
    </row>
    <row r="19">
      <c r="A19" s="85">
        <v>46187</v>
      </c>
      <c r="B19" s="86">
        <f t="shared" si="4"/>
      </c>
      <c r="D19" t="s">
        <v>923</v>
      </c>
      <c r="E19" t="s">
        <v>924</v>
      </c>
      <c r="G19" t="s">
        <v>925</v>
      </c>
      <c r="H19" s="88">
        <v>433</v>
      </c>
      <c r="P19" s="89"/>
    </row>
    <row r="20">
      <c r="A20" s="94">
        <v>46188</v>
      </c>
      <c r="B20" s="95">
        <f t="shared" si="4"/>
      </c>
      <c r="D20" t="s">
        <v>926</v>
      </c>
      <c r="E20" t="s">
        <v>927</v>
      </c>
      <c r="G20" t="s">
        <v>928</v>
      </c>
      <c r="H20" s="96">
        <v>45</v>
      </c>
      <c r="P20" s="89"/>
    </row>
    <row r="21">
      <c r="P21" s="89"/>
    </row>
    <row r="22">
      <c r="P22" s="89"/>
    </row>
    <row r="23">
      <c r="P23" s="89"/>
    </row>
    <row r="24">
      <c r="P24" s="89"/>
    </row>
    <row r="25">
      <c r="P25" s="89"/>
    </row>
    <row r="26">
      <c r="P26" s="89"/>
    </row>
    <row r="27">
      <c r="P27" s="89"/>
    </row>
    <row r="28">
      <c r="P28" s="89"/>
    </row>
    <row r="29">
      <c r="P29" s="89"/>
    </row>
    <row r="30">
      <c r="P30" s="89"/>
    </row>
    <row r="31">
      <c r="P31" s="89"/>
    </row>
    <row r="32">
      <c r="P32" s="89"/>
    </row>
    <row r="33">
      <c r="P33" s="89"/>
    </row>
    <row r="34">
      <c r="P34" s="89"/>
    </row>
    <row r="35">
      <c r="P35" s="89"/>
    </row>
    <row r="36">
      <c r="P36" s="89"/>
    </row>
    <row r="37">
      <c r="P37" s="89"/>
    </row>
    <row r="38">
      <c r="P38" s="89"/>
    </row>
    <row r="39">
      <c r="P39" s="89"/>
    </row>
    <row r="40">
      <c r="P40" s="89"/>
    </row>
    <row r="41">
      <c r="P41" s="89"/>
    </row>
    <row r="42">
      <c r="P42" s="89"/>
    </row>
    <row r="43">
      <c r="P43" s="89"/>
    </row>
    <row r="44">
      <c r="P44" s="89"/>
    </row>
    <row r="45">
      <c r="P45" s="89"/>
    </row>
    <row r="46">
      <c r="P46" s="89"/>
    </row>
    <row r="47">
      <c r="P47" s="89"/>
    </row>
    <row r="48">
      <c r="P48" s="89"/>
    </row>
    <row r="49">
      <c r="P49" s="89"/>
    </row>
    <row r="50">
      <c r="P50" s="89"/>
    </row>
    <row r="51">
      <c r="P51" s="89"/>
    </row>
    <row r="52">
      <c r="P52" s="89"/>
    </row>
    <row r="53">
      <c r="P53" s="89"/>
    </row>
    <row r="54">
      <c r="P54" s="89"/>
    </row>
    <row r="55">
      <c r="P55" s="89"/>
    </row>
    <row r="56">
      <c r="P56" s="89"/>
    </row>
    <row r="57">
      <c r="P57" s="89"/>
    </row>
    <row r="58">
      <c r="P58" s="89"/>
    </row>
    <row r="59">
      <c r="P59" s="89"/>
    </row>
    <row r="60">
      <c r="P60" s="89"/>
    </row>
    <row r="61">
      <c r="P61" s="89"/>
    </row>
    <row r="62">
      <c r="P62" s="89"/>
    </row>
    <row r="63">
      <c r="P63" s="89"/>
    </row>
    <row r="64">
      <c r="P64" s="89"/>
    </row>
    <row r="65">
      <c r="P65" s="89"/>
    </row>
    <row r="66">
      <c r="P66" s="89"/>
    </row>
    <row r="67">
      <c r="P67" s="89"/>
    </row>
    <row r="68">
      <c r="P68" s="89"/>
    </row>
    <row r="69">
      <c r="P69" s="89"/>
    </row>
    <row r="70">
      <c r="P70" s="89"/>
    </row>
    <row r="71">
      <c r="P71" s="89"/>
    </row>
    <row r="72">
      <c r="P72" s="89"/>
    </row>
    <row r="73">
      <c r="P73" s="89"/>
    </row>
    <row r="74">
      <c r="P74" s="89"/>
    </row>
    <row r="75">
      <c r="P75" s="89"/>
    </row>
    <row r="76">
      <c r="P76" s="89"/>
    </row>
    <row r="77">
      <c r="P77" s="89"/>
    </row>
    <row r="78">
      <c r="P78" s="89"/>
    </row>
    <row r="79">
      <c r="P79" s="89"/>
    </row>
    <row r="80">
      <c r="P80" s="89"/>
    </row>
    <row r="81">
      <c r="P81" s="89"/>
    </row>
    <row r="82">
      <c r="P82" s="89"/>
    </row>
    <row r="83">
      <c r="P83" s="89"/>
    </row>
    <row r="84">
      <c r="P84" s="89"/>
    </row>
    <row r="85">
      <c r="P85" s="89"/>
    </row>
    <row r="86">
      <c r="P86" s="89"/>
    </row>
    <row r="87">
      <c r="P87" s="89"/>
    </row>
    <row r="88">
      <c r="P88" s="89"/>
    </row>
    <row r="89">
      <c r="P89" s="89"/>
    </row>
    <row r="90">
      <c r="P90" s="89"/>
    </row>
    <row r="91">
      <c r="P91" s="89"/>
    </row>
    <row r="92">
      <c r="P92" s="89"/>
    </row>
    <row r="93">
      <c r="P93" s="89"/>
    </row>
    <row r="94">
      <c r="P94" s="89"/>
    </row>
    <row r="95">
      <c r="P95" s="89"/>
    </row>
    <row r="96">
      <c r="P96" s="89"/>
    </row>
    <row r="97">
      <c r="P97" s="89"/>
    </row>
    <row r="98">
      <c r="P98" s="89"/>
    </row>
    <row r="99">
      <c r="P99" s="89"/>
    </row>
    <row r="100">
      <c r="P100" s="89"/>
    </row>
    <row r="101">
      <c r="P101" s="89"/>
    </row>
    <row r="102">
      <c r="P102" s="89"/>
    </row>
    <row r="103">
      <c r="P103" s="89"/>
    </row>
    <row r="104">
      <c r="P104" s="89"/>
    </row>
    <row r="105">
      <c r="P105" s="89"/>
    </row>
    <row r="106">
      <c r="P106" s="89"/>
    </row>
    <row r="107">
      <c r="P107" s="89"/>
    </row>
    <row r="108">
      <c r="P108" s="89"/>
    </row>
    <row r="109">
      <c r="P109" s="89"/>
    </row>
    <row r="110">
      <c r="P110" s="89"/>
    </row>
    <row r="111">
      <c r="P111" s="89"/>
    </row>
    <row r="112">
      <c r="P112" s="89"/>
    </row>
    <row r="113">
      <c r="P113" s="89"/>
    </row>
    <row r="114">
      <c r="P114" s="89"/>
    </row>
    <row r="115">
      <c r="P115" s="89"/>
    </row>
    <row r="116">
      <c r="P116" s="89"/>
    </row>
    <row r="117">
      <c r="P117" s="89"/>
    </row>
    <row r="118">
      <c r="P118" s="89"/>
    </row>
    <row r="119">
      <c r="P119" s="89"/>
    </row>
    <row r="120">
      <c r="P120" s="89"/>
    </row>
    <row r="121">
      <c r="P121" s="89"/>
    </row>
    <row r="122">
      <c r="P122" s="89"/>
    </row>
    <row r="123">
      <c r="P123" s="89"/>
    </row>
    <row r="124">
      <c r="P124" s="89"/>
    </row>
    <row r="125">
      <c r="P125" s="89"/>
    </row>
    <row r="126">
      <c r="P126" s="89"/>
    </row>
    <row r="127">
      <c r="P127" s="89"/>
    </row>
    <row r="128">
      <c r="P128" s="89"/>
    </row>
    <row r="129">
      <c r="P129" s="89"/>
    </row>
    <row r="130">
      <c r="P130" s="89"/>
    </row>
    <row r="131">
      <c r="P131" s="89"/>
    </row>
    <row r="132">
      <c r="P132" s="89"/>
    </row>
    <row r="133">
      <c r="P133" s="89"/>
    </row>
    <row r="134">
      <c r="P134" s="89"/>
    </row>
    <row r="135">
      <c r="P135" s="89"/>
    </row>
    <row r="136">
      <c r="P136" s="89"/>
    </row>
    <row r="137">
      <c r="P137" s="89"/>
    </row>
    <row r="138">
      <c r="P138" s="89"/>
    </row>
    <row r="139">
      <c r="P139" s="89"/>
    </row>
    <row r="140">
      <c r="P140" s="89"/>
    </row>
    <row r="141">
      <c r="P141" s="89"/>
    </row>
    <row r="142">
      <c r="P142" s="89"/>
    </row>
    <row r="143">
      <c r="P143" s="89"/>
    </row>
    <row r="144">
      <c r="P144" s="89"/>
    </row>
    <row r="145">
      <c r="P145" s="89"/>
    </row>
    <row r="146">
      <c r="P146" s="89"/>
    </row>
    <row r="147">
      <c r="P147" s="89"/>
    </row>
    <row r="148">
      <c r="P148" s="89"/>
    </row>
    <row r="149">
      <c r="P149" s="89"/>
    </row>
    <row r="150">
      <c r="P150" s="89"/>
    </row>
    <row r="151">
      <c r="P151" s="89"/>
    </row>
    <row r="152">
      <c r="P152" s="89"/>
    </row>
    <row r="153">
      <c r="P153" s="89"/>
    </row>
    <row r="154">
      <c r="P154" s="89"/>
    </row>
    <row r="155">
      <c r="P155" s="89"/>
    </row>
    <row r="156">
      <c r="P156" s="89"/>
    </row>
    <row r="157">
      <c r="P157" s="89"/>
    </row>
    <row r="158">
      <c r="P158" s="89"/>
    </row>
    <row r="159">
      <c r="P159" s="89"/>
    </row>
    <row r="160">
      <c r="P160" s="89"/>
    </row>
    <row r="161">
      <c r="P161" s="89"/>
    </row>
    <row r="162">
      <c r="P162" s="89"/>
    </row>
    <row r="163">
      <c r="P163" s="89"/>
    </row>
    <row r="164">
      <c r="P164" s="89"/>
    </row>
    <row r="165">
      <c r="P165" s="89"/>
    </row>
    <row r="166">
      <c r="P166" s="89"/>
    </row>
    <row r="167">
      <c r="P167" s="89"/>
    </row>
    <row r="168">
      <c r="P168" s="89"/>
    </row>
    <row r="169">
      <c r="P169" s="89"/>
    </row>
    <row r="170">
      <c r="P170" s="89"/>
    </row>
    <row r="171">
      <c r="P171" s="89"/>
    </row>
    <row r="172">
      <c r="P172" s="89"/>
    </row>
    <row r="173">
      <c r="P173" s="89"/>
    </row>
    <row r="174">
      <c r="P174" s="89"/>
    </row>
    <row r="175">
      <c r="P175" s="89"/>
    </row>
    <row r="176">
      <c r="P176" s="89"/>
    </row>
    <row r="177">
      <c r="P177" s="89"/>
    </row>
    <row r="178">
      <c r="P178" s="89"/>
    </row>
    <row r="179">
      <c r="P179" s="89"/>
    </row>
    <row r="180">
      <c r="P180" s="89"/>
    </row>
    <row r="181">
      <c r="P181" s="89"/>
    </row>
    <row r="182">
      <c r="P182" s="89"/>
    </row>
    <row r="183">
      <c r="P183" s="89"/>
    </row>
    <row r="184">
      <c r="P184" s="89"/>
    </row>
    <row r="185">
      <c r="P185" s="89"/>
    </row>
    <row r="186">
      <c r="P186" s="89"/>
    </row>
    <row r="187">
      <c r="P187" s="89"/>
    </row>
    <row r="188">
      <c r="P188" s="89"/>
    </row>
    <row r="189">
      <c r="P189" s="89"/>
    </row>
    <row r="190">
      <c r="P190" s="89"/>
    </row>
    <row r="191">
      <c r="P191" s="89"/>
    </row>
    <row r="192">
      <c r="P192" s="89"/>
    </row>
    <row r="193">
      <c r="P193" s="89"/>
    </row>
    <row r="194">
      <c r="P194" s="89"/>
    </row>
    <row r="195">
      <c r="P195" s="89"/>
    </row>
    <row r="196">
      <c r="P196" s="89"/>
    </row>
    <row r="197">
      <c r="P197" s="89"/>
    </row>
    <row r="198">
      <c r="P198" s="89"/>
    </row>
    <row r="199">
      <c r="P199" s="89"/>
    </row>
    <row r="200">
      <c r="P200" s="89"/>
    </row>
  </sheetData>
  <mergeCells>
    <mergeCell ref="A2:G2"/>
  </mergeCells>
  <dataValidations count="2">
    <dataValidation allowBlank="true" errorStyle="stop" showErrorMessage="true" sqref="C3:C18" type="list">
      <formula1>"在投,停投,无法授权,拒审,待授权,投放完毕,无法投放"</formula1>
    </dataValidation>
    <dataValidation allowBlank="true" errorStyle="stop" showErrorMessage="true" sqref="Q3:Q3 Q18:Q18" type="list">
      <formula1>"产品力,场景,车内,司机,地广/活动"</formula1>
    </dataValidation>
  </dataValidations>
  <hyperlinks>
    <hyperlink ref="E15" display="https://www.douyin.com/video/7648121194428425573" r:id="rId1"/>
    <hyperlink ref="E3" display="https://www.douyin.com/video/7645956165910827377" r:id="rId2"/>
    <hyperlink ref="E7" display="https://www.douyin.com/video/7647214379003431907" r:id="rId3"/>
    <hyperlink ref="E11" display="https://www.douyin.com/note/7647815865568169295" r:id="rId4"/>
    <hyperlink ref="E18" display="https://www.douyin.com/note/7649063213564689138" r:id="rId5"/>
    <hyperlink ref="E6" display="https://www.douyin.com/note/7646632021980156346" r:id="rId6"/>
    <hyperlink ref="E10" display="https://www.douyin.com/video/7648092654844692970" r:id="rId7"/>
    <hyperlink ref="E14" display="https://www.douyin.com/video/7648840710867964325" r:id="rId8"/>
    <hyperlink ref="E17" display="https://www.douyin.com/video/7648943448107741682" r:id="rId9"/>
    <hyperlink ref="E20" display="https://www.douyin.com/video/7651235777007377787" r:id="rId10"/>
    <hyperlink ref="E5" display="https://www.douyin.com/note/7646701552317873787" r:id="rId11"/>
    <hyperlink ref="E9" display="https://www.douyin.com/user/MS4wLjABAAAAuZvZ6VAA6cysm3VWXGSfj4yJnWGSOUFbZFAky1iC_1Q?from_tab_name=main&amp;modal_id=7647513382476541541&amp;vid=7647513382476541541" r:id="rId12"/>
    <hyperlink ref="E13" display="https://www.douyin.com/video/7648887011160830180" r:id="rId13"/>
    <hyperlink ref="E16" display="https://www.douyin.com/video/7648609080373822586" r:id="rId14"/>
    <hyperlink ref="E19" display="https://www.douyin.com/video/7651087551021976177" r:id="rId15"/>
    <hyperlink ref="E4" display="https://www.douyin.com/note/7646727972648596218" r:id="rId16"/>
    <hyperlink ref="E8" display="https://www.douyin.com/user/MS4wLjABAAAAJT00acZ9BEt6-OB1zk6oV1GFf2azeh_kQhjcxcwY0X8k-_kXcxTTL2JwWJUF35x1?from_tab_name=main&amp;modal_id=7646742373196733811" r:id="rId17"/>
    <hyperlink ref="E12" display="https://www.douyin.com/video/7647506813403365321" r:id="rId18"/>
  </hyperlinks>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D2" xSplit="3" ySplit="1"/>
    </sheetView>
  </sheetViews>
  <sheetFormatPr defaultColWidth="14" defaultRowHeight="19"/>
  <sheetData>
    <row r="1">
      <c r="A1" s="97" t="s">
        <v>929</v>
      </c>
      <c r="B1" s="97" t="s">
        <v>930</v>
      </c>
      <c r="C1" s="97" t="s">
        <v>931</v>
      </c>
      <c r="D1" s="97" t="s">
        <v>932</v>
      </c>
      <c r="E1" s="97" t="s">
        <v>933</v>
      </c>
      <c r="F1" s="97" t="s">
        <v>934</v>
      </c>
      <c r="G1" s="97" t="s">
        <v>935</v>
      </c>
      <c r="H1" s="97" t="s">
        <v>936</v>
      </c>
      <c r="I1" s="97" t="s">
        <v>937</v>
      </c>
      <c r="J1" s="97" t="s">
        <v>938</v>
      </c>
      <c r="K1" s="97" t="s">
        <v>939</v>
      </c>
      <c r="L1" s="97" t="s">
        <v>940</v>
      </c>
      <c r="M1" s="97" t="s">
        <v>941</v>
      </c>
      <c r="N1" s="98" t="s">
        <v>942</v>
      </c>
      <c r="O1" s="98" t="s">
        <v>943</v>
      </c>
      <c r="P1" s="98" t="s">
        <v>944</v>
      </c>
      <c r="Q1" s="98" t="s">
        <v>945</v>
      </c>
      <c r="R1" s="97" t="s">
        <v>946</v>
      </c>
      <c r="S1" s="97" t="s">
        <v>947</v>
      </c>
      <c r="T1" s="97" t="s">
        <v>948</v>
      </c>
      <c r="U1" s="97" t="s">
        <v>949</v>
      </c>
      <c r="V1" s="97" t="s">
        <v>950</v>
      </c>
      <c r="W1" s="97" t="s">
        <v>951</v>
      </c>
      <c r="X1" s="97" t="s">
        <v>952</v>
      </c>
      <c r="Y1" s="97" t="s">
        <v>953</v>
      </c>
      <c r="Z1" s="97" t="s">
        <v>954</v>
      </c>
      <c r="AA1" s="97" t="s">
        <v>955</v>
      </c>
      <c r="AB1" s="99"/>
      <c r="AC1" s="99" t="s">
        <v>956</v>
      </c>
      <c r="AD1" s="99"/>
      <c r="AE1" s="99"/>
      <c r="AF1" s="99"/>
    </row>
    <row r="2">
      <c r="A2" s="100" t="s">
        <v>957</v>
      </c>
      <c r="B2" s="101" t="s">
        <v>958</v>
      </c>
      <c r="C2" s="101" t="s">
        <v>959</v>
      </c>
      <c r="D2" s="101" t="s">
        <v>960</v>
      </c>
      <c r="E2" s="102" t="s">
        <v>961</v>
      </c>
      <c r="F2" s="103">
        <v>46083.850694444445</v>
      </c>
      <c r="G2" s="101" t="s">
        <v>962</v>
      </c>
      <c r="H2" s="101">
        <v>500</v>
      </c>
      <c r="I2" s="101">
        <v>500</v>
      </c>
      <c r="J2" s="101">
        <v>500</v>
      </c>
      <c r="K2" s="101" t="s">
        <v>963</v>
      </c>
      <c r="L2" s="101">
        <v>30072</v>
      </c>
      <c r="M2" s="104">
        <v>16.63</v>
      </c>
      <c r="N2" s="97"/>
      <c r="O2" s="97"/>
      <c r="P2" s="97"/>
      <c r="Q2" s="97"/>
      <c r="R2" s="105">
        <v>30072</v>
      </c>
      <c r="S2" s="101" t="s">
        <v>964</v>
      </c>
      <c r="T2" s="101">
        <v>2695</v>
      </c>
      <c r="U2" s="101">
        <v>10</v>
      </c>
      <c r="V2" s="101">
        <v>405</v>
      </c>
      <c r="W2" s="101">
        <v>40</v>
      </c>
      <c r="X2" s="101">
        <v>4</v>
      </c>
      <c r="Y2" s="99"/>
      <c r="Z2" s="101" t="s">
        <v>965</v>
      </c>
      <c r="AA2" s="101" t="s">
        <v>966</v>
      </c>
      <c r="AB2" s="106"/>
      <c r="AC2" s="106">
        <f t="shared" ref="AC2:AC269" si="0">SUM(T2:V2)</f>
      </c>
      <c r="AD2" s="99"/>
      <c r="AE2" s="99"/>
      <c r="AF2" s="99"/>
    </row>
    <row r="3">
      <c r="A3" s="100" t="s">
        <v>967</v>
      </c>
      <c r="B3" s="101" t="s">
        <v>958</v>
      </c>
      <c r="C3" s="101" t="s">
        <v>968</v>
      </c>
      <c r="D3" s="101" t="s">
        <v>969</v>
      </c>
      <c r="E3" s="102" t="s">
        <v>970</v>
      </c>
      <c r="F3" s="103">
        <v>46083.850694444445</v>
      </c>
      <c r="G3" s="101" t="s">
        <v>962</v>
      </c>
      <c r="H3" s="101">
        <v>500</v>
      </c>
      <c r="I3" s="101">
        <v>500</v>
      </c>
      <c r="J3" s="101">
        <v>500</v>
      </c>
      <c r="K3" s="101" t="s">
        <v>963</v>
      </c>
      <c r="L3" s="101">
        <v>26860</v>
      </c>
      <c r="M3" s="104">
        <v>18.62</v>
      </c>
      <c r="N3" s="97"/>
      <c r="O3" s="97"/>
      <c r="P3" s="97"/>
      <c r="Q3" s="97"/>
      <c r="R3" s="105">
        <v>26860</v>
      </c>
      <c r="S3" s="101" t="s">
        <v>964</v>
      </c>
      <c r="T3" s="101">
        <v>1082</v>
      </c>
      <c r="U3" s="101">
        <v>12</v>
      </c>
      <c r="V3" s="101">
        <v>0</v>
      </c>
      <c r="W3" s="101">
        <v>51</v>
      </c>
      <c r="X3" s="101">
        <v>10</v>
      </c>
      <c r="Y3" s="99"/>
      <c r="Z3" s="101" t="s">
        <v>965</v>
      </c>
      <c r="AA3" s="101" t="s">
        <v>966</v>
      </c>
      <c r="AB3" s="106"/>
      <c r="AC3" s="106">
        <f t="shared" si="0"/>
      </c>
      <c r="AD3" s="99"/>
      <c r="AE3" s="99"/>
      <c r="AF3" s="99"/>
    </row>
    <row r="4">
      <c r="A4" s="100" t="s">
        <v>971</v>
      </c>
      <c r="B4" s="101" t="s">
        <v>958</v>
      </c>
      <c r="C4" s="101" t="s">
        <v>972</v>
      </c>
      <c r="D4" s="101" t="s">
        <v>973</v>
      </c>
      <c r="E4" s="102" t="s">
        <v>974</v>
      </c>
      <c r="F4" s="103">
        <v>46083.85138888889</v>
      </c>
      <c r="G4" s="101" t="s">
        <v>962</v>
      </c>
      <c r="H4" s="101">
        <v>500</v>
      </c>
      <c r="I4" s="101">
        <v>500</v>
      </c>
      <c r="J4" s="101">
        <v>500</v>
      </c>
      <c r="K4" s="101" t="s">
        <v>963</v>
      </c>
      <c r="L4" s="101">
        <v>26306</v>
      </c>
      <c r="M4" s="104">
        <v>19.01</v>
      </c>
      <c r="N4" s="97"/>
      <c r="O4" s="97"/>
      <c r="P4" s="97"/>
      <c r="Q4" s="97"/>
      <c r="R4" s="105">
        <v>26306</v>
      </c>
      <c r="S4" s="101" t="s">
        <v>964</v>
      </c>
      <c r="T4" s="101">
        <v>1404</v>
      </c>
      <c r="U4" s="101">
        <v>14</v>
      </c>
      <c r="V4" s="101">
        <v>9</v>
      </c>
      <c r="W4" s="101">
        <v>43</v>
      </c>
      <c r="X4" s="101">
        <v>11</v>
      </c>
      <c r="Y4" s="99"/>
      <c r="Z4" s="101" t="s">
        <v>965</v>
      </c>
      <c r="AA4" s="101" t="s">
        <v>966</v>
      </c>
      <c r="AB4" s="106"/>
      <c r="AC4" s="106">
        <f t="shared" si="0"/>
      </c>
      <c r="AD4" s="99"/>
      <c r="AE4" s="99"/>
      <c r="AF4" s="99"/>
    </row>
    <row r="5">
      <c r="A5" s="100" t="s">
        <v>975</v>
      </c>
      <c r="B5" s="101" t="s">
        <v>958</v>
      </c>
      <c r="C5" s="101" t="s">
        <v>976</v>
      </c>
      <c r="D5" s="101" t="s">
        <v>977</v>
      </c>
      <c r="E5" s="102" t="s">
        <v>978</v>
      </c>
      <c r="F5" s="103">
        <v>46083.85138888889</v>
      </c>
      <c r="G5" s="101" t="s">
        <v>962</v>
      </c>
      <c r="H5" s="101">
        <v>500</v>
      </c>
      <c r="I5" s="101">
        <v>500</v>
      </c>
      <c r="J5" s="101">
        <v>500</v>
      </c>
      <c r="K5" s="101" t="s">
        <v>963</v>
      </c>
      <c r="L5" s="101">
        <v>44155</v>
      </c>
      <c r="M5" s="104">
        <v>11.32</v>
      </c>
      <c r="N5" s="97"/>
      <c r="O5" s="97"/>
      <c r="P5" s="97"/>
      <c r="Q5" s="97"/>
      <c r="R5" s="105">
        <v>44155</v>
      </c>
      <c r="S5" s="101" t="s">
        <v>964</v>
      </c>
      <c r="T5" s="101">
        <v>1266</v>
      </c>
      <c r="U5" s="101">
        <v>7</v>
      </c>
      <c r="V5" s="101">
        <v>7</v>
      </c>
      <c r="W5" s="101">
        <v>1001</v>
      </c>
      <c r="X5" s="101">
        <v>5</v>
      </c>
      <c r="Y5" s="99"/>
      <c r="Z5" s="101" t="s">
        <v>965</v>
      </c>
      <c r="AA5" s="101" t="s">
        <v>966</v>
      </c>
      <c r="AB5" s="106"/>
      <c r="AC5" s="106">
        <f t="shared" si="0"/>
      </c>
      <c r="AD5" s="99"/>
      <c r="AE5" s="99"/>
      <c r="AF5" s="99"/>
    </row>
    <row r="6">
      <c r="A6" s="100" t="s">
        <v>979</v>
      </c>
      <c r="B6" s="101" t="s">
        <v>958</v>
      </c>
      <c r="C6" s="101" t="s">
        <v>980</v>
      </c>
      <c r="D6" s="101" t="s">
        <v>981</v>
      </c>
      <c r="E6" s="102" t="s">
        <v>982</v>
      </c>
      <c r="F6" s="103">
        <v>46083.85208333333</v>
      </c>
      <c r="G6" s="101" t="s">
        <v>962</v>
      </c>
      <c r="H6" s="101">
        <v>500</v>
      </c>
      <c r="I6" s="101">
        <v>500</v>
      </c>
      <c r="J6" s="101">
        <v>500</v>
      </c>
      <c r="K6" s="101" t="s">
        <v>963</v>
      </c>
      <c r="L6" s="101">
        <v>27016</v>
      </c>
      <c r="M6" s="104">
        <v>18.51</v>
      </c>
      <c r="N6" s="97"/>
      <c r="O6" s="97"/>
      <c r="P6" s="97"/>
      <c r="Q6" s="97"/>
      <c r="R6" s="105">
        <v>27016</v>
      </c>
      <c r="S6" s="101" t="s">
        <v>964</v>
      </c>
      <c r="T6" s="101">
        <v>2808</v>
      </c>
      <c r="U6" s="101">
        <v>15</v>
      </c>
      <c r="V6" s="101">
        <v>48</v>
      </c>
      <c r="W6" s="101">
        <v>56</v>
      </c>
      <c r="X6" s="101">
        <v>2</v>
      </c>
      <c r="Y6" s="99"/>
      <c r="Z6" s="101" t="s">
        <v>965</v>
      </c>
      <c r="AA6" s="101" t="s">
        <v>966</v>
      </c>
      <c r="AB6" s="106"/>
      <c r="AC6" s="106">
        <f t="shared" si="0"/>
      </c>
      <c r="AD6" s="99"/>
      <c r="AE6" s="99"/>
      <c r="AF6" s="99"/>
    </row>
    <row r="7">
      <c r="A7" s="100" t="s">
        <v>983</v>
      </c>
      <c r="B7" s="101" t="s">
        <v>958</v>
      </c>
      <c r="C7" s="101" t="s">
        <v>984</v>
      </c>
      <c r="D7" s="101" t="s">
        <v>985</v>
      </c>
      <c r="E7" s="102" t="s">
        <v>986</v>
      </c>
      <c r="F7" s="103">
        <v>46083.85208333333</v>
      </c>
      <c r="G7" s="101" t="s">
        <v>962</v>
      </c>
      <c r="H7" s="101">
        <v>500</v>
      </c>
      <c r="I7" s="101">
        <v>500</v>
      </c>
      <c r="J7" s="101">
        <v>500</v>
      </c>
      <c r="K7" s="101" t="s">
        <v>963</v>
      </c>
      <c r="L7" s="101">
        <v>28147</v>
      </c>
      <c r="M7" s="104">
        <v>17.76</v>
      </c>
      <c r="N7" s="97"/>
      <c r="O7" s="97"/>
      <c r="P7" s="97"/>
      <c r="Q7" s="97"/>
      <c r="R7" s="105">
        <v>28147</v>
      </c>
      <c r="S7" s="101" t="s">
        <v>964</v>
      </c>
      <c r="T7" s="101">
        <v>1058</v>
      </c>
      <c r="U7" s="101">
        <v>13</v>
      </c>
      <c r="V7" s="101">
        <v>2</v>
      </c>
      <c r="W7" s="101">
        <v>233</v>
      </c>
      <c r="X7" s="101">
        <v>13</v>
      </c>
      <c r="Y7" s="99"/>
      <c r="Z7" s="101" t="s">
        <v>965</v>
      </c>
      <c r="AA7" s="101" t="s">
        <v>966</v>
      </c>
      <c r="AB7" s="106"/>
      <c r="AC7" s="106">
        <f t="shared" si="0"/>
      </c>
      <c r="AD7" s="99"/>
      <c r="AE7" s="99"/>
      <c r="AF7" s="99"/>
    </row>
    <row r="8">
      <c r="A8" s="100" t="s">
        <v>987</v>
      </c>
      <c r="B8" s="101" t="s">
        <v>958</v>
      </c>
      <c r="C8" s="101" t="s">
        <v>988</v>
      </c>
      <c r="D8" s="101" t="s">
        <v>989</v>
      </c>
      <c r="E8" s="102" t="s">
        <v>990</v>
      </c>
      <c r="F8" s="103">
        <v>46083.85277777778</v>
      </c>
      <c r="G8" s="101" t="s">
        <v>962</v>
      </c>
      <c r="H8" s="101">
        <v>500</v>
      </c>
      <c r="I8" s="101">
        <v>500</v>
      </c>
      <c r="J8" s="101">
        <v>500</v>
      </c>
      <c r="K8" s="101" t="s">
        <v>963</v>
      </c>
      <c r="L8" s="101">
        <v>27088</v>
      </c>
      <c r="M8" s="104">
        <v>18.46</v>
      </c>
      <c r="N8" s="97"/>
      <c r="O8" s="97"/>
      <c r="P8" s="97"/>
      <c r="Q8" s="97"/>
      <c r="R8" s="105">
        <v>27088</v>
      </c>
      <c r="S8" s="101" t="s">
        <v>964</v>
      </c>
      <c r="T8" s="101">
        <v>1257</v>
      </c>
      <c r="U8" s="101">
        <v>31</v>
      </c>
      <c r="V8" s="101">
        <v>4</v>
      </c>
      <c r="W8" s="101">
        <v>208</v>
      </c>
      <c r="X8" s="101">
        <v>11</v>
      </c>
      <c r="Y8" s="99"/>
      <c r="Z8" s="101" t="s">
        <v>965</v>
      </c>
      <c r="AA8" s="101" t="s">
        <v>966</v>
      </c>
      <c r="AB8" s="106"/>
      <c r="AC8" s="106">
        <f t="shared" si="0"/>
      </c>
      <c r="AD8" s="99"/>
      <c r="AE8" s="99"/>
      <c r="AF8" s="99"/>
    </row>
    <row r="9">
      <c r="A9" s="100" t="s">
        <v>991</v>
      </c>
      <c r="B9" s="101" t="s">
        <v>958</v>
      </c>
      <c r="C9" s="101" t="s">
        <v>992</v>
      </c>
      <c r="D9" s="101" t="s">
        <v>993</v>
      </c>
      <c r="E9" s="102" t="s">
        <v>994</v>
      </c>
      <c r="F9" s="103">
        <v>46083.85277777778</v>
      </c>
      <c r="G9" s="101" t="s">
        <v>962</v>
      </c>
      <c r="H9" s="101">
        <v>500</v>
      </c>
      <c r="I9" s="101">
        <v>500</v>
      </c>
      <c r="J9" s="101">
        <v>500</v>
      </c>
      <c r="K9" s="101" t="s">
        <v>963</v>
      </c>
      <c r="L9" s="101">
        <v>24300</v>
      </c>
      <c r="M9" s="104">
        <v>20.58</v>
      </c>
      <c r="N9" s="97"/>
      <c r="O9" s="97"/>
      <c r="P9" s="97"/>
      <c r="Q9" s="97"/>
      <c r="R9" s="105">
        <v>24300</v>
      </c>
      <c r="S9" s="101" t="s">
        <v>964</v>
      </c>
      <c r="T9" s="101">
        <v>1280</v>
      </c>
      <c r="U9" s="101">
        <v>12</v>
      </c>
      <c r="V9" s="101">
        <v>9</v>
      </c>
      <c r="W9" s="101">
        <v>50</v>
      </c>
      <c r="X9" s="101">
        <v>13</v>
      </c>
      <c r="Y9" s="99"/>
      <c r="Z9" s="101" t="s">
        <v>965</v>
      </c>
      <c r="AA9" s="101" t="s">
        <v>966</v>
      </c>
      <c r="AB9" s="106"/>
      <c r="AC9" s="106">
        <f t="shared" si="0"/>
      </c>
      <c r="AD9" s="99"/>
      <c r="AE9" s="99"/>
      <c r="AF9" s="99"/>
    </row>
    <row r="10">
      <c r="A10" s="100" t="s">
        <v>995</v>
      </c>
      <c r="B10" s="101" t="s">
        <v>958</v>
      </c>
      <c r="C10" s="101" t="s">
        <v>996</v>
      </c>
      <c r="D10" s="101" t="s">
        <v>997</v>
      </c>
      <c r="E10" s="102" t="s">
        <v>998</v>
      </c>
      <c r="F10" s="103">
        <v>46083.853472222225</v>
      </c>
      <c r="G10" s="101" t="s">
        <v>962</v>
      </c>
      <c r="H10" s="101">
        <v>500</v>
      </c>
      <c r="I10" s="101">
        <v>500</v>
      </c>
      <c r="J10" s="101">
        <v>500</v>
      </c>
      <c r="K10" s="101" t="s">
        <v>963</v>
      </c>
      <c r="L10" s="101">
        <v>26682</v>
      </c>
      <c r="M10" s="104">
        <v>18.74</v>
      </c>
      <c r="N10" s="97"/>
      <c r="O10" s="97"/>
      <c r="P10" s="97"/>
      <c r="Q10" s="97"/>
      <c r="R10" s="105">
        <v>26682</v>
      </c>
      <c r="S10" s="101" t="s">
        <v>964</v>
      </c>
      <c r="T10" s="101">
        <v>1120</v>
      </c>
      <c r="U10" s="101">
        <v>15</v>
      </c>
      <c r="V10" s="101">
        <v>10</v>
      </c>
      <c r="W10" s="101">
        <v>31</v>
      </c>
      <c r="X10" s="101">
        <v>15</v>
      </c>
      <c r="Y10" s="99"/>
      <c r="Z10" s="101" t="s">
        <v>965</v>
      </c>
      <c r="AA10" s="101" t="s">
        <v>966</v>
      </c>
      <c r="AB10" s="106"/>
      <c r="AC10" s="106">
        <f t="shared" si="0"/>
      </c>
      <c r="AD10" s="99"/>
      <c r="AE10" s="99"/>
      <c r="AF10" s="99"/>
    </row>
    <row customHeight="true" ht="33" r="11">
      <c r="A11" s="100" t="s">
        <v>999</v>
      </c>
      <c r="B11" s="101" t="s">
        <v>958</v>
      </c>
      <c r="C11" s="101" t="s">
        <v>992</v>
      </c>
      <c r="D11" s="101" t="s">
        <v>993</v>
      </c>
      <c r="E11" s="102" t="s">
        <v>994</v>
      </c>
      <c r="F11" s="103">
        <v>46084.62847222222</v>
      </c>
      <c r="G11" s="101" t="s">
        <v>962</v>
      </c>
      <c r="H11" s="101">
        <v>1000</v>
      </c>
      <c r="I11" s="101">
        <v>1000</v>
      </c>
      <c r="J11" s="101">
        <v>1000</v>
      </c>
      <c r="K11" s="101" t="s">
        <v>963</v>
      </c>
      <c r="L11" s="101">
        <v>55366</v>
      </c>
      <c r="M11" s="104">
        <v>18.06</v>
      </c>
      <c r="N11" s="97"/>
      <c r="O11" s="97"/>
      <c r="P11" s="97"/>
      <c r="Q11" s="97"/>
      <c r="R11" s="105">
        <v>55366</v>
      </c>
      <c r="S11" s="101" t="s">
        <v>964</v>
      </c>
      <c r="T11" s="101">
        <v>3541</v>
      </c>
      <c r="U11" s="101">
        <v>15</v>
      </c>
      <c r="V11" s="101">
        <v>19</v>
      </c>
      <c r="W11" s="101">
        <v>137</v>
      </c>
      <c r="X11" s="101">
        <v>25</v>
      </c>
      <c r="Y11" s="99"/>
      <c r="Z11" s="101" t="s">
        <v>965</v>
      </c>
      <c r="AA11" s="101" t="s">
        <v>1000</v>
      </c>
      <c r="AB11" s="106"/>
      <c r="AC11" s="106">
        <f t="shared" si="0"/>
      </c>
      <c r="AD11" s="99"/>
      <c r="AE11" s="99"/>
      <c r="AF11" s="99"/>
    </row>
    <row customHeight="true" ht="33" r="12">
      <c r="A12" s="100" t="s">
        <v>1001</v>
      </c>
      <c r="B12" s="101" t="s">
        <v>958</v>
      </c>
      <c r="C12" s="101" t="s">
        <v>980</v>
      </c>
      <c r="D12" s="101" t="s">
        <v>1002</v>
      </c>
      <c r="E12" s="102" t="s">
        <v>982</v>
      </c>
      <c r="F12" s="103">
        <v>46084.62777777778</v>
      </c>
      <c r="G12" s="101" t="s">
        <v>962</v>
      </c>
      <c r="H12" s="101">
        <v>1000</v>
      </c>
      <c r="I12" s="101">
        <v>1000</v>
      </c>
      <c r="J12" s="101">
        <v>1000</v>
      </c>
      <c r="K12" s="101" t="s">
        <v>963</v>
      </c>
      <c r="L12" s="101">
        <v>54301</v>
      </c>
      <c r="M12" s="104">
        <v>18.42</v>
      </c>
      <c r="N12" s="97"/>
      <c r="O12" s="97"/>
      <c r="P12" s="97"/>
      <c r="Q12" s="97"/>
      <c r="R12" s="105">
        <v>54301</v>
      </c>
      <c r="S12" s="101" t="s">
        <v>964</v>
      </c>
      <c r="T12" s="101">
        <v>10803</v>
      </c>
      <c r="U12" s="101">
        <v>49</v>
      </c>
      <c r="V12" s="101">
        <v>211</v>
      </c>
      <c r="W12" s="101">
        <v>127</v>
      </c>
      <c r="X12" s="101">
        <v>7</v>
      </c>
      <c r="Y12" s="99"/>
      <c r="Z12" s="101" t="s">
        <v>965</v>
      </c>
      <c r="AA12" s="101" t="s">
        <v>1000</v>
      </c>
      <c r="AB12" s="106"/>
      <c r="AC12" s="106">
        <f t="shared" si="0"/>
      </c>
      <c r="AD12" s="99"/>
      <c r="AE12" s="99"/>
      <c r="AF12" s="99"/>
    </row>
    <row customHeight="true" ht="33" r="13">
      <c r="A13" s="100" t="s">
        <v>1003</v>
      </c>
      <c r="B13" s="101" t="s">
        <v>958</v>
      </c>
      <c r="C13" s="101" t="s">
        <v>976</v>
      </c>
      <c r="D13" s="101" t="s">
        <v>977</v>
      </c>
      <c r="E13" s="102" t="s">
        <v>978</v>
      </c>
      <c r="F13" s="103">
        <v>46084.62708333333</v>
      </c>
      <c r="G13" s="101" t="s">
        <v>962</v>
      </c>
      <c r="H13" s="101">
        <v>1000</v>
      </c>
      <c r="I13" s="101">
        <v>1000</v>
      </c>
      <c r="J13" s="101">
        <v>1000</v>
      </c>
      <c r="K13" s="101" t="s">
        <v>963</v>
      </c>
      <c r="L13" s="101">
        <v>73591</v>
      </c>
      <c r="M13" s="104">
        <v>13.59</v>
      </c>
      <c r="N13" s="97"/>
      <c r="O13" s="97"/>
      <c r="P13" s="97"/>
      <c r="Q13" s="97"/>
      <c r="R13" s="105">
        <v>73591</v>
      </c>
      <c r="S13" s="101" t="s">
        <v>964</v>
      </c>
      <c r="T13" s="101">
        <v>3458</v>
      </c>
      <c r="U13" s="101">
        <v>12</v>
      </c>
      <c r="V13" s="101">
        <v>42</v>
      </c>
      <c r="W13" s="101">
        <v>1474</v>
      </c>
      <c r="X13" s="101">
        <v>25</v>
      </c>
      <c r="Y13" s="99"/>
      <c r="Z13" s="101" t="s">
        <v>965</v>
      </c>
      <c r="AA13" s="101" t="s">
        <v>1000</v>
      </c>
      <c r="AB13" s="106"/>
      <c r="AC13" s="106">
        <f t="shared" si="0"/>
      </c>
      <c r="AD13" s="99"/>
      <c r="AE13" s="99"/>
      <c r="AF13" s="99"/>
    </row>
    <row customHeight="true" ht="33" r="14">
      <c r="A14" s="100" t="s">
        <v>1004</v>
      </c>
      <c r="B14" s="101" t="s">
        <v>958</v>
      </c>
      <c r="C14" s="101" t="s">
        <v>972</v>
      </c>
      <c r="D14" s="101" t="s">
        <v>973</v>
      </c>
      <c r="E14" s="102" t="s">
        <v>974</v>
      </c>
      <c r="F14" s="103">
        <v>46084.626388888886</v>
      </c>
      <c r="G14" s="101" t="s">
        <v>962</v>
      </c>
      <c r="H14" s="101">
        <v>1000</v>
      </c>
      <c r="I14" s="101">
        <v>1000</v>
      </c>
      <c r="J14" s="101">
        <v>1000</v>
      </c>
      <c r="K14" s="101" t="s">
        <v>963</v>
      </c>
      <c r="L14" s="101">
        <v>54182</v>
      </c>
      <c r="M14" s="104">
        <v>18.46</v>
      </c>
      <c r="N14" s="97"/>
      <c r="O14" s="97"/>
      <c r="P14" s="97"/>
      <c r="Q14" s="97"/>
      <c r="R14" s="105">
        <v>54182</v>
      </c>
      <c r="S14" s="101" t="s">
        <v>964</v>
      </c>
      <c r="T14" s="101">
        <v>3360</v>
      </c>
      <c r="U14" s="101">
        <v>50</v>
      </c>
      <c r="V14" s="101">
        <v>10</v>
      </c>
      <c r="W14" s="101">
        <v>93</v>
      </c>
      <c r="X14" s="101">
        <v>62</v>
      </c>
      <c r="Y14" s="99"/>
      <c r="Z14" s="101" t="s">
        <v>965</v>
      </c>
      <c r="AA14" s="101" t="s">
        <v>1000</v>
      </c>
      <c r="AB14" s="106"/>
      <c r="AC14" s="106">
        <f t="shared" si="0"/>
      </c>
      <c r="AD14" s="99"/>
      <c r="AE14" s="99"/>
      <c r="AF14" s="99"/>
    </row>
    <row customHeight="true" ht="33" r="15">
      <c r="A15" s="100" t="s">
        <v>1005</v>
      </c>
      <c r="B15" s="101" t="s">
        <v>958</v>
      </c>
      <c r="C15" s="101" t="s">
        <v>988</v>
      </c>
      <c r="D15" s="101" t="s">
        <v>989</v>
      </c>
      <c r="E15" s="102" t="s">
        <v>990</v>
      </c>
      <c r="F15" s="103">
        <v>46084.657638888886</v>
      </c>
      <c r="G15" s="101" t="s">
        <v>962</v>
      </c>
      <c r="H15" s="101">
        <v>1000</v>
      </c>
      <c r="I15" s="101">
        <v>1000</v>
      </c>
      <c r="J15" s="101">
        <v>1000</v>
      </c>
      <c r="K15" s="101" t="s">
        <v>963</v>
      </c>
      <c r="L15" s="101">
        <v>54078</v>
      </c>
      <c r="M15" s="104">
        <v>18.49</v>
      </c>
      <c r="N15" s="97"/>
      <c r="O15" s="97"/>
      <c r="P15" s="97"/>
      <c r="Q15" s="97"/>
      <c r="R15" s="105">
        <v>54078</v>
      </c>
      <c r="S15" s="101" t="s">
        <v>964</v>
      </c>
      <c r="T15" s="101">
        <v>5294</v>
      </c>
      <c r="U15" s="101">
        <v>29</v>
      </c>
      <c r="V15" s="101">
        <v>31</v>
      </c>
      <c r="W15" s="101">
        <v>343</v>
      </c>
      <c r="X15" s="101">
        <v>8</v>
      </c>
      <c r="Y15" s="99"/>
      <c r="Z15" s="101" t="s">
        <v>965</v>
      </c>
      <c r="AA15" s="101" t="s">
        <v>1000</v>
      </c>
      <c r="AB15" s="106"/>
      <c r="AC15" s="106">
        <f t="shared" si="0"/>
      </c>
      <c r="AD15" s="99"/>
      <c r="AE15" s="99"/>
      <c r="AF15" s="99"/>
    </row>
    <row customHeight="true" ht="33" r="16">
      <c r="A16" s="100" t="s">
        <v>1006</v>
      </c>
      <c r="B16" s="101" t="s">
        <v>958</v>
      </c>
      <c r="C16" s="101" t="s">
        <v>959</v>
      </c>
      <c r="D16" s="101" t="s">
        <v>960</v>
      </c>
      <c r="E16" s="102" t="s">
        <v>961</v>
      </c>
      <c r="F16" s="103">
        <v>46084.65694444445</v>
      </c>
      <c r="G16" s="101" t="s">
        <v>962</v>
      </c>
      <c r="H16" s="101">
        <v>1000</v>
      </c>
      <c r="I16" s="101">
        <v>1000</v>
      </c>
      <c r="J16" s="101">
        <v>1000</v>
      </c>
      <c r="K16" s="101" t="s">
        <v>963</v>
      </c>
      <c r="L16" s="101">
        <v>64912</v>
      </c>
      <c r="M16" s="104">
        <v>15.41</v>
      </c>
      <c r="N16" s="97"/>
      <c r="O16" s="97"/>
      <c r="P16" s="97"/>
      <c r="Q16" s="97"/>
      <c r="R16" s="105">
        <v>64912</v>
      </c>
      <c r="S16" s="101" t="s">
        <v>964</v>
      </c>
      <c r="T16" s="101">
        <v>7064</v>
      </c>
      <c r="U16" s="101">
        <v>19</v>
      </c>
      <c r="V16" s="101">
        <v>1605</v>
      </c>
      <c r="W16" s="101">
        <v>102</v>
      </c>
      <c r="X16" s="101">
        <v>5</v>
      </c>
      <c r="Y16" s="99"/>
      <c r="Z16" s="101" t="s">
        <v>965</v>
      </c>
      <c r="AA16" s="101" t="s">
        <v>1000</v>
      </c>
      <c r="AB16" s="106"/>
      <c r="AC16" s="106">
        <f t="shared" si="0"/>
      </c>
      <c r="AD16" s="99"/>
      <c r="AE16" s="99"/>
      <c r="AF16" s="99"/>
    </row>
    <row customHeight="true" ht="33" r="17">
      <c r="A17" s="100" t="s">
        <v>1007</v>
      </c>
      <c r="B17" s="101" t="s">
        <v>958</v>
      </c>
      <c r="C17" s="101" t="s">
        <v>1008</v>
      </c>
      <c r="D17" s="101" t="s">
        <v>1009</v>
      </c>
      <c r="E17" s="102" t="s">
        <v>1010</v>
      </c>
      <c r="F17" s="103">
        <v>46084.680555555555</v>
      </c>
      <c r="G17" s="101" t="s">
        <v>962</v>
      </c>
      <c r="H17" s="101">
        <v>500</v>
      </c>
      <c r="I17" s="101">
        <v>500</v>
      </c>
      <c r="J17" s="101">
        <v>500</v>
      </c>
      <c r="K17" s="101" t="s">
        <v>963</v>
      </c>
      <c r="L17" s="101">
        <v>26650</v>
      </c>
      <c r="M17" s="104">
        <v>18.76</v>
      </c>
      <c r="N17" s="97"/>
      <c r="O17" s="97"/>
      <c r="P17" s="97"/>
      <c r="Q17" s="97"/>
      <c r="R17" s="105">
        <v>26650</v>
      </c>
      <c r="S17" s="101" t="s">
        <v>964</v>
      </c>
      <c r="T17" s="101">
        <v>2056</v>
      </c>
      <c r="U17" s="101">
        <v>16</v>
      </c>
      <c r="V17" s="101">
        <v>40</v>
      </c>
      <c r="W17" s="101">
        <v>49</v>
      </c>
      <c r="X17" s="101">
        <v>3</v>
      </c>
      <c r="Y17" s="99"/>
      <c r="Z17" s="101" t="s">
        <v>965</v>
      </c>
      <c r="AA17" s="101" t="s">
        <v>1000</v>
      </c>
      <c r="AB17" s="106"/>
      <c r="AC17" s="106">
        <f t="shared" si="0"/>
      </c>
      <c r="AD17" s="99"/>
      <c r="AE17" s="99"/>
      <c r="AF17" s="99"/>
    </row>
    <row customHeight="true" ht="33" r="18">
      <c r="A18" s="100" t="s">
        <v>1011</v>
      </c>
      <c r="B18" s="101" t="s">
        <v>958</v>
      </c>
      <c r="C18" s="101" t="s">
        <v>1012</v>
      </c>
      <c r="D18" s="101" t="s">
        <v>1013</v>
      </c>
      <c r="E18" s="102" t="s">
        <v>1014</v>
      </c>
      <c r="F18" s="103">
        <v>46084.67986111111</v>
      </c>
      <c r="G18" s="101" t="s">
        <v>962</v>
      </c>
      <c r="H18" s="101">
        <v>500</v>
      </c>
      <c r="I18" s="101">
        <v>500</v>
      </c>
      <c r="J18" s="101">
        <v>500</v>
      </c>
      <c r="K18" s="101" t="s">
        <v>963</v>
      </c>
      <c r="L18" s="101">
        <v>32853</v>
      </c>
      <c r="M18" s="104">
        <v>15.22</v>
      </c>
      <c r="N18" s="97"/>
      <c r="O18" s="97"/>
      <c r="P18" s="97"/>
      <c r="Q18" s="97"/>
      <c r="R18" s="105">
        <v>32853</v>
      </c>
      <c r="S18" s="101" t="s">
        <v>964</v>
      </c>
      <c r="T18" s="101">
        <v>146</v>
      </c>
      <c r="U18" s="101">
        <v>29</v>
      </c>
      <c r="V18" s="101">
        <v>4</v>
      </c>
      <c r="W18" s="101">
        <v>215</v>
      </c>
      <c r="X18" s="101">
        <v>7</v>
      </c>
      <c r="Y18" s="99"/>
      <c r="Z18" s="101" t="s">
        <v>965</v>
      </c>
      <c r="AA18" s="101" t="s">
        <v>1000</v>
      </c>
      <c r="AB18" s="106"/>
      <c r="AC18" s="106">
        <f t="shared" si="0"/>
      </c>
      <c r="AD18" s="99"/>
      <c r="AE18" s="99"/>
      <c r="AF18" s="99"/>
    </row>
    <row customHeight="true" ht="33" r="19">
      <c r="A19" s="100" t="s">
        <v>1015</v>
      </c>
      <c r="B19" s="101" t="s">
        <v>958</v>
      </c>
      <c r="C19" s="101" t="s">
        <v>988</v>
      </c>
      <c r="D19" s="101" t="s">
        <v>989</v>
      </c>
      <c r="E19" s="102" t="s">
        <v>990</v>
      </c>
      <c r="F19" s="103">
        <v>46085.63402777778</v>
      </c>
      <c r="G19" s="101" t="s">
        <v>962</v>
      </c>
      <c r="H19" s="101">
        <v>500</v>
      </c>
      <c r="I19" s="101">
        <v>500</v>
      </c>
      <c r="J19" s="101">
        <v>500</v>
      </c>
      <c r="K19" s="101" t="s">
        <v>963</v>
      </c>
      <c r="L19" s="101">
        <v>29531</v>
      </c>
      <c r="M19" s="104">
        <v>16.93</v>
      </c>
      <c r="N19" s="97"/>
      <c r="O19" s="97"/>
      <c r="P19" s="97"/>
      <c r="Q19" s="97"/>
      <c r="R19" s="105">
        <v>29531</v>
      </c>
      <c r="S19" s="101" t="s">
        <v>964</v>
      </c>
      <c r="T19" s="101">
        <v>228</v>
      </c>
      <c r="U19" s="101">
        <v>51</v>
      </c>
      <c r="V19" s="101">
        <v>11</v>
      </c>
      <c r="W19" s="101">
        <v>350</v>
      </c>
      <c r="X19" s="101">
        <v>1</v>
      </c>
      <c r="Y19" s="99"/>
      <c r="Z19" s="101" t="s">
        <v>965</v>
      </c>
      <c r="AA19" s="101" t="s">
        <v>1000</v>
      </c>
      <c r="AB19" s="106"/>
      <c r="AC19" s="106">
        <f t="shared" si="0"/>
      </c>
      <c r="AD19" s="99"/>
      <c r="AE19" s="99"/>
      <c r="AF19" s="99"/>
    </row>
    <row customHeight="true" ht="33" r="20">
      <c r="A20" s="100" t="s">
        <v>1016</v>
      </c>
      <c r="B20" s="101" t="s">
        <v>958</v>
      </c>
      <c r="C20" s="101" t="s">
        <v>959</v>
      </c>
      <c r="D20" s="101" t="s">
        <v>960</v>
      </c>
      <c r="E20" s="102" t="s">
        <v>961</v>
      </c>
      <c r="F20" s="103">
        <v>46085.63333333333</v>
      </c>
      <c r="G20" s="101" t="s">
        <v>962</v>
      </c>
      <c r="H20" s="101">
        <v>500</v>
      </c>
      <c r="I20" s="101">
        <v>500</v>
      </c>
      <c r="J20" s="101">
        <v>500</v>
      </c>
      <c r="K20" s="101" t="s">
        <v>963</v>
      </c>
      <c r="L20" s="101">
        <v>32233</v>
      </c>
      <c r="M20" s="104">
        <v>15.51</v>
      </c>
      <c r="N20" s="97"/>
      <c r="O20" s="97"/>
      <c r="P20" s="97"/>
      <c r="Q20" s="97"/>
      <c r="R20" s="105">
        <v>32233</v>
      </c>
      <c r="S20" s="101" t="s">
        <v>964</v>
      </c>
      <c r="T20" s="101">
        <v>8599</v>
      </c>
      <c r="U20" s="101">
        <v>7</v>
      </c>
      <c r="V20" s="101">
        <v>880</v>
      </c>
      <c r="W20" s="101">
        <v>69</v>
      </c>
      <c r="X20" s="101">
        <v>3</v>
      </c>
      <c r="Y20" s="99"/>
      <c r="Z20" s="101" t="s">
        <v>965</v>
      </c>
      <c r="AA20" s="101" t="s">
        <v>1000</v>
      </c>
      <c r="AB20" s="106"/>
      <c r="AC20" s="106">
        <f t="shared" si="0"/>
      </c>
      <c r="AD20" s="99"/>
      <c r="AE20" s="99"/>
      <c r="AF20" s="99"/>
    </row>
    <row customHeight="true" ht="33" r="21">
      <c r="A21" s="100" t="s">
        <v>1017</v>
      </c>
      <c r="B21" s="101" t="s">
        <v>958</v>
      </c>
      <c r="C21" s="101" t="s">
        <v>980</v>
      </c>
      <c r="D21" s="101" t="s">
        <v>1002</v>
      </c>
      <c r="E21" s="102" t="s">
        <v>982</v>
      </c>
      <c r="F21" s="103">
        <v>46085.62986111111</v>
      </c>
      <c r="G21" s="101" t="s">
        <v>962</v>
      </c>
      <c r="H21" s="101">
        <v>500</v>
      </c>
      <c r="I21" s="101">
        <v>500</v>
      </c>
      <c r="J21" s="101">
        <v>500</v>
      </c>
      <c r="K21" s="101" t="s">
        <v>963</v>
      </c>
      <c r="L21" s="101">
        <v>27201</v>
      </c>
      <c r="M21" s="104">
        <v>18.38</v>
      </c>
      <c r="N21" s="97"/>
      <c r="O21" s="97"/>
      <c r="P21" s="97"/>
      <c r="Q21" s="97"/>
      <c r="R21" s="105">
        <v>27201</v>
      </c>
      <c r="S21" s="101" t="s">
        <v>964</v>
      </c>
      <c r="T21" s="101">
        <v>6883</v>
      </c>
      <c r="U21" s="101">
        <v>12</v>
      </c>
      <c r="V21" s="101">
        <v>190</v>
      </c>
      <c r="W21" s="101">
        <v>110</v>
      </c>
      <c r="X21" s="101">
        <v>5</v>
      </c>
      <c r="Y21" s="99"/>
      <c r="Z21" s="101" t="s">
        <v>965</v>
      </c>
      <c r="AA21" s="101" t="s">
        <v>1000</v>
      </c>
      <c r="AB21" s="106"/>
      <c r="AC21" s="106">
        <f t="shared" si="0"/>
      </c>
      <c r="AD21" s="99"/>
      <c r="AE21" s="99"/>
      <c r="AF21" s="99"/>
    </row>
    <row customHeight="true" ht="33" r="22">
      <c r="A22" s="100" t="s">
        <v>1018</v>
      </c>
      <c r="B22" s="101" t="s">
        <v>958</v>
      </c>
      <c r="C22" s="101" t="s">
        <v>992</v>
      </c>
      <c r="D22" s="101" t="s">
        <v>993</v>
      </c>
      <c r="E22" s="102" t="s">
        <v>994</v>
      </c>
      <c r="F22" s="103">
        <v>46085.62847222222</v>
      </c>
      <c r="G22" s="101" t="s">
        <v>962</v>
      </c>
      <c r="H22" s="101">
        <v>500</v>
      </c>
      <c r="I22" s="101">
        <v>500</v>
      </c>
      <c r="J22" s="101">
        <v>500</v>
      </c>
      <c r="K22" s="101" t="s">
        <v>963</v>
      </c>
      <c r="L22" s="101">
        <v>28480</v>
      </c>
      <c r="M22" s="104">
        <v>17.56</v>
      </c>
      <c r="N22" s="97"/>
      <c r="O22" s="97"/>
      <c r="P22" s="97"/>
      <c r="Q22" s="97"/>
      <c r="R22" s="105">
        <v>28480</v>
      </c>
      <c r="S22" s="101" t="s">
        <v>964</v>
      </c>
      <c r="T22" s="101">
        <v>1397</v>
      </c>
      <c r="U22" s="101">
        <v>10</v>
      </c>
      <c r="V22" s="101">
        <v>3</v>
      </c>
      <c r="W22" s="101">
        <v>87</v>
      </c>
      <c r="X22" s="101">
        <v>4</v>
      </c>
      <c r="Y22" s="99"/>
      <c r="Z22" s="101" t="s">
        <v>965</v>
      </c>
      <c r="AA22" s="101" t="s">
        <v>1000</v>
      </c>
      <c r="AB22" s="106"/>
      <c r="AC22" s="106">
        <f t="shared" si="0"/>
      </c>
      <c r="AD22" s="99"/>
      <c r="AE22" s="99"/>
      <c r="AF22" s="99"/>
    </row>
    <row customHeight="true" ht="33" r="23">
      <c r="A23" s="100" t="s">
        <v>1019</v>
      </c>
      <c r="B23" s="101" t="s">
        <v>958</v>
      </c>
      <c r="C23" s="101" t="s">
        <v>1008</v>
      </c>
      <c r="D23" s="101" t="s">
        <v>1009</v>
      </c>
      <c r="E23" s="102" t="s">
        <v>1010</v>
      </c>
      <c r="F23" s="103">
        <v>46085.62847222222</v>
      </c>
      <c r="G23" s="101" t="s">
        <v>962</v>
      </c>
      <c r="H23" s="101">
        <v>500</v>
      </c>
      <c r="I23" s="101">
        <v>500</v>
      </c>
      <c r="J23" s="101">
        <v>500</v>
      </c>
      <c r="K23" s="101" t="s">
        <v>963</v>
      </c>
      <c r="L23" s="101">
        <v>27451</v>
      </c>
      <c r="M23" s="104">
        <v>18.21</v>
      </c>
      <c r="N23" s="97"/>
      <c r="O23" s="97"/>
      <c r="P23" s="97"/>
      <c r="Q23" s="97"/>
      <c r="R23" s="105">
        <v>27451</v>
      </c>
      <c r="S23" s="101" t="s">
        <v>964</v>
      </c>
      <c r="T23" s="101">
        <v>1794</v>
      </c>
      <c r="U23" s="101">
        <v>12</v>
      </c>
      <c r="V23" s="101">
        <v>269</v>
      </c>
      <c r="W23" s="101">
        <v>96</v>
      </c>
      <c r="X23" s="101">
        <v>11</v>
      </c>
      <c r="Y23" s="99"/>
      <c r="Z23" s="101" t="s">
        <v>965</v>
      </c>
      <c r="AA23" s="101" t="s">
        <v>1000</v>
      </c>
      <c r="AB23" s="106"/>
      <c r="AC23" s="106">
        <f t="shared" si="0"/>
      </c>
      <c r="AD23" s="99"/>
      <c r="AE23" s="99"/>
      <c r="AF23" s="99"/>
    </row>
    <row customHeight="true" ht="33" r="24">
      <c r="A24" s="100" t="s">
        <v>1020</v>
      </c>
      <c r="B24" s="101" t="s">
        <v>958</v>
      </c>
      <c r="C24" s="101" t="s">
        <v>1021</v>
      </c>
      <c r="D24" s="101" t="s">
        <v>1022</v>
      </c>
      <c r="E24" s="102" t="s">
        <v>1023</v>
      </c>
      <c r="F24" s="103">
        <v>46085.506944444445</v>
      </c>
      <c r="G24" s="101" t="s">
        <v>962</v>
      </c>
      <c r="H24" s="101">
        <v>500</v>
      </c>
      <c r="I24" s="101">
        <v>500</v>
      </c>
      <c r="J24" s="101">
        <v>500</v>
      </c>
      <c r="K24" s="101" t="s">
        <v>963</v>
      </c>
      <c r="L24" s="101">
        <v>32241</v>
      </c>
      <c r="M24" s="104">
        <v>15.51</v>
      </c>
      <c r="N24" s="97"/>
      <c r="O24" s="97"/>
      <c r="P24" s="97"/>
      <c r="Q24" s="97"/>
      <c r="R24" s="105">
        <v>32241</v>
      </c>
      <c r="S24" s="101" t="s">
        <v>964</v>
      </c>
      <c r="T24" s="101">
        <v>1299</v>
      </c>
      <c r="U24" s="101">
        <v>11</v>
      </c>
      <c r="V24" s="101">
        <v>1</v>
      </c>
      <c r="W24" s="101">
        <v>344</v>
      </c>
      <c r="X24" s="101">
        <v>2</v>
      </c>
      <c r="Y24" s="99"/>
      <c r="Z24" s="101" t="s">
        <v>965</v>
      </c>
      <c r="AA24" s="101" t="s">
        <v>1000</v>
      </c>
      <c r="AB24" s="106"/>
      <c r="AC24" s="106">
        <f t="shared" si="0"/>
      </c>
      <c r="AD24" s="99"/>
      <c r="AE24" s="99"/>
      <c r="AF24" s="99"/>
    </row>
    <row customHeight="true" ht="33" r="25">
      <c r="A25" s="100" t="s">
        <v>1024</v>
      </c>
      <c r="B25" s="101" t="s">
        <v>958</v>
      </c>
      <c r="C25" s="101" t="s">
        <v>1025</v>
      </c>
      <c r="D25" s="101" t="s">
        <v>1026</v>
      </c>
      <c r="E25" s="102" t="s">
        <v>1027</v>
      </c>
      <c r="F25" s="103">
        <v>46085.50625</v>
      </c>
      <c r="G25" s="101" t="s">
        <v>962</v>
      </c>
      <c r="H25" s="101">
        <v>500</v>
      </c>
      <c r="I25" s="101">
        <v>500</v>
      </c>
      <c r="J25" s="101">
        <v>500</v>
      </c>
      <c r="K25" s="101" t="s">
        <v>963</v>
      </c>
      <c r="L25" s="101">
        <v>28758</v>
      </c>
      <c r="M25" s="104">
        <v>17.39</v>
      </c>
      <c r="N25" s="97"/>
      <c r="O25" s="97"/>
      <c r="P25" s="97"/>
      <c r="Q25" s="97"/>
      <c r="R25" s="105">
        <v>28758</v>
      </c>
      <c r="S25" s="101" t="s">
        <v>964</v>
      </c>
      <c r="T25" s="101">
        <v>1900</v>
      </c>
      <c r="U25" s="101">
        <v>100</v>
      </c>
      <c r="V25" s="101">
        <v>10</v>
      </c>
      <c r="W25" s="101">
        <v>183</v>
      </c>
      <c r="X25" s="101">
        <v>28</v>
      </c>
      <c r="Y25" s="99"/>
      <c r="Z25" s="101" t="s">
        <v>965</v>
      </c>
      <c r="AA25" s="101" t="s">
        <v>1000</v>
      </c>
      <c r="AB25" s="106"/>
      <c r="AC25" s="106">
        <f t="shared" si="0"/>
      </c>
      <c r="AD25" s="99"/>
      <c r="AE25" s="99"/>
      <c r="AF25" s="99"/>
    </row>
    <row customHeight="true" ht="33" r="26">
      <c r="A26" s="100" t="s">
        <v>1028</v>
      </c>
      <c r="B26" s="101" t="s">
        <v>958</v>
      </c>
      <c r="C26" s="101" t="s">
        <v>959</v>
      </c>
      <c r="D26" s="101" t="s">
        <v>960</v>
      </c>
      <c r="E26" s="102" t="s">
        <v>961</v>
      </c>
      <c r="F26" s="103">
        <v>46086.73333333333</v>
      </c>
      <c r="G26" s="101" t="s">
        <v>962</v>
      </c>
      <c r="H26" s="101">
        <v>500</v>
      </c>
      <c r="I26" s="101">
        <v>500</v>
      </c>
      <c r="J26" s="101">
        <v>500</v>
      </c>
      <c r="K26" s="101" t="s">
        <v>963</v>
      </c>
      <c r="L26" s="101">
        <v>34069</v>
      </c>
      <c r="M26" s="104">
        <v>14.68</v>
      </c>
      <c r="N26" s="97"/>
      <c r="O26" s="97">
        <f>L226</f>
      </c>
      <c r="P26" s="97"/>
      <c r="Q26" s="97"/>
      <c r="R26" s="105">
        <v>34069</v>
      </c>
      <c r="S26" s="101" t="s">
        <v>964</v>
      </c>
      <c r="T26" s="101">
        <v>7952</v>
      </c>
      <c r="U26" s="101">
        <v>20</v>
      </c>
      <c r="V26" s="101">
        <v>2135</v>
      </c>
      <c r="W26" s="101">
        <v>90</v>
      </c>
      <c r="X26" s="101">
        <v>1</v>
      </c>
      <c r="Y26" s="99"/>
      <c r="Z26" s="101" t="s">
        <v>965</v>
      </c>
      <c r="AA26" s="101" t="s">
        <v>1000</v>
      </c>
      <c r="AB26" s="106"/>
      <c r="AC26" s="106">
        <f t="shared" si="0"/>
      </c>
      <c r="AD26" s="99"/>
      <c r="AE26" s="99"/>
      <c r="AF26" s="99"/>
    </row>
    <row customHeight="true" ht="33" r="27">
      <c r="A27" s="100" t="s">
        <v>1029</v>
      </c>
      <c r="B27" s="101" t="s">
        <v>958</v>
      </c>
      <c r="C27" s="101" t="s">
        <v>1030</v>
      </c>
      <c r="D27" s="101" t="s">
        <v>1031</v>
      </c>
      <c r="E27" s="102" t="s">
        <v>1032</v>
      </c>
      <c r="F27" s="103">
        <v>46086.728472222225</v>
      </c>
      <c r="G27" s="101" t="s">
        <v>962</v>
      </c>
      <c r="H27" s="101">
        <v>500</v>
      </c>
      <c r="I27" s="101">
        <v>500</v>
      </c>
      <c r="J27" s="101">
        <v>500</v>
      </c>
      <c r="K27" s="101" t="s">
        <v>963</v>
      </c>
      <c r="L27" s="101">
        <v>31063</v>
      </c>
      <c r="M27" s="104">
        <v>16.1</v>
      </c>
      <c r="N27" s="97"/>
      <c r="O27" s="97"/>
      <c r="P27" s="97"/>
      <c r="Q27" s="97"/>
      <c r="R27" s="105">
        <v>31063</v>
      </c>
      <c r="S27" s="101" t="s">
        <v>964</v>
      </c>
      <c r="T27" s="101">
        <v>1689</v>
      </c>
      <c r="U27" s="101">
        <v>22</v>
      </c>
      <c r="V27" s="101">
        <v>3</v>
      </c>
      <c r="W27" s="101">
        <v>136</v>
      </c>
      <c r="X27" s="101">
        <v>4</v>
      </c>
      <c r="Y27" s="99"/>
      <c r="Z27" s="101" t="s">
        <v>965</v>
      </c>
      <c r="AA27" s="101" t="s">
        <v>1000</v>
      </c>
      <c r="AB27" s="106"/>
      <c r="AC27" s="106">
        <f t="shared" si="0"/>
      </c>
      <c r="AD27" s="99"/>
      <c r="AE27" s="99"/>
      <c r="AF27" s="99"/>
    </row>
    <row customHeight="true" ht="33" r="28">
      <c r="A28" s="100" t="s">
        <v>1033</v>
      </c>
      <c r="B28" s="101" t="s">
        <v>958</v>
      </c>
      <c r="C28" s="101" t="s">
        <v>1034</v>
      </c>
      <c r="D28" s="101" t="s">
        <v>1035</v>
      </c>
      <c r="E28" s="102" t="s">
        <v>1036</v>
      </c>
      <c r="F28" s="103">
        <v>46086.72638888889</v>
      </c>
      <c r="G28" s="101" t="s">
        <v>962</v>
      </c>
      <c r="H28" s="101">
        <v>500</v>
      </c>
      <c r="I28" s="101">
        <v>500</v>
      </c>
      <c r="J28" s="101">
        <v>500</v>
      </c>
      <c r="K28" s="101" t="s">
        <v>963</v>
      </c>
      <c r="L28" s="101">
        <v>31088</v>
      </c>
      <c r="M28" s="104">
        <v>16.08</v>
      </c>
      <c r="N28" s="97"/>
      <c r="O28" s="97"/>
      <c r="P28" s="97"/>
      <c r="Q28" s="97"/>
      <c r="R28" s="105">
        <v>31088</v>
      </c>
      <c r="S28" s="101" t="s">
        <v>964</v>
      </c>
      <c r="T28" s="101">
        <v>1393</v>
      </c>
      <c r="U28" s="101">
        <v>32</v>
      </c>
      <c r="V28" s="101">
        <v>4</v>
      </c>
      <c r="W28" s="101">
        <v>29</v>
      </c>
      <c r="X28" s="101">
        <v>5</v>
      </c>
      <c r="Y28" s="99"/>
      <c r="Z28" s="101" t="s">
        <v>965</v>
      </c>
      <c r="AA28" s="101" t="s">
        <v>1000</v>
      </c>
      <c r="AB28" s="106"/>
      <c r="AC28" s="106">
        <f t="shared" si="0"/>
      </c>
      <c r="AD28" s="99"/>
      <c r="AE28" s="99"/>
      <c r="AF28" s="99"/>
    </row>
    <row customHeight="true" ht="33" r="29">
      <c r="A29" s="100" t="s">
        <v>1037</v>
      </c>
      <c r="B29" s="101" t="s">
        <v>958</v>
      </c>
      <c r="C29" s="101" t="s">
        <v>1038</v>
      </c>
      <c r="D29" s="101" t="s">
        <v>1039</v>
      </c>
      <c r="E29" s="102" t="s">
        <v>1040</v>
      </c>
      <c r="F29" s="103">
        <v>46086.72638888889</v>
      </c>
      <c r="G29" s="101" t="s">
        <v>962</v>
      </c>
      <c r="H29" s="101">
        <v>500</v>
      </c>
      <c r="I29" s="101">
        <v>500</v>
      </c>
      <c r="J29" s="101">
        <v>500</v>
      </c>
      <c r="K29" s="101" t="s">
        <v>963</v>
      </c>
      <c r="L29" s="101">
        <v>28114</v>
      </c>
      <c r="M29" s="104">
        <v>17.78</v>
      </c>
      <c r="N29" s="97"/>
      <c r="O29" s="97"/>
      <c r="P29" s="97"/>
      <c r="Q29" s="97"/>
      <c r="R29" s="105">
        <v>28114</v>
      </c>
      <c r="S29" s="101" t="s">
        <v>964</v>
      </c>
      <c r="T29" s="101">
        <v>1173</v>
      </c>
      <c r="U29" s="101">
        <v>62</v>
      </c>
      <c r="V29" s="101">
        <v>9</v>
      </c>
      <c r="W29" s="101">
        <v>50</v>
      </c>
      <c r="X29" s="101">
        <v>9</v>
      </c>
      <c r="Y29" s="99"/>
      <c r="Z29" s="101" t="s">
        <v>965</v>
      </c>
      <c r="AA29" s="101" t="s">
        <v>1000</v>
      </c>
      <c r="AB29" s="106"/>
      <c r="AC29" s="106">
        <f t="shared" si="0"/>
      </c>
      <c r="AD29" s="99"/>
      <c r="AE29" s="99"/>
      <c r="AF29" s="99"/>
    </row>
    <row customHeight="true" ht="33" r="30">
      <c r="A30" s="100" t="s">
        <v>1041</v>
      </c>
      <c r="B30" s="101" t="s">
        <v>958</v>
      </c>
      <c r="C30" s="101" t="s">
        <v>1030</v>
      </c>
      <c r="D30" s="101" t="s">
        <v>1031</v>
      </c>
      <c r="E30" s="102" t="s">
        <v>1032</v>
      </c>
      <c r="F30" s="103">
        <v>46086.725</v>
      </c>
      <c r="G30" s="101" t="s">
        <v>962</v>
      </c>
      <c r="H30" s="101">
        <v>500</v>
      </c>
      <c r="I30" s="101">
        <v>500</v>
      </c>
      <c r="J30" s="101">
        <v>500</v>
      </c>
      <c r="K30" s="101" t="s">
        <v>963</v>
      </c>
      <c r="L30" s="101">
        <v>32169</v>
      </c>
      <c r="M30" s="104">
        <v>15.54</v>
      </c>
      <c r="N30" s="97"/>
      <c r="O30" s="97"/>
      <c r="P30" s="97"/>
      <c r="Q30" s="97"/>
      <c r="R30" s="105">
        <v>32169</v>
      </c>
      <c r="S30" s="101" t="s">
        <v>964</v>
      </c>
      <c r="T30" s="101">
        <v>1498</v>
      </c>
      <c r="U30" s="101">
        <v>27</v>
      </c>
      <c r="V30" s="101">
        <v>19</v>
      </c>
      <c r="W30" s="101">
        <v>115</v>
      </c>
      <c r="X30" s="101">
        <v>5</v>
      </c>
      <c r="Y30" s="99"/>
      <c r="Z30" s="101" t="s">
        <v>965</v>
      </c>
      <c r="AA30" s="101" t="s">
        <v>1000</v>
      </c>
      <c r="AB30" s="106"/>
      <c r="AC30" s="106">
        <f t="shared" si="0"/>
      </c>
      <c r="AD30" s="99"/>
      <c r="AE30" s="99"/>
      <c r="AF30" s="99"/>
    </row>
    <row customHeight="true" ht="33" r="31">
      <c r="A31" s="100" t="s">
        <v>1042</v>
      </c>
      <c r="B31" s="101" t="s">
        <v>958</v>
      </c>
      <c r="C31" s="101" t="s">
        <v>980</v>
      </c>
      <c r="D31" s="101" t="s">
        <v>1002</v>
      </c>
      <c r="E31" s="102" t="s">
        <v>982</v>
      </c>
      <c r="F31" s="103">
        <v>46086.72430555556</v>
      </c>
      <c r="G31" s="101" t="s">
        <v>962</v>
      </c>
      <c r="H31" s="101">
        <v>500</v>
      </c>
      <c r="I31" s="101">
        <v>500</v>
      </c>
      <c r="J31" s="101">
        <v>500</v>
      </c>
      <c r="K31" s="101" t="s">
        <v>963</v>
      </c>
      <c r="L31" s="101">
        <v>27036</v>
      </c>
      <c r="M31" s="104">
        <v>18.49</v>
      </c>
      <c r="N31" s="97"/>
      <c r="O31" s="97"/>
      <c r="P31" s="97"/>
      <c r="Q31" s="97"/>
      <c r="R31" s="105">
        <v>27036</v>
      </c>
      <c r="S31" s="101" t="s">
        <v>964</v>
      </c>
      <c r="T31" s="101">
        <v>6097</v>
      </c>
      <c r="U31" s="101">
        <v>22</v>
      </c>
      <c r="V31" s="101">
        <v>137</v>
      </c>
      <c r="W31" s="101">
        <v>83</v>
      </c>
      <c r="X31" s="101">
        <v>0</v>
      </c>
      <c r="Y31" s="99"/>
      <c r="Z31" s="101" t="s">
        <v>965</v>
      </c>
      <c r="AA31" s="101" t="s">
        <v>1000</v>
      </c>
      <c r="AB31" s="106"/>
      <c r="AC31" s="106">
        <f t="shared" si="0"/>
      </c>
      <c r="AD31" s="99"/>
      <c r="AE31" s="99"/>
      <c r="AF31" s="99"/>
    </row>
    <row customHeight="true" ht="33" r="32">
      <c r="A32" s="100" t="s">
        <v>1043</v>
      </c>
      <c r="B32" s="101" t="s">
        <v>958</v>
      </c>
      <c r="C32" s="101" t="s">
        <v>1044</v>
      </c>
      <c r="D32" s="101" t="s">
        <v>1045</v>
      </c>
      <c r="E32" s="102" t="s">
        <v>1046</v>
      </c>
      <c r="F32" s="103">
        <v>46090.60208333333</v>
      </c>
      <c r="G32" s="101" t="s">
        <v>962</v>
      </c>
      <c r="H32" s="101">
        <v>500</v>
      </c>
      <c r="I32" s="101">
        <v>500</v>
      </c>
      <c r="J32" s="101">
        <v>500</v>
      </c>
      <c r="K32" s="101" t="s">
        <v>963</v>
      </c>
      <c r="L32" s="101">
        <v>25964</v>
      </c>
      <c r="M32" s="104">
        <v>19.26</v>
      </c>
      <c r="N32" s="97"/>
      <c r="O32" s="97"/>
      <c r="P32" s="97"/>
      <c r="Q32" s="97"/>
      <c r="R32" s="105">
        <v>25964</v>
      </c>
      <c r="S32" s="101" t="s">
        <v>964</v>
      </c>
      <c r="T32" s="101">
        <v>1574</v>
      </c>
      <c r="U32" s="101">
        <v>11</v>
      </c>
      <c r="V32" s="101">
        <v>1</v>
      </c>
      <c r="W32" s="101">
        <v>27</v>
      </c>
      <c r="X32" s="101">
        <v>3</v>
      </c>
      <c r="Y32" s="99"/>
      <c r="Z32" s="101" t="s">
        <v>965</v>
      </c>
      <c r="AA32" s="101" t="s">
        <v>1000</v>
      </c>
      <c r="AB32" s="106"/>
      <c r="AC32" s="106">
        <f t="shared" si="0"/>
      </c>
      <c r="AD32" s="99"/>
      <c r="AE32" s="99"/>
      <c r="AF32" s="99"/>
    </row>
    <row customHeight="true" ht="33" r="33">
      <c r="A33" s="100" t="s">
        <v>1047</v>
      </c>
      <c r="B33" s="101" t="s">
        <v>958</v>
      </c>
      <c r="C33" s="101" t="s">
        <v>1048</v>
      </c>
      <c r="D33" s="101" t="s">
        <v>1049</v>
      </c>
      <c r="E33" s="102" t="s">
        <v>1050</v>
      </c>
      <c r="F33" s="103">
        <v>46090.60138888889</v>
      </c>
      <c r="G33" s="101" t="s">
        <v>962</v>
      </c>
      <c r="H33" s="101">
        <v>500</v>
      </c>
      <c r="I33" s="101">
        <v>500</v>
      </c>
      <c r="J33" s="101">
        <v>500</v>
      </c>
      <c r="K33" s="101" t="s">
        <v>963</v>
      </c>
      <c r="L33" s="101">
        <v>26800</v>
      </c>
      <c r="M33" s="104">
        <v>18.66</v>
      </c>
      <c r="N33" s="97"/>
      <c r="O33" s="97"/>
      <c r="P33" s="97"/>
      <c r="Q33" s="97"/>
      <c r="R33" s="105">
        <v>26800</v>
      </c>
      <c r="S33" s="101" t="s">
        <v>964</v>
      </c>
      <c r="T33" s="101">
        <v>1618</v>
      </c>
      <c r="U33" s="101">
        <v>26</v>
      </c>
      <c r="V33" s="101">
        <v>6</v>
      </c>
      <c r="W33" s="101">
        <v>32</v>
      </c>
      <c r="X33" s="101">
        <v>37</v>
      </c>
      <c r="Y33" s="99"/>
      <c r="Z33" s="101" t="s">
        <v>965</v>
      </c>
      <c r="AA33" s="101" t="s">
        <v>1000</v>
      </c>
      <c r="AB33" s="106"/>
      <c r="AC33" s="106">
        <f t="shared" si="0"/>
      </c>
      <c r="AD33" s="99"/>
      <c r="AE33" s="99"/>
      <c r="AF33" s="99"/>
    </row>
    <row customHeight="true" ht="33" r="34">
      <c r="A34" s="100" t="s">
        <v>1051</v>
      </c>
      <c r="B34" s="101" t="s">
        <v>958</v>
      </c>
      <c r="C34" s="101" t="s">
        <v>1052</v>
      </c>
      <c r="D34" s="101" t="s">
        <v>1053</v>
      </c>
      <c r="E34" s="102" t="s">
        <v>1054</v>
      </c>
      <c r="F34" s="103">
        <v>46090.59930555556</v>
      </c>
      <c r="G34" s="101" t="s">
        <v>962</v>
      </c>
      <c r="H34" s="101">
        <v>500</v>
      </c>
      <c r="I34" s="101">
        <v>500</v>
      </c>
      <c r="J34" s="101">
        <v>500</v>
      </c>
      <c r="K34" s="101" t="s">
        <v>963</v>
      </c>
      <c r="L34" s="101">
        <v>34757</v>
      </c>
      <c r="M34" s="104">
        <v>14.39</v>
      </c>
      <c r="N34" s="97"/>
      <c r="O34" s="97"/>
      <c r="P34" s="97"/>
      <c r="Q34" s="97"/>
      <c r="R34" s="105">
        <v>34757</v>
      </c>
      <c r="S34" s="101" t="s">
        <v>964</v>
      </c>
      <c r="T34" s="101">
        <v>4640</v>
      </c>
      <c r="U34" s="101">
        <v>35</v>
      </c>
      <c r="V34" s="101">
        <v>814</v>
      </c>
      <c r="W34" s="101">
        <v>460</v>
      </c>
      <c r="X34" s="101">
        <v>1</v>
      </c>
      <c r="Y34" s="99"/>
      <c r="Z34" s="101" t="s">
        <v>965</v>
      </c>
      <c r="AA34" s="101" t="s">
        <v>1000</v>
      </c>
      <c r="AB34" s="106"/>
      <c r="AC34" s="106">
        <f t="shared" si="0"/>
      </c>
      <c r="AD34" s="99"/>
      <c r="AE34" s="99"/>
      <c r="AF34" s="99"/>
    </row>
    <row customHeight="true" ht="33" r="35">
      <c r="A35" s="100" t="s">
        <v>1055</v>
      </c>
      <c r="B35" s="101" t="s">
        <v>958</v>
      </c>
      <c r="C35" s="101" t="s">
        <v>1056</v>
      </c>
      <c r="D35" s="101" t="s">
        <v>1057</v>
      </c>
      <c r="E35" s="102" t="s">
        <v>1058</v>
      </c>
      <c r="F35" s="103">
        <v>46090.59861111111</v>
      </c>
      <c r="G35" s="101" t="s">
        <v>962</v>
      </c>
      <c r="H35" s="101">
        <v>500</v>
      </c>
      <c r="I35" s="101">
        <v>500</v>
      </c>
      <c r="J35" s="101">
        <v>500</v>
      </c>
      <c r="K35" s="101" t="s">
        <v>963</v>
      </c>
      <c r="L35" s="101">
        <v>29713</v>
      </c>
      <c r="M35" s="104">
        <v>16.83</v>
      </c>
      <c r="N35" s="97"/>
      <c r="O35" s="97"/>
      <c r="P35" s="97"/>
      <c r="Q35" s="97"/>
      <c r="R35" s="105">
        <v>29713</v>
      </c>
      <c r="S35" s="101" t="s">
        <v>964</v>
      </c>
      <c r="T35" s="101">
        <v>2965</v>
      </c>
      <c r="U35" s="101">
        <v>5</v>
      </c>
      <c r="V35" s="101">
        <v>35</v>
      </c>
      <c r="W35" s="101">
        <v>87</v>
      </c>
      <c r="X35" s="101">
        <v>4</v>
      </c>
      <c r="Y35" s="99"/>
      <c r="Z35" s="101" t="s">
        <v>965</v>
      </c>
      <c r="AA35" s="101" t="s">
        <v>1000</v>
      </c>
      <c r="AB35" s="106"/>
      <c r="AC35" s="106">
        <f t="shared" si="0"/>
      </c>
      <c r="AD35" s="99"/>
      <c r="AE35" s="99"/>
      <c r="AF35" s="99"/>
    </row>
    <row customHeight="true" ht="33" r="36">
      <c r="A36" s="100" t="s">
        <v>1059</v>
      </c>
      <c r="B36" s="101" t="s">
        <v>958</v>
      </c>
      <c r="C36" s="101" t="s">
        <v>1030</v>
      </c>
      <c r="D36" s="101" t="s">
        <v>1031</v>
      </c>
      <c r="E36" s="102" t="s">
        <v>1032</v>
      </c>
      <c r="F36" s="103">
        <v>46090.597916666666</v>
      </c>
      <c r="G36" s="101" t="s">
        <v>962</v>
      </c>
      <c r="H36" s="101">
        <v>500</v>
      </c>
      <c r="I36" s="101">
        <v>500</v>
      </c>
      <c r="J36" s="101">
        <v>500</v>
      </c>
      <c r="K36" s="101" t="s">
        <v>963</v>
      </c>
      <c r="L36" s="101">
        <v>38997</v>
      </c>
      <c r="M36" s="104">
        <v>12.82</v>
      </c>
      <c r="N36" s="97"/>
      <c r="O36" s="97"/>
      <c r="P36" s="97"/>
      <c r="Q36" s="97"/>
      <c r="R36" s="105">
        <v>38997</v>
      </c>
      <c r="S36" s="101" t="s">
        <v>964</v>
      </c>
      <c r="T36" s="101">
        <v>216</v>
      </c>
      <c r="U36" s="101">
        <v>24</v>
      </c>
      <c r="V36" s="101">
        <v>3</v>
      </c>
      <c r="W36" s="101">
        <v>219</v>
      </c>
      <c r="X36" s="101">
        <v>3</v>
      </c>
      <c r="Y36" s="99"/>
      <c r="Z36" s="101" t="s">
        <v>965</v>
      </c>
      <c r="AA36" s="101" t="s">
        <v>1000</v>
      </c>
      <c r="AB36" s="106"/>
      <c r="AC36" s="106">
        <f t="shared" si="0"/>
      </c>
      <c r="AD36" s="99"/>
      <c r="AE36" s="99"/>
      <c r="AF36" s="99"/>
    </row>
    <row customHeight="true" ht="33" r="37">
      <c r="A37" s="100" t="s">
        <v>1060</v>
      </c>
      <c r="B37" s="101" t="s">
        <v>958</v>
      </c>
      <c r="C37" s="101" t="s">
        <v>980</v>
      </c>
      <c r="D37" s="101" t="s">
        <v>1002</v>
      </c>
      <c r="E37" s="102" t="s">
        <v>982</v>
      </c>
      <c r="F37" s="103">
        <v>46090.59722222222</v>
      </c>
      <c r="G37" s="101" t="s">
        <v>962</v>
      </c>
      <c r="H37" s="101">
        <v>500</v>
      </c>
      <c r="I37" s="101">
        <v>500</v>
      </c>
      <c r="J37" s="101">
        <v>500</v>
      </c>
      <c r="K37" s="101" t="s">
        <v>963</v>
      </c>
      <c r="L37" s="101">
        <v>27401</v>
      </c>
      <c r="M37" s="104">
        <v>18.25</v>
      </c>
      <c r="N37" s="97"/>
      <c r="O37" s="97"/>
      <c r="P37" s="97"/>
      <c r="Q37" s="97"/>
      <c r="R37" s="105">
        <v>27401</v>
      </c>
      <c r="S37" s="101" t="s">
        <v>964</v>
      </c>
      <c r="T37" s="101">
        <v>8001</v>
      </c>
      <c r="U37" s="101">
        <v>6</v>
      </c>
      <c r="V37" s="101">
        <v>54</v>
      </c>
      <c r="W37" s="101">
        <v>55</v>
      </c>
      <c r="X37" s="101">
        <v>1</v>
      </c>
      <c r="Y37" s="99"/>
      <c r="Z37" s="101" t="s">
        <v>965</v>
      </c>
      <c r="AA37" s="101" t="s">
        <v>1000</v>
      </c>
      <c r="AB37" s="106"/>
      <c r="AC37" s="106">
        <f t="shared" si="0"/>
      </c>
      <c r="AD37" s="99"/>
      <c r="AE37" s="99"/>
      <c r="AF37" s="99"/>
    </row>
    <row customHeight="true" ht="33" r="38">
      <c r="A38" s="100" t="s">
        <v>1061</v>
      </c>
      <c r="B38" s="101" t="s">
        <v>958</v>
      </c>
      <c r="C38" s="101" t="s">
        <v>959</v>
      </c>
      <c r="D38" s="101" t="s">
        <v>960</v>
      </c>
      <c r="E38" s="102" t="s">
        <v>961</v>
      </c>
      <c r="F38" s="103">
        <v>46090.62013888889</v>
      </c>
      <c r="G38" s="101" t="s">
        <v>962</v>
      </c>
      <c r="H38" s="101">
        <v>500</v>
      </c>
      <c r="I38" s="101">
        <v>500</v>
      </c>
      <c r="J38" s="101">
        <v>500</v>
      </c>
      <c r="K38" s="101" t="s">
        <v>963</v>
      </c>
      <c r="L38" s="101">
        <v>55976</v>
      </c>
      <c r="M38" s="104">
        <v>8.93</v>
      </c>
      <c r="N38" s="97"/>
      <c r="O38" s="97"/>
      <c r="P38" s="97"/>
      <c r="Q38" s="97"/>
      <c r="R38" s="105">
        <v>55976</v>
      </c>
      <c r="S38" s="101" t="s">
        <v>964</v>
      </c>
      <c r="T38" s="101">
        <v>5067</v>
      </c>
      <c r="U38" s="101">
        <v>43</v>
      </c>
      <c r="V38" s="101">
        <v>5724</v>
      </c>
      <c r="W38" s="101">
        <v>148</v>
      </c>
      <c r="X38" s="101">
        <v>7</v>
      </c>
      <c r="Y38" s="99"/>
      <c r="Z38" s="101" t="s">
        <v>965</v>
      </c>
      <c r="AA38" s="101" t="s">
        <v>1000</v>
      </c>
      <c r="AB38" s="106"/>
      <c r="AC38" s="106">
        <f t="shared" si="0"/>
      </c>
      <c r="AD38" s="99"/>
      <c r="AE38" s="99"/>
      <c r="AF38" s="99"/>
    </row>
    <row customHeight="true" ht="33" r="39">
      <c r="A39" s="100" t="s">
        <v>1062</v>
      </c>
      <c r="B39" s="101" t="s">
        <v>958</v>
      </c>
      <c r="C39" s="101" t="s">
        <v>1063</v>
      </c>
      <c r="D39" s="101" t="s">
        <v>1064</v>
      </c>
      <c r="E39" s="102" t="s">
        <v>1065</v>
      </c>
      <c r="F39" s="103">
        <v>46091.5625</v>
      </c>
      <c r="G39" s="101" t="s">
        <v>962</v>
      </c>
      <c r="H39" s="101">
        <v>500</v>
      </c>
      <c r="I39" s="101">
        <v>500</v>
      </c>
      <c r="J39" s="101">
        <v>500</v>
      </c>
      <c r="K39" s="101" t="s">
        <v>963</v>
      </c>
      <c r="L39" s="101">
        <v>26940</v>
      </c>
      <c r="M39" s="104">
        <v>18.56</v>
      </c>
      <c r="N39" s="97"/>
      <c r="O39" s="97"/>
      <c r="P39" s="97"/>
      <c r="Q39" s="97"/>
      <c r="R39" s="105">
        <v>26940</v>
      </c>
      <c r="S39" s="101" t="s">
        <v>964</v>
      </c>
      <c r="T39" s="101">
        <v>467</v>
      </c>
      <c r="U39" s="101">
        <v>2</v>
      </c>
      <c r="V39" s="101">
        <v>0</v>
      </c>
      <c r="W39" s="101">
        <v>89</v>
      </c>
      <c r="X39" s="101">
        <v>46</v>
      </c>
      <c r="Y39" s="99"/>
      <c r="Z39" s="101" t="s">
        <v>965</v>
      </c>
      <c r="AA39" s="101" t="s">
        <v>966</v>
      </c>
      <c r="AB39" s="106"/>
      <c r="AC39" s="106">
        <f t="shared" si="0"/>
      </c>
      <c r="AD39" s="99"/>
      <c r="AE39" s="99"/>
      <c r="AF39" s="99"/>
    </row>
    <row customHeight="true" ht="33" r="40">
      <c r="A40" s="100" t="s">
        <v>1066</v>
      </c>
      <c r="B40" s="101" t="s">
        <v>958</v>
      </c>
      <c r="C40" s="101" t="s">
        <v>1067</v>
      </c>
      <c r="D40" s="101" t="s">
        <v>1068</v>
      </c>
      <c r="E40" s="102" t="s">
        <v>1069</v>
      </c>
      <c r="F40" s="103">
        <v>46091.561111111114</v>
      </c>
      <c r="G40" s="101" t="s">
        <v>962</v>
      </c>
      <c r="H40" s="101">
        <v>500</v>
      </c>
      <c r="I40" s="101">
        <v>500</v>
      </c>
      <c r="J40" s="101">
        <v>500</v>
      </c>
      <c r="K40" s="101" t="s">
        <v>963</v>
      </c>
      <c r="L40" s="101">
        <v>26864</v>
      </c>
      <c r="M40" s="104">
        <v>18.61</v>
      </c>
      <c r="N40" s="97"/>
      <c r="O40" s="97"/>
      <c r="P40" s="97"/>
      <c r="Q40" s="97"/>
      <c r="R40" s="105">
        <v>26864</v>
      </c>
      <c r="S40" s="101" t="s">
        <v>964</v>
      </c>
      <c r="T40" s="101">
        <v>810</v>
      </c>
      <c r="U40" s="101">
        <v>24</v>
      </c>
      <c r="V40" s="101">
        <v>9</v>
      </c>
      <c r="W40" s="101">
        <v>89</v>
      </c>
      <c r="X40" s="101">
        <v>15</v>
      </c>
      <c r="Y40" s="99"/>
      <c r="Z40" s="101" t="s">
        <v>965</v>
      </c>
      <c r="AA40" s="101" t="s">
        <v>966</v>
      </c>
      <c r="AB40" s="106"/>
      <c r="AC40" s="106">
        <f t="shared" si="0"/>
      </c>
      <c r="AD40" s="99"/>
      <c r="AE40" s="99"/>
      <c r="AF40" s="99"/>
    </row>
    <row customHeight="true" ht="33" r="41">
      <c r="A41" s="100" t="s">
        <v>1070</v>
      </c>
      <c r="B41" s="101" t="s">
        <v>958</v>
      </c>
      <c r="C41" s="101" t="s">
        <v>1071</v>
      </c>
      <c r="D41" s="101" t="s">
        <v>1072</v>
      </c>
      <c r="E41" s="102" t="s">
        <v>1073</v>
      </c>
      <c r="F41" s="103">
        <v>46091.56041666667</v>
      </c>
      <c r="G41" s="101" t="s">
        <v>962</v>
      </c>
      <c r="H41" s="101">
        <v>500</v>
      </c>
      <c r="I41" s="101">
        <v>500</v>
      </c>
      <c r="J41" s="101">
        <v>500</v>
      </c>
      <c r="K41" s="101" t="s">
        <v>963</v>
      </c>
      <c r="L41" s="101">
        <v>31561</v>
      </c>
      <c r="M41" s="104">
        <v>15.84</v>
      </c>
      <c r="N41" s="97"/>
      <c r="O41" s="97"/>
      <c r="P41" s="97"/>
      <c r="Q41" s="97"/>
      <c r="R41" s="105">
        <v>31561</v>
      </c>
      <c r="S41" s="101" t="s">
        <v>964</v>
      </c>
      <c r="T41" s="101">
        <v>705</v>
      </c>
      <c r="U41" s="101">
        <v>10</v>
      </c>
      <c r="V41" s="101">
        <v>6</v>
      </c>
      <c r="W41" s="101">
        <v>93</v>
      </c>
      <c r="X41" s="101">
        <v>21</v>
      </c>
      <c r="Y41" s="99"/>
      <c r="Z41" s="101" t="s">
        <v>965</v>
      </c>
      <c r="AA41" s="101" t="s">
        <v>966</v>
      </c>
      <c r="AB41" s="106"/>
      <c r="AC41" s="106">
        <f t="shared" si="0"/>
      </c>
      <c r="AD41" s="99"/>
      <c r="AE41" s="99"/>
      <c r="AF41" s="99"/>
    </row>
    <row customHeight="true" ht="33" r="42">
      <c r="A42" s="100" t="s">
        <v>1074</v>
      </c>
      <c r="B42" s="101" t="s">
        <v>958</v>
      </c>
      <c r="C42" s="101" t="s">
        <v>1075</v>
      </c>
      <c r="D42" s="101" t="s">
        <v>1076</v>
      </c>
      <c r="E42" s="102" t="s">
        <v>1077</v>
      </c>
      <c r="F42" s="103">
        <v>46091.55972222222</v>
      </c>
      <c r="G42" s="101" t="s">
        <v>962</v>
      </c>
      <c r="H42" s="101">
        <v>500</v>
      </c>
      <c r="I42" s="101">
        <v>500</v>
      </c>
      <c r="J42" s="101">
        <v>500</v>
      </c>
      <c r="K42" s="101" t="s">
        <v>963</v>
      </c>
      <c r="L42" s="101">
        <v>27545</v>
      </c>
      <c r="M42" s="104">
        <v>18.15</v>
      </c>
      <c r="N42" s="97"/>
      <c r="O42" s="97"/>
      <c r="P42" s="97"/>
      <c r="Q42" s="97"/>
      <c r="R42" s="105">
        <v>27545</v>
      </c>
      <c r="S42" s="101" t="s">
        <v>964</v>
      </c>
      <c r="T42" s="101">
        <v>469</v>
      </c>
      <c r="U42" s="101">
        <v>32</v>
      </c>
      <c r="V42" s="101">
        <v>0</v>
      </c>
      <c r="W42" s="101">
        <v>174</v>
      </c>
      <c r="X42" s="101">
        <v>12</v>
      </c>
      <c r="Y42" s="99"/>
      <c r="Z42" s="101" t="s">
        <v>965</v>
      </c>
      <c r="AA42" s="101" t="s">
        <v>966</v>
      </c>
      <c r="AB42" s="106"/>
      <c r="AC42" s="106">
        <f t="shared" si="0"/>
      </c>
      <c r="AD42" s="99"/>
      <c r="AE42" s="99"/>
      <c r="AF42" s="99"/>
    </row>
    <row customHeight="true" ht="33" r="43">
      <c r="A43" s="100" t="s">
        <v>1078</v>
      </c>
      <c r="B43" s="101" t="s">
        <v>958</v>
      </c>
      <c r="C43" s="101" t="s">
        <v>1079</v>
      </c>
      <c r="D43" s="101" t="s">
        <v>1080</v>
      </c>
      <c r="E43" s="102" t="s">
        <v>1081</v>
      </c>
      <c r="F43" s="103">
        <v>46092.611805555556</v>
      </c>
      <c r="G43" s="101" t="s">
        <v>962</v>
      </c>
      <c r="H43" s="101">
        <v>500</v>
      </c>
      <c r="I43" s="101">
        <v>500</v>
      </c>
      <c r="J43" s="101">
        <v>500</v>
      </c>
      <c r="K43" s="101" t="s">
        <v>963</v>
      </c>
      <c r="L43" s="101">
        <v>31686</v>
      </c>
      <c r="M43" s="104">
        <v>15.78</v>
      </c>
      <c r="N43" s="97"/>
      <c r="O43" s="97"/>
      <c r="P43" s="97"/>
      <c r="Q43" s="97"/>
      <c r="R43" s="105">
        <v>31686</v>
      </c>
      <c r="S43" s="101" t="s">
        <v>964</v>
      </c>
      <c r="T43" s="101">
        <v>2437</v>
      </c>
      <c r="U43" s="101">
        <v>235</v>
      </c>
      <c r="V43" s="101">
        <v>42</v>
      </c>
      <c r="W43" s="101">
        <v>1046</v>
      </c>
      <c r="X43" s="101">
        <v>21</v>
      </c>
      <c r="Y43" s="99"/>
      <c r="Z43" s="101" t="s">
        <v>965</v>
      </c>
      <c r="AA43" s="101" t="s">
        <v>1000</v>
      </c>
      <c r="AB43" s="106"/>
      <c r="AC43" s="106">
        <f t="shared" si="0"/>
      </c>
      <c r="AD43" s="99"/>
      <c r="AE43" s="99"/>
      <c r="AF43" s="99"/>
    </row>
    <row customHeight="true" ht="33" r="44">
      <c r="A44" s="100" t="s">
        <v>1082</v>
      </c>
      <c r="B44" s="101" t="s">
        <v>958</v>
      </c>
      <c r="C44" s="101" t="s">
        <v>1083</v>
      </c>
      <c r="D44" s="101" t="s">
        <v>1084</v>
      </c>
      <c r="E44" s="102" t="s">
        <v>1085</v>
      </c>
      <c r="F44" s="103">
        <v>46092.611805555556</v>
      </c>
      <c r="G44" s="101" t="s">
        <v>962</v>
      </c>
      <c r="H44" s="101">
        <v>500</v>
      </c>
      <c r="I44" s="101">
        <v>500</v>
      </c>
      <c r="J44" s="101">
        <v>500</v>
      </c>
      <c r="K44" s="101" t="s">
        <v>963</v>
      </c>
      <c r="L44" s="101">
        <v>53822</v>
      </c>
      <c r="M44" s="104">
        <v>9.29</v>
      </c>
      <c r="N44" s="97"/>
      <c r="O44" s="97"/>
      <c r="P44" s="97"/>
      <c r="Q44" s="97"/>
      <c r="R44" s="105">
        <v>53822</v>
      </c>
      <c r="S44" s="101" t="s">
        <v>964</v>
      </c>
      <c r="T44" s="101">
        <v>1875</v>
      </c>
      <c r="U44" s="101">
        <v>346</v>
      </c>
      <c r="V44" s="101">
        <v>9</v>
      </c>
      <c r="W44" s="101">
        <v>64</v>
      </c>
      <c r="X44" s="101">
        <v>16</v>
      </c>
      <c r="Y44" s="99"/>
      <c r="Z44" s="101" t="s">
        <v>965</v>
      </c>
      <c r="AA44" s="101" t="s">
        <v>1000</v>
      </c>
      <c r="AB44" s="106"/>
      <c r="AC44" s="106">
        <f t="shared" si="0"/>
      </c>
      <c r="AD44" s="99"/>
      <c r="AE44" s="99"/>
      <c r="AF44" s="99"/>
    </row>
    <row customHeight="true" ht="33" r="45">
      <c r="A45" s="100" t="s">
        <v>1086</v>
      </c>
      <c r="B45" s="101" t="s">
        <v>958</v>
      </c>
      <c r="C45" s="101" t="s">
        <v>1087</v>
      </c>
      <c r="D45" s="101" t="s">
        <v>1088</v>
      </c>
      <c r="E45" s="102" t="s">
        <v>1089</v>
      </c>
      <c r="F45" s="103">
        <v>46092.61041666667</v>
      </c>
      <c r="G45" s="101" t="s">
        <v>962</v>
      </c>
      <c r="H45" s="101">
        <v>500</v>
      </c>
      <c r="I45" s="101">
        <v>500</v>
      </c>
      <c r="J45" s="101">
        <v>500</v>
      </c>
      <c r="K45" s="101" t="s">
        <v>963</v>
      </c>
      <c r="L45" s="101">
        <v>30236</v>
      </c>
      <c r="M45" s="104">
        <v>16.54</v>
      </c>
      <c r="N45" s="97"/>
      <c r="O45" s="97"/>
      <c r="P45" s="97"/>
      <c r="Q45" s="97"/>
      <c r="R45" s="105">
        <v>30236</v>
      </c>
      <c r="S45" s="101" t="s">
        <v>964</v>
      </c>
      <c r="T45" s="101">
        <v>41</v>
      </c>
      <c r="U45" s="101">
        <v>131</v>
      </c>
      <c r="V45" s="101">
        <v>3</v>
      </c>
      <c r="W45" s="101">
        <v>71</v>
      </c>
      <c r="X45" s="101">
        <v>1</v>
      </c>
      <c r="Y45" s="99"/>
      <c r="Z45" s="101" t="s">
        <v>965</v>
      </c>
      <c r="AA45" s="101" t="s">
        <v>1000</v>
      </c>
      <c r="AB45" s="106"/>
      <c r="AC45" s="106">
        <f t="shared" si="0"/>
      </c>
      <c r="AD45" s="99"/>
      <c r="AE45" s="99"/>
      <c r="AF45" s="99"/>
    </row>
    <row r="46">
      <c r="A46" s="100" t="s">
        <v>1090</v>
      </c>
      <c r="B46" s="101" t="s">
        <v>958</v>
      </c>
      <c r="C46" s="101" t="s">
        <v>1091</v>
      </c>
      <c r="D46" s="101" t="s">
        <v>1092</v>
      </c>
      <c r="E46" s="102" t="s">
        <v>1093</v>
      </c>
      <c r="F46" s="103">
        <v>46093.634722222225</v>
      </c>
      <c r="G46" s="101" t="s">
        <v>1094</v>
      </c>
      <c r="H46" s="101">
        <v>500</v>
      </c>
      <c r="I46" s="101">
        <v>500</v>
      </c>
      <c r="J46" s="101">
        <v>499.89</v>
      </c>
      <c r="K46" s="101" t="s">
        <v>963</v>
      </c>
      <c r="L46" s="101">
        <v>22165</v>
      </c>
      <c r="M46" s="104">
        <v>22.55</v>
      </c>
      <c r="N46" s="97"/>
      <c r="O46" s="97"/>
      <c r="P46" s="97"/>
      <c r="Q46" s="97"/>
      <c r="R46" s="105">
        <v>22165</v>
      </c>
      <c r="S46" s="101" t="s">
        <v>964</v>
      </c>
      <c r="T46" s="101">
        <v>166</v>
      </c>
      <c r="U46" s="101">
        <v>24</v>
      </c>
      <c r="V46" s="101">
        <v>12</v>
      </c>
      <c r="W46" s="101">
        <v>201</v>
      </c>
      <c r="X46" s="101">
        <v>4</v>
      </c>
      <c r="Y46" s="99"/>
      <c r="Z46" s="101" t="s">
        <v>965</v>
      </c>
      <c r="AA46" s="101" t="s">
        <v>1000</v>
      </c>
      <c r="AB46" s="106"/>
      <c r="AC46" s="106">
        <f t="shared" si="0"/>
      </c>
      <c r="AD46" s="99"/>
      <c r="AE46" s="99"/>
      <c r="AF46" s="99"/>
    </row>
    <row customHeight="true" ht="33" r="47">
      <c r="A47" s="100" t="s">
        <v>1095</v>
      </c>
      <c r="B47" s="101" t="s">
        <v>958</v>
      </c>
      <c r="C47" s="101" t="s">
        <v>1096</v>
      </c>
      <c r="D47" s="101" t="s">
        <v>1097</v>
      </c>
      <c r="E47" s="102" t="s">
        <v>1098</v>
      </c>
      <c r="F47" s="103">
        <v>46093.63402777778</v>
      </c>
      <c r="G47" s="101" t="s">
        <v>1094</v>
      </c>
      <c r="H47" s="101">
        <v>500</v>
      </c>
      <c r="I47" s="101">
        <v>500</v>
      </c>
      <c r="J47" s="101">
        <v>499.82</v>
      </c>
      <c r="K47" s="101" t="s">
        <v>963</v>
      </c>
      <c r="L47" s="101">
        <v>29477</v>
      </c>
      <c r="M47" s="104">
        <v>16.96</v>
      </c>
      <c r="N47" s="97"/>
      <c r="O47" s="97"/>
      <c r="P47" s="97"/>
      <c r="Q47" s="97"/>
      <c r="R47" s="105">
        <v>29477</v>
      </c>
      <c r="S47" s="101" t="s">
        <v>964</v>
      </c>
      <c r="T47" s="101">
        <v>863</v>
      </c>
      <c r="U47" s="101">
        <v>14</v>
      </c>
      <c r="V47" s="101">
        <v>8</v>
      </c>
      <c r="W47" s="101">
        <v>67</v>
      </c>
      <c r="X47" s="101">
        <v>7</v>
      </c>
      <c r="Y47" s="99"/>
      <c r="Z47" s="101" t="s">
        <v>965</v>
      </c>
      <c r="AA47" s="101" t="s">
        <v>1000</v>
      </c>
      <c r="AB47" s="106"/>
      <c r="AC47" s="106">
        <f t="shared" si="0"/>
      </c>
      <c r="AD47" s="99"/>
      <c r="AE47" s="99"/>
      <c r="AF47" s="99"/>
    </row>
    <row r="48">
      <c r="A48" s="100" t="s">
        <v>1099</v>
      </c>
      <c r="B48" s="101" t="s">
        <v>958</v>
      </c>
      <c r="C48" s="101" t="s">
        <v>1100</v>
      </c>
      <c r="D48" s="101" t="s">
        <v>1101</v>
      </c>
      <c r="E48" s="102" t="s">
        <v>1102</v>
      </c>
      <c r="F48" s="103">
        <v>46093.63402777778</v>
      </c>
      <c r="G48" s="101" t="s">
        <v>962</v>
      </c>
      <c r="H48" s="101">
        <v>500</v>
      </c>
      <c r="I48" s="101">
        <v>500</v>
      </c>
      <c r="J48" s="101">
        <v>500</v>
      </c>
      <c r="K48" s="101" t="s">
        <v>963</v>
      </c>
      <c r="L48" s="101">
        <v>65910</v>
      </c>
      <c r="M48" s="104">
        <v>7.59</v>
      </c>
      <c r="N48" s="97"/>
      <c r="O48" s="97"/>
      <c r="P48" s="97"/>
      <c r="Q48" s="97"/>
      <c r="R48" s="105">
        <v>65910</v>
      </c>
      <c r="S48" s="101" t="s">
        <v>964</v>
      </c>
      <c r="T48" s="101">
        <v>443</v>
      </c>
      <c r="U48" s="101">
        <v>49</v>
      </c>
      <c r="V48" s="101">
        <v>485</v>
      </c>
      <c r="W48" s="101">
        <v>544</v>
      </c>
      <c r="X48" s="101">
        <v>4</v>
      </c>
      <c r="Y48" s="99"/>
      <c r="Z48" s="101" t="s">
        <v>965</v>
      </c>
      <c r="AA48" s="101" t="s">
        <v>966</v>
      </c>
      <c r="AB48" s="106"/>
      <c r="AC48" s="106">
        <f t="shared" si="0"/>
      </c>
      <c r="AD48" s="99"/>
      <c r="AE48" s="99"/>
      <c r="AF48" s="99"/>
    </row>
    <row r="49">
      <c r="A49" s="100" t="s">
        <v>1103</v>
      </c>
      <c r="B49" s="101" t="s">
        <v>958</v>
      </c>
      <c r="C49" s="101" t="s">
        <v>1104</v>
      </c>
      <c r="D49" s="101" t="s">
        <v>1105</v>
      </c>
      <c r="E49" s="102" t="s">
        <v>1106</v>
      </c>
      <c r="F49" s="103">
        <v>46093.63333333333</v>
      </c>
      <c r="G49" s="101" t="s">
        <v>962</v>
      </c>
      <c r="H49" s="101">
        <v>500</v>
      </c>
      <c r="I49" s="101">
        <v>500</v>
      </c>
      <c r="J49" s="101">
        <v>500</v>
      </c>
      <c r="K49" s="101" t="s">
        <v>963</v>
      </c>
      <c r="L49" s="101">
        <v>45683</v>
      </c>
      <c r="M49" s="104">
        <v>10.94</v>
      </c>
      <c r="N49" s="97"/>
      <c r="O49" s="97"/>
      <c r="P49" s="97"/>
      <c r="Q49" s="97"/>
      <c r="R49" s="105">
        <v>45683</v>
      </c>
      <c r="S49" s="101" t="s">
        <v>964</v>
      </c>
      <c r="T49" s="101">
        <v>826</v>
      </c>
      <c r="U49" s="101">
        <v>93</v>
      </c>
      <c r="V49" s="101">
        <v>9</v>
      </c>
      <c r="W49" s="101">
        <v>103</v>
      </c>
      <c r="X49" s="101">
        <v>15</v>
      </c>
      <c r="Y49" s="99"/>
      <c r="Z49" s="101" t="s">
        <v>965</v>
      </c>
      <c r="AA49" s="101" t="s">
        <v>966</v>
      </c>
      <c r="AB49" s="106"/>
      <c r="AC49" s="106">
        <f t="shared" si="0"/>
      </c>
      <c r="AD49" s="99"/>
      <c r="AE49" s="99"/>
      <c r="AF49" s="99"/>
    </row>
    <row r="50">
      <c r="A50" s="100" t="s">
        <v>1107</v>
      </c>
      <c r="B50" s="101" t="s">
        <v>958</v>
      </c>
      <c r="C50" s="101" t="s">
        <v>1079</v>
      </c>
      <c r="D50" s="101" t="s">
        <v>1080</v>
      </c>
      <c r="E50" s="102" t="s">
        <v>1081</v>
      </c>
      <c r="F50" s="103">
        <v>46093.63263888889</v>
      </c>
      <c r="G50" s="101" t="s">
        <v>962</v>
      </c>
      <c r="H50" s="101">
        <v>500</v>
      </c>
      <c r="I50" s="101">
        <v>500</v>
      </c>
      <c r="J50" s="101">
        <v>500</v>
      </c>
      <c r="K50" s="101" t="s">
        <v>963</v>
      </c>
      <c r="L50" s="101">
        <v>30516</v>
      </c>
      <c r="M50" s="104">
        <v>16.38</v>
      </c>
      <c r="N50" s="97"/>
      <c r="O50" s="97"/>
      <c r="P50" s="97"/>
      <c r="Q50" s="97"/>
      <c r="R50" s="105">
        <v>30516</v>
      </c>
      <c r="S50" s="101" t="s">
        <v>964</v>
      </c>
      <c r="T50" s="101">
        <v>366</v>
      </c>
      <c r="U50" s="101">
        <v>525</v>
      </c>
      <c r="V50" s="101">
        <v>43</v>
      </c>
      <c r="W50" s="101">
        <v>1443</v>
      </c>
      <c r="X50" s="101">
        <v>43</v>
      </c>
      <c r="Y50" s="99"/>
      <c r="Z50" s="101" t="s">
        <v>965</v>
      </c>
      <c r="AA50" s="101" t="s">
        <v>966</v>
      </c>
      <c r="AB50" s="106"/>
      <c r="AC50" s="106">
        <f t="shared" si="0"/>
      </c>
      <c r="AD50" s="99"/>
      <c r="AE50" s="99"/>
      <c r="AF50" s="99"/>
    </row>
    <row r="51">
      <c r="A51" s="100" t="s">
        <v>1108</v>
      </c>
      <c r="B51" s="101" t="s">
        <v>958</v>
      </c>
      <c r="C51" s="101" t="s">
        <v>1083</v>
      </c>
      <c r="D51" s="101" t="s">
        <v>1084</v>
      </c>
      <c r="E51" s="102" t="s">
        <v>1085</v>
      </c>
      <c r="F51" s="103">
        <v>46093.631944444445</v>
      </c>
      <c r="G51" s="101" t="s">
        <v>962</v>
      </c>
      <c r="H51" s="101">
        <v>500</v>
      </c>
      <c r="I51" s="101">
        <v>500</v>
      </c>
      <c r="J51" s="101">
        <v>500</v>
      </c>
      <c r="K51" s="101" t="s">
        <v>963</v>
      </c>
      <c r="L51" s="101">
        <v>42400</v>
      </c>
      <c r="M51" s="104">
        <v>11.79</v>
      </c>
      <c r="N51" s="97"/>
      <c r="O51" s="97"/>
      <c r="P51" s="97"/>
      <c r="Q51" s="97"/>
      <c r="R51" s="105">
        <v>42400</v>
      </c>
      <c r="S51" s="101" t="s">
        <v>964</v>
      </c>
      <c r="T51" s="101">
        <v>1150</v>
      </c>
      <c r="U51" s="101">
        <v>152</v>
      </c>
      <c r="V51" s="101">
        <v>10</v>
      </c>
      <c r="W51" s="101">
        <v>40</v>
      </c>
      <c r="X51" s="101">
        <v>4</v>
      </c>
      <c r="Y51" s="99"/>
      <c r="Z51" s="101" t="s">
        <v>965</v>
      </c>
      <c r="AA51" s="101" t="s">
        <v>966</v>
      </c>
      <c r="AB51" s="106"/>
      <c r="AC51" s="106">
        <f t="shared" si="0"/>
      </c>
      <c r="AD51" s="99"/>
      <c r="AE51" s="99"/>
      <c r="AF51" s="99"/>
    </row>
    <row r="52">
      <c r="A52" s="100" t="s">
        <v>1109</v>
      </c>
      <c r="B52" s="101" t="s">
        <v>958</v>
      </c>
      <c r="C52" s="101" t="s">
        <v>1044</v>
      </c>
      <c r="D52" s="101" t="s">
        <v>1045</v>
      </c>
      <c r="E52" s="102" t="s">
        <v>1046</v>
      </c>
      <c r="F52" s="103">
        <v>46093.631944444445</v>
      </c>
      <c r="G52" s="101" t="s">
        <v>962</v>
      </c>
      <c r="H52" s="101">
        <v>500</v>
      </c>
      <c r="I52" s="101">
        <v>500</v>
      </c>
      <c r="J52" s="101">
        <v>500</v>
      </c>
      <c r="K52" s="101" t="s">
        <v>963</v>
      </c>
      <c r="L52" s="101">
        <v>26353</v>
      </c>
      <c r="M52" s="104">
        <v>18.97</v>
      </c>
      <c r="N52" s="97"/>
      <c r="O52" s="97"/>
      <c r="P52" s="97"/>
      <c r="Q52" s="97"/>
      <c r="R52" s="105">
        <v>26353</v>
      </c>
      <c r="S52" s="101" t="s">
        <v>964</v>
      </c>
      <c r="T52" s="101">
        <v>709</v>
      </c>
      <c r="U52" s="101">
        <v>2</v>
      </c>
      <c r="V52" s="101">
        <v>26</v>
      </c>
      <c r="W52" s="101">
        <v>74</v>
      </c>
      <c r="X52" s="101">
        <v>3</v>
      </c>
      <c r="Y52" s="99"/>
      <c r="Z52" s="101" t="s">
        <v>965</v>
      </c>
      <c r="AA52" s="101" t="s">
        <v>966</v>
      </c>
      <c r="AB52" s="106"/>
      <c r="AC52" s="106">
        <f t="shared" si="0"/>
      </c>
      <c r="AD52" s="99"/>
      <c r="AE52" s="99"/>
      <c r="AF52" s="99"/>
    </row>
    <row r="53">
      <c r="A53" s="100" t="s">
        <v>1110</v>
      </c>
      <c r="B53" s="101" t="s">
        <v>958</v>
      </c>
      <c r="C53" s="101" t="s">
        <v>1048</v>
      </c>
      <c r="D53" s="101" t="s">
        <v>1049</v>
      </c>
      <c r="E53" s="102" t="s">
        <v>1050</v>
      </c>
      <c r="F53" s="103">
        <v>46093.63125</v>
      </c>
      <c r="G53" s="101" t="s">
        <v>962</v>
      </c>
      <c r="H53" s="101">
        <v>500</v>
      </c>
      <c r="I53" s="101">
        <v>500</v>
      </c>
      <c r="J53" s="101">
        <v>500</v>
      </c>
      <c r="K53" s="101" t="s">
        <v>963</v>
      </c>
      <c r="L53" s="101">
        <v>28635</v>
      </c>
      <c r="M53" s="104">
        <v>17.46</v>
      </c>
      <c r="N53" s="97"/>
      <c r="O53" s="97"/>
      <c r="P53" s="97"/>
      <c r="Q53" s="97"/>
      <c r="R53" s="105">
        <v>28635</v>
      </c>
      <c r="S53" s="101" t="s">
        <v>964</v>
      </c>
      <c r="T53" s="101">
        <v>1155</v>
      </c>
      <c r="U53" s="101">
        <v>6</v>
      </c>
      <c r="V53" s="101">
        <v>2</v>
      </c>
      <c r="W53" s="101">
        <v>111</v>
      </c>
      <c r="X53" s="101">
        <v>4</v>
      </c>
      <c r="Y53" s="99"/>
      <c r="Z53" s="101" t="s">
        <v>965</v>
      </c>
      <c r="AA53" s="101" t="s">
        <v>966</v>
      </c>
      <c r="AB53" s="106"/>
      <c r="AC53" s="106">
        <f t="shared" si="0"/>
      </c>
      <c r="AD53" s="99"/>
      <c r="AE53" s="99"/>
      <c r="AF53" s="99"/>
    </row>
    <row r="54">
      <c r="A54" s="100" t="s">
        <v>1111</v>
      </c>
      <c r="B54" s="101" t="s">
        <v>958</v>
      </c>
      <c r="C54" s="101" t="s">
        <v>1052</v>
      </c>
      <c r="D54" s="101" t="s">
        <v>1053</v>
      </c>
      <c r="E54" s="102" t="s">
        <v>1054</v>
      </c>
      <c r="F54" s="103">
        <v>46093.63055555556</v>
      </c>
      <c r="G54" s="101" t="s">
        <v>962</v>
      </c>
      <c r="H54" s="101">
        <v>500</v>
      </c>
      <c r="I54" s="101">
        <v>500</v>
      </c>
      <c r="J54" s="101">
        <v>500</v>
      </c>
      <c r="K54" s="101" t="s">
        <v>963</v>
      </c>
      <c r="L54" s="101">
        <v>34449</v>
      </c>
      <c r="M54" s="104">
        <v>14.51</v>
      </c>
      <c r="N54" s="97"/>
      <c r="O54" s="97"/>
      <c r="P54" s="97"/>
      <c r="Q54" s="97"/>
      <c r="R54" s="105">
        <v>34449</v>
      </c>
      <c r="S54" s="101" t="s">
        <v>964</v>
      </c>
      <c r="T54" s="101">
        <v>5032</v>
      </c>
      <c r="U54" s="101">
        <v>15</v>
      </c>
      <c r="V54" s="101">
        <v>1144</v>
      </c>
      <c r="W54" s="101">
        <v>391</v>
      </c>
      <c r="X54" s="101">
        <v>4</v>
      </c>
      <c r="Y54" s="99"/>
      <c r="Z54" s="101" t="s">
        <v>965</v>
      </c>
      <c r="AA54" s="101" t="s">
        <v>966</v>
      </c>
      <c r="AB54" s="106"/>
      <c r="AC54" s="106">
        <f t="shared" si="0"/>
      </c>
      <c r="AD54" s="99"/>
      <c r="AE54" s="99"/>
      <c r="AF54" s="99"/>
    </row>
    <row r="55">
      <c r="A55" s="100" t="s">
        <v>1112</v>
      </c>
      <c r="B55" s="101" t="s">
        <v>958</v>
      </c>
      <c r="C55" s="101" t="s">
        <v>1056</v>
      </c>
      <c r="D55" s="101" t="s">
        <v>1057</v>
      </c>
      <c r="E55" s="102" t="s">
        <v>1058</v>
      </c>
      <c r="F55" s="103">
        <v>46093.62986111111</v>
      </c>
      <c r="G55" s="101" t="s">
        <v>962</v>
      </c>
      <c r="H55" s="101">
        <v>500</v>
      </c>
      <c r="I55" s="101">
        <v>500</v>
      </c>
      <c r="J55" s="101">
        <v>500</v>
      </c>
      <c r="K55" s="101" t="s">
        <v>963</v>
      </c>
      <c r="L55" s="101">
        <v>28701</v>
      </c>
      <c r="M55" s="104">
        <v>17.42</v>
      </c>
      <c r="N55" s="97"/>
      <c r="O55" s="97"/>
      <c r="P55" s="97"/>
      <c r="Q55" s="97"/>
      <c r="R55" s="105">
        <v>28701</v>
      </c>
      <c r="S55" s="101" t="s">
        <v>964</v>
      </c>
      <c r="T55" s="101">
        <v>3827</v>
      </c>
      <c r="U55" s="101">
        <v>12</v>
      </c>
      <c r="V55" s="101">
        <v>23</v>
      </c>
      <c r="W55" s="101">
        <v>108</v>
      </c>
      <c r="X55" s="101">
        <v>2</v>
      </c>
      <c r="Y55" s="99"/>
      <c r="Z55" s="101" t="s">
        <v>965</v>
      </c>
      <c r="AA55" s="101" t="s">
        <v>966</v>
      </c>
      <c r="AB55" s="106"/>
      <c r="AC55" s="106">
        <f t="shared" si="0"/>
      </c>
      <c r="AD55" s="99"/>
      <c r="AE55" s="99"/>
      <c r="AF55" s="99"/>
    </row>
    <row r="56">
      <c r="A56" s="100" t="s">
        <v>1113</v>
      </c>
      <c r="B56" s="101" t="s">
        <v>958</v>
      </c>
      <c r="C56" s="101" t="s">
        <v>1114</v>
      </c>
      <c r="D56" s="101" t="s">
        <v>1115</v>
      </c>
      <c r="E56" s="102" t="s">
        <v>1116</v>
      </c>
      <c r="F56" s="103">
        <v>46094.66180555556</v>
      </c>
      <c r="G56" s="101" t="s">
        <v>1094</v>
      </c>
      <c r="H56" s="101">
        <v>500</v>
      </c>
      <c r="I56" s="101">
        <v>500</v>
      </c>
      <c r="J56" s="101">
        <v>499.93</v>
      </c>
      <c r="K56" s="101" t="s">
        <v>963</v>
      </c>
      <c r="L56" s="101">
        <v>35048</v>
      </c>
      <c r="M56" s="104">
        <v>14.26</v>
      </c>
      <c r="N56" s="97"/>
      <c r="O56" s="97"/>
      <c r="P56" s="97"/>
      <c r="Q56" s="97"/>
      <c r="R56" s="105">
        <v>35048</v>
      </c>
      <c r="S56" s="101" t="s">
        <v>964</v>
      </c>
      <c r="T56" s="101">
        <v>931</v>
      </c>
      <c r="U56" s="101">
        <v>11</v>
      </c>
      <c r="V56" s="101">
        <v>14</v>
      </c>
      <c r="W56" s="101">
        <v>238</v>
      </c>
      <c r="X56" s="101">
        <v>5</v>
      </c>
      <c r="Y56" s="99"/>
      <c r="Z56" s="101" t="s">
        <v>965</v>
      </c>
      <c r="AA56" s="101" t="s">
        <v>1000</v>
      </c>
      <c r="AB56" s="106"/>
      <c r="AC56" s="106">
        <f t="shared" si="0"/>
      </c>
      <c r="AD56" s="99"/>
      <c r="AE56" s="99"/>
      <c r="AF56" s="99"/>
    </row>
    <row r="57">
      <c r="A57" s="100" t="s">
        <v>1117</v>
      </c>
      <c r="B57" s="101" t="s">
        <v>958</v>
      </c>
      <c r="C57" s="101" t="s">
        <v>1118</v>
      </c>
      <c r="D57" s="101" t="s">
        <v>1119</v>
      </c>
      <c r="E57" s="102" t="s">
        <v>1120</v>
      </c>
      <c r="F57" s="103">
        <v>46094.66180555556</v>
      </c>
      <c r="G57" s="101" t="s">
        <v>962</v>
      </c>
      <c r="H57" s="101">
        <v>500</v>
      </c>
      <c r="I57" s="101">
        <v>500</v>
      </c>
      <c r="J57" s="101">
        <v>500</v>
      </c>
      <c r="K57" s="101" t="s">
        <v>963</v>
      </c>
      <c r="L57" s="101">
        <v>34007</v>
      </c>
      <c r="M57" s="104">
        <v>14.7</v>
      </c>
      <c r="N57" s="97"/>
      <c r="O57" s="97"/>
      <c r="P57" s="97"/>
      <c r="Q57" s="97"/>
      <c r="R57" s="105">
        <v>34007</v>
      </c>
      <c r="S57" s="101" t="s">
        <v>964</v>
      </c>
      <c r="T57" s="101">
        <v>312</v>
      </c>
      <c r="U57" s="101">
        <v>17</v>
      </c>
      <c r="V57" s="101">
        <v>25</v>
      </c>
      <c r="W57" s="101">
        <v>703</v>
      </c>
      <c r="X57" s="101">
        <v>3</v>
      </c>
      <c r="Y57" s="99"/>
      <c r="Z57" s="101" t="s">
        <v>965</v>
      </c>
      <c r="AA57" s="101" t="s">
        <v>1000</v>
      </c>
      <c r="AB57" s="106"/>
      <c r="AC57" s="106">
        <f t="shared" si="0"/>
      </c>
      <c r="AD57" s="99"/>
      <c r="AE57" s="99"/>
      <c r="AF57" s="99"/>
    </row>
    <row r="58">
      <c r="A58" s="100" t="s">
        <v>1121</v>
      </c>
      <c r="B58" s="101" t="s">
        <v>958</v>
      </c>
      <c r="C58" s="101" t="s">
        <v>1122</v>
      </c>
      <c r="D58" s="101" t="s">
        <v>1123</v>
      </c>
      <c r="E58" s="102" t="s">
        <v>1124</v>
      </c>
      <c r="F58" s="103">
        <v>46094.660416666666</v>
      </c>
      <c r="G58" s="101" t="s">
        <v>962</v>
      </c>
      <c r="H58" s="101">
        <v>500</v>
      </c>
      <c r="I58" s="101">
        <v>500</v>
      </c>
      <c r="J58" s="101">
        <v>500</v>
      </c>
      <c r="K58" s="101" t="s">
        <v>963</v>
      </c>
      <c r="L58" s="101">
        <v>27058</v>
      </c>
      <c r="M58" s="104">
        <v>18.48</v>
      </c>
      <c r="N58" s="97"/>
      <c r="O58" s="97"/>
      <c r="P58" s="97"/>
      <c r="Q58" s="97"/>
      <c r="R58" s="105">
        <v>27058</v>
      </c>
      <c r="S58" s="101" t="s">
        <v>964</v>
      </c>
      <c r="T58" s="101">
        <v>744</v>
      </c>
      <c r="U58" s="101">
        <v>26</v>
      </c>
      <c r="V58" s="101">
        <v>39</v>
      </c>
      <c r="W58" s="101">
        <v>322</v>
      </c>
      <c r="X58" s="101">
        <v>22</v>
      </c>
      <c r="Y58" s="99"/>
      <c r="Z58" s="101" t="s">
        <v>965</v>
      </c>
      <c r="AA58" s="101" t="s">
        <v>1000</v>
      </c>
      <c r="AB58" s="106"/>
      <c r="AC58" s="106">
        <f t="shared" si="0"/>
      </c>
      <c r="AD58" s="99"/>
      <c r="AE58" s="99"/>
      <c r="AF58" s="99"/>
    </row>
    <row r="59">
      <c r="A59" s="100" t="s">
        <v>1125</v>
      </c>
      <c r="B59" s="101" t="s">
        <v>958</v>
      </c>
      <c r="C59" s="101" t="s">
        <v>1126</v>
      </c>
      <c r="D59" s="101" t="s">
        <v>1127</v>
      </c>
      <c r="E59" s="102" t="s">
        <v>1128</v>
      </c>
      <c r="F59" s="103">
        <v>46094.660416666666</v>
      </c>
      <c r="G59" s="101" t="s">
        <v>962</v>
      </c>
      <c r="H59" s="101">
        <v>500</v>
      </c>
      <c r="I59" s="101">
        <v>500</v>
      </c>
      <c r="J59" s="101">
        <v>500</v>
      </c>
      <c r="K59" s="101" t="s">
        <v>963</v>
      </c>
      <c r="L59" s="101">
        <v>29231</v>
      </c>
      <c r="M59" s="104">
        <v>17.11</v>
      </c>
      <c r="N59" s="97"/>
      <c r="O59" s="97"/>
      <c r="P59" s="97"/>
      <c r="Q59" s="97"/>
      <c r="R59" s="105">
        <v>29231</v>
      </c>
      <c r="S59" s="101" t="s">
        <v>964</v>
      </c>
      <c r="T59" s="101">
        <v>1046</v>
      </c>
      <c r="U59" s="101">
        <v>38</v>
      </c>
      <c r="V59" s="101">
        <v>6</v>
      </c>
      <c r="W59" s="101">
        <v>50</v>
      </c>
      <c r="X59" s="101">
        <v>37</v>
      </c>
      <c r="Y59" s="99"/>
      <c r="Z59" s="101" t="s">
        <v>965</v>
      </c>
      <c r="AA59" s="101" t="s">
        <v>1000</v>
      </c>
      <c r="AB59" s="106"/>
      <c r="AC59" s="106">
        <f t="shared" si="0"/>
      </c>
      <c r="AD59" s="99"/>
      <c r="AE59" s="99"/>
      <c r="AF59" s="99"/>
    </row>
    <row r="60">
      <c r="A60" s="100" t="s">
        <v>1129</v>
      </c>
      <c r="B60" s="101" t="s">
        <v>958</v>
      </c>
      <c r="C60" s="101" t="s">
        <v>1079</v>
      </c>
      <c r="D60" s="101" t="s">
        <v>1080</v>
      </c>
      <c r="E60" s="102" t="s">
        <v>1081</v>
      </c>
      <c r="F60" s="103">
        <v>46094.65972222222</v>
      </c>
      <c r="G60" s="101" t="s">
        <v>962</v>
      </c>
      <c r="H60" s="101">
        <v>500</v>
      </c>
      <c r="I60" s="101">
        <v>500</v>
      </c>
      <c r="J60" s="101">
        <v>500</v>
      </c>
      <c r="K60" s="101" t="s">
        <v>963</v>
      </c>
      <c r="L60" s="101">
        <v>30547</v>
      </c>
      <c r="M60" s="104">
        <v>16.37</v>
      </c>
      <c r="N60" s="97"/>
      <c r="O60" s="97"/>
      <c r="P60" s="97"/>
      <c r="Q60" s="97"/>
      <c r="R60" s="105">
        <v>30547</v>
      </c>
      <c r="S60" s="101" t="s">
        <v>964</v>
      </c>
      <c r="T60" s="101">
        <v>5442</v>
      </c>
      <c r="U60" s="101">
        <v>259</v>
      </c>
      <c r="V60" s="101">
        <v>109</v>
      </c>
      <c r="W60" s="101">
        <v>803</v>
      </c>
      <c r="X60" s="101">
        <v>12</v>
      </c>
      <c r="Y60" s="99"/>
      <c r="Z60" s="101" t="s">
        <v>965</v>
      </c>
      <c r="AA60" s="101" t="s">
        <v>1000</v>
      </c>
      <c r="AB60" s="106"/>
      <c r="AC60" s="106">
        <f t="shared" si="0"/>
      </c>
      <c r="AD60" s="99"/>
      <c r="AE60" s="99"/>
      <c r="AF60" s="99"/>
    </row>
    <row r="61">
      <c r="A61" s="100" t="s">
        <v>1130</v>
      </c>
      <c r="B61" s="101" t="s">
        <v>958</v>
      </c>
      <c r="C61" s="101" t="s">
        <v>1083</v>
      </c>
      <c r="D61" s="101" t="s">
        <v>1084</v>
      </c>
      <c r="E61" s="102" t="s">
        <v>1085</v>
      </c>
      <c r="F61" s="103">
        <v>46094.65902777778</v>
      </c>
      <c r="G61" s="101" t="s">
        <v>962</v>
      </c>
      <c r="H61" s="101">
        <v>500</v>
      </c>
      <c r="I61" s="101">
        <v>500</v>
      </c>
      <c r="J61" s="101">
        <v>500</v>
      </c>
      <c r="K61" s="101" t="s">
        <v>963</v>
      </c>
      <c r="L61" s="101">
        <v>50897</v>
      </c>
      <c r="M61" s="104">
        <v>9.82</v>
      </c>
      <c r="N61" s="97"/>
      <c r="O61" s="97"/>
      <c r="P61" s="97"/>
      <c r="Q61" s="97"/>
      <c r="R61" s="105">
        <v>50897</v>
      </c>
      <c r="S61" s="101" t="s">
        <v>964</v>
      </c>
      <c r="T61" s="101">
        <v>1547</v>
      </c>
      <c r="U61" s="101">
        <v>229</v>
      </c>
      <c r="V61" s="101">
        <v>11</v>
      </c>
      <c r="W61" s="101">
        <v>73</v>
      </c>
      <c r="X61" s="101">
        <v>33</v>
      </c>
      <c r="Y61" s="99"/>
      <c r="Z61" s="101" t="s">
        <v>965</v>
      </c>
      <c r="AA61" s="101" t="s">
        <v>1000</v>
      </c>
      <c r="AB61" s="106"/>
      <c r="AC61" s="106">
        <f t="shared" si="0"/>
      </c>
      <c r="AD61" s="99"/>
      <c r="AE61" s="99"/>
      <c r="AF61" s="99"/>
    </row>
    <row r="62">
      <c r="A62" s="100" t="s">
        <v>1131</v>
      </c>
      <c r="B62" s="101" t="s">
        <v>958</v>
      </c>
      <c r="C62" s="101" t="s">
        <v>1048</v>
      </c>
      <c r="D62" s="101" t="s">
        <v>1049</v>
      </c>
      <c r="E62" s="102" t="s">
        <v>1050</v>
      </c>
      <c r="F62" s="103">
        <v>46094.657638888886</v>
      </c>
      <c r="G62" s="101" t="s">
        <v>1094</v>
      </c>
      <c r="H62" s="101">
        <v>500</v>
      </c>
      <c r="I62" s="101">
        <v>500</v>
      </c>
      <c r="J62" s="101">
        <v>499.7</v>
      </c>
      <c r="K62" s="101" t="s">
        <v>963</v>
      </c>
      <c r="L62" s="101">
        <v>29220</v>
      </c>
      <c r="M62" s="104">
        <v>17.1</v>
      </c>
      <c r="N62" s="97"/>
      <c r="O62" s="97"/>
      <c r="P62" s="97"/>
      <c r="Q62" s="97"/>
      <c r="R62" s="105">
        <v>29220</v>
      </c>
      <c r="S62" s="101" t="s">
        <v>964</v>
      </c>
      <c r="T62" s="101">
        <v>1559</v>
      </c>
      <c r="U62" s="101">
        <v>10</v>
      </c>
      <c r="V62" s="101">
        <v>4</v>
      </c>
      <c r="W62" s="101">
        <v>139</v>
      </c>
      <c r="X62" s="101">
        <v>4</v>
      </c>
      <c r="Y62" s="99"/>
      <c r="Z62" s="101" t="s">
        <v>965</v>
      </c>
      <c r="AA62" s="101" t="s">
        <v>1000</v>
      </c>
      <c r="AB62" s="106"/>
      <c r="AC62" s="106">
        <f t="shared" si="0"/>
      </c>
      <c r="AD62" s="99"/>
      <c r="AE62" s="99"/>
      <c r="AF62" s="99"/>
    </row>
    <row r="63">
      <c r="A63" s="100" t="s">
        <v>1132</v>
      </c>
      <c r="B63" s="101" t="s">
        <v>958</v>
      </c>
      <c r="C63" s="101" t="s">
        <v>1052</v>
      </c>
      <c r="D63" s="101" t="s">
        <v>1053</v>
      </c>
      <c r="E63" s="102" t="s">
        <v>1054</v>
      </c>
      <c r="F63" s="103">
        <v>46094.65694444445</v>
      </c>
      <c r="G63" s="101" t="s">
        <v>962</v>
      </c>
      <c r="H63" s="101">
        <v>500</v>
      </c>
      <c r="I63" s="101">
        <v>500</v>
      </c>
      <c r="J63" s="101">
        <v>500</v>
      </c>
      <c r="K63" s="101" t="s">
        <v>963</v>
      </c>
      <c r="L63" s="101">
        <v>34233</v>
      </c>
      <c r="M63" s="104">
        <v>14.61</v>
      </c>
      <c r="N63" s="97"/>
      <c r="O63" s="97"/>
      <c r="P63" s="97"/>
      <c r="Q63" s="97"/>
      <c r="R63" s="105">
        <v>34233</v>
      </c>
      <c r="S63" s="101" t="s">
        <v>964</v>
      </c>
      <c r="T63" s="101">
        <v>461</v>
      </c>
      <c r="U63" s="101">
        <v>24</v>
      </c>
      <c r="V63" s="101">
        <v>261</v>
      </c>
      <c r="W63" s="101">
        <v>339</v>
      </c>
      <c r="X63" s="101">
        <v>4</v>
      </c>
      <c r="Y63" s="99"/>
      <c r="Z63" s="101" t="s">
        <v>965</v>
      </c>
      <c r="AA63" s="101" t="s">
        <v>1000</v>
      </c>
      <c r="AB63" s="106"/>
      <c r="AC63" s="106">
        <f t="shared" si="0"/>
      </c>
      <c r="AD63" s="99"/>
      <c r="AE63" s="99"/>
      <c r="AF63" s="99"/>
    </row>
    <row r="64">
      <c r="A64" s="100" t="s">
        <v>1133</v>
      </c>
      <c r="B64" s="101" t="s">
        <v>958</v>
      </c>
      <c r="C64" s="101" t="s">
        <v>1134</v>
      </c>
      <c r="D64" s="101" t="s">
        <v>1135</v>
      </c>
      <c r="E64" s="102" t="s">
        <v>1136</v>
      </c>
      <c r="F64" s="103">
        <v>46097.6631712963</v>
      </c>
      <c r="G64" s="101" t="s">
        <v>962</v>
      </c>
      <c r="H64" s="101">
        <v>500</v>
      </c>
      <c r="I64" s="101">
        <v>500</v>
      </c>
      <c r="J64" s="101">
        <v>500</v>
      </c>
      <c r="K64" s="101" t="s">
        <v>963</v>
      </c>
      <c r="L64" s="101">
        <v>29247</v>
      </c>
      <c r="M64" s="104">
        <v>17.1</v>
      </c>
      <c r="N64" s="97"/>
      <c r="O64" s="97"/>
      <c r="P64" s="97"/>
      <c r="Q64" s="97"/>
      <c r="R64" s="105">
        <v>29247</v>
      </c>
      <c r="S64" s="101" t="s">
        <v>964</v>
      </c>
      <c r="T64" s="101">
        <v>52</v>
      </c>
      <c r="U64" s="101">
        <v>10</v>
      </c>
      <c r="V64" s="101">
        <v>1</v>
      </c>
      <c r="W64" s="101">
        <v>179</v>
      </c>
      <c r="X64" s="101">
        <v>4</v>
      </c>
      <c r="Y64" s="99"/>
      <c r="Z64" s="101" t="s">
        <v>965</v>
      </c>
      <c r="AA64" s="101" t="s">
        <v>1000</v>
      </c>
      <c r="AB64" s="106"/>
      <c r="AC64" s="106">
        <f t="shared" si="0"/>
      </c>
      <c r="AD64" s="99"/>
      <c r="AE64" s="99"/>
      <c r="AF64" s="99"/>
    </row>
    <row r="65">
      <c r="A65" s="100" t="s">
        <v>1137</v>
      </c>
      <c r="B65" s="101" t="s">
        <v>958</v>
      </c>
      <c r="C65" s="101" t="s">
        <v>1138</v>
      </c>
      <c r="D65" s="101" t="s">
        <v>1139</v>
      </c>
      <c r="E65" s="102" t="s">
        <v>1140</v>
      </c>
      <c r="F65" s="103">
        <v>46097.66284722222</v>
      </c>
      <c r="G65" s="101" t="s">
        <v>962</v>
      </c>
      <c r="H65" s="101">
        <v>500</v>
      </c>
      <c r="I65" s="101">
        <v>500</v>
      </c>
      <c r="J65" s="101">
        <v>500</v>
      </c>
      <c r="K65" s="101" t="s">
        <v>963</v>
      </c>
      <c r="L65" s="101">
        <v>27147</v>
      </c>
      <c r="M65" s="104">
        <v>18.42</v>
      </c>
      <c r="N65" s="97"/>
      <c r="O65" s="97"/>
      <c r="P65" s="97"/>
      <c r="Q65" s="97"/>
      <c r="R65" s="105">
        <v>27147</v>
      </c>
      <c r="S65" s="101" t="s">
        <v>964</v>
      </c>
      <c r="T65" s="101">
        <v>898</v>
      </c>
      <c r="U65" s="101">
        <v>13</v>
      </c>
      <c r="V65" s="101">
        <v>0</v>
      </c>
      <c r="W65" s="101">
        <v>28</v>
      </c>
      <c r="X65" s="101">
        <v>13</v>
      </c>
      <c r="Y65" s="99"/>
      <c r="Z65" s="101" t="s">
        <v>965</v>
      </c>
      <c r="AA65" s="101" t="s">
        <v>1000</v>
      </c>
      <c r="AB65" s="106"/>
      <c r="AC65" s="106">
        <f t="shared" si="0"/>
      </c>
      <c r="AD65" s="99"/>
      <c r="AE65" s="99"/>
      <c r="AF65" s="99"/>
    </row>
    <row customHeight="true" ht="33" r="66">
      <c r="A66" s="100" t="s">
        <v>1141</v>
      </c>
      <c r="B66" s="101" t="s">
        <v>958</v>
      </c>
      <c r="C66" s="101" t="s">
        <v>1142</v>
      </c>
      <c r="D66" s="101" t="s">
        <v>1143</v>
      </c>
      <c r="E66" s="102" t="s">
        <v>1144</v>
      </c>
      <c r="F66" s="103">
        <v>46097.66244212963</v>
      </c>
      <c r="G66" s="101" t="s">
        <v>962</v>
      </c>
      <c r="H66" s="101">
        <v>500</v>
      </c>
      <c r="I66" s="101">
        <v>500</v>
      </c>
      <c r="J66" s="101">
        <v>500</v>
      </c>
      <c r="K66" s="101" t="s">
        <v>963</v>
      </c>
      <c r="L66" s="101">
        <v>26631</v>
      </c>
      <c r="M66" s="104">
        <v>18.78</v>
      </c>
      <c r="N66" s="97"/>
      <c r="O66" s="97"/>
      <c r="P66" s="97"/>
      <c r="Q66" s="97"/>
      <c r="R66" s="105">
        <v>26631</v>
      </c>
      <c r="S66" s="101" t="s">
        <v>964</v>
      </c>
      <c r="T66" s="101">
        <v>681</v>
      </c>
      <c r="U66" s="101">
        <v>25</v>
      </c>
      <c r="V66" s="101">
        <v>30</v>
      </c>
      <c r="W66" s="101">
        <v>93</v>
      </c>
      <c r="X66" s="101">
        <v>5</v>
      </c>
      <c r="Y66" s="99"/>
      <c r="Z66" s="101" t="s">
        <v>965</v>
      </c>
      <c r="AA66" s="101" t="s">
        <v>1000</v>
      </c>
      <c r="AB66" s="106"/>
      <c r="AC66" s="106">
        <f t="shared" si="0"/>
      </c>
      <c r="AD66" s="99"/>
      <c r="AE66" s="99"/>
      <c r="AF66" s="99"/>
    </row>
    <row r="67">
      <c r="A67" s="100" t="s">
        <v>1145</v>
      </c>
      <c r="B67" s="101" t="s">
        <v>958</v>
      </c>
      <c r="C67" s="101" t="s">
        <v>1079</v>
      </c>
      <c r="D67" s="101" t="s">
        <v>1080</v>
      </c>
      <c r="E67" s="102" t="s">
        <v>1081</v>
      </c>
      <c r="F67" s="103">
        <v>46097.66212962963</v>
      </c>
      <c r="G67" s="101" t="s">
        <v>962</v>
      </c>
      <c r="H67" s="101">
        <v>500</v>
      </c>
      <c r="I67" s="101">
        <v>500</v>
      </c>
      <c r="J67" s="101">
        <v>500</v>
      </c>
      <c r="K67" s="101" t="s">
        <v>963</v>
      </c>
      <c r="L67" s="101">
        <v>29410</v>
      </c>
      <c r="M67" s="104">
        <v>17</v>
      </c>
      <c r="N67" s="97"/>
      <c r="O67" s="97"/>
      <c r="P67" s="97"/>
      <c r="Q67" s="97"/>
      <c r="R67" s="105">
        <v>29410</v>
      </c>
      <c r="S67" s="101" t="s">
        <v>964</v>
      </c>
      <c r="T67" s="101">
        <v>4987</v>
      </c>
      <c r="U67" s="101">
        <v>203</v>
      </c>
      <c r="V67" s="101">
        <v>106</v>
      </c>
      <c r="W67" s="101">
        <v>989</v>
      </c>
      <c r="X67" s="101">
        <v>10</v>
      </c>
      <c r="Y67" s="99"/>
      <c r="Z67" s="101" t="s">
        <v>965</v>
      </c>
      <c r="AA67" s="101" t="s">
        <v>1000</v>
      </c>
      <c r="AB67" s="106"/>
      <c r="AC67" s="106">
        <f t="shared" si="0"/>
      </c>
      <c r="AD67" s="99"/>
      <c r="AE67" s="99"/>
      <c r="AF67" s="99"/>
    </row>
    <row r="68">
      <c r="A68" s="100" t="s">
        <v>1146</v>
      </c>
      <c r="B68" s="101" t="s">
        <v>958</v>
      </c>
      <c r="C68" s="101" t="s">
        <v>1083</v>
      </c>
      <c r="D68" s="101" t="s">
        <v>1084</v>
      </c>
      <c r="E68" s="102" t="s">
        <v>1085</v>
      </c>
      <c r="F68" s="103">
        <v>46097.66181712963</v>
      </c>
      <c r="G68" s="101" t="s">
        <v>962</v>
      </c>
      <c r="H68" s="101">
        <v>500</v>
      </c>
      <c r="I68" s="101">
        <v>500</v>
      </c>
      <c r="J68" s="101">
        <v>500</v>
      </c>
      <c r="K68" s="101" t="s">
        <v>963</v>
      </c>
      <c r="L68" s="101">
        <v>48678</v>
      </c>
      <c r="M68" s="104">
        <v>10.27</v>
      </c>
      <c r="N68" s="97"/>
      <c r="O68" s="97"/>
      <c r="P68" s="97"/>
      <c r="Q68" s="97"/>
      <c r="R68" s="105">
        <v>48678</v>
      </c>
      <c r="S68" s="101" t="s">
        <v>964</v>
      </c>
      <c r="T68" s="101">
        <v>1826</v>
      </c>
      <c r="U68" s="101">
        <v>138</v>
      </c>
      <c r="V68" s="101">
        <v>21</v>
      </c>
      <c r="W68" s="101">
        <v>39</v>
      </c>
      <c r="X68" s="101">
        <v>13</v>
      </c>
      <c r="Y68" s="99"/>
      <c r="Z68" s="101" t="s">
        <v>965</v>
      </c>
      <c r="AA68" s="101" t="s">
        <v>1000</v>
      </c>
      <c r="AB68" s="106"/>
      <c r="AC68" s="106">
        <f t="shared" si="0"/>
      </c>
      <c r="AD68" s="99"/>
      <c r="AE68" s="99"/>
      <c r="AF68" s="99"/>
    </row>
    <row customHeight="true" ht="33" r="69">
      <c r="A69" s="100" t="s">
        <v>1147</v>
      </c>
      <c r="B69" s="101" t="s">
        <v>958</v>
      </c>
      <c r="C69" s="101" t="s">
        <v>1079</v>
      </c>
      <c r="D69" s="101" t="s">
        <v>1080</v>
      </c>
      <c r="E69" s="102" t="s">
        <v>1081</v>
      </c>
      <c r="F69" s="103">
        <v>46098.732303240744</v>
      </c>
      <c r="G69" s="101" t="s">
        <v>962</v>
      </c>
      <c r="H69" s="101">
        <v>1000</v>
      </c>
      <c r="I69" s="101">
        <v>1000</v>
      </c>
      <c r="J69" s="101">
        <v>1000</v>
      </c>
      <c r="K69" s="101" t="s">
        <v>963</v>
      </c>
      <c r="L69" s="101">
        <v>56126</v>
      </c>
      <c r="M69" s="104">
        <v>17.82</v>
      </c>
      <c r="N69" s="97"/>
      <c r="O69" s="97"/>
      <c r="P69" s="97"/>
      <c r="Q69" s="97"/>
      <c r="R69" s="105">
        <v>56126</v>
      </c>
      <c r="S69" s="101" t="s">
        <v>964</v>
      </c>
      <c r="T69" s="101">
        <v>15953</v>
      </c>
      <c r="U69" s="101">
        <v>120</v>
      </c>
      <c r="V69" s="101">
        <v>303</v>
      </c>
      <c r="W69" s="101">
        <v>1328</v>
      </c>
      <c r="X69" s="101">
        <v>13</v>
      </c>
      <c r="Y69" s="99"/>
      <c r="Z69" s="101" t="s">
        <v>965</v>
      </c>
      <c r="AA69" s="101" t="s">
        <v>1000</v>
      </c>
      <c r="AB69" s="106"/>
      <c r="AC69" s="106">
        <f t="shared" si="0"/>
      </c>
      <c r="AD69" s="99"/>
      <c r="AE69" s="99"/>
      <c r="AF69" s="99"/>
    </row>
    <row customHeight="true" ht="33" r="70">
      <c r="A70" s="100" t="s">
        <v>1148</v>
      </c>
      <c r="B70" s="101" t="s">
        <v>958</v>
      </c>
      <c r="C70" s="101">
        <v>71623570672</v>
      </c>
      <c r="D70" s="101" t="s">
        <v>1149</v>
      </c>
      <c r="E70" s="102" t="s">
        <v>1150</v>
      </c>
      <c r="F70" s="103">
        <v>46098.73186342593</v>
      </c>
      <c r="G70" s="101" t="s">
        <v>962</v>
      </c>
      <c r="H70" s="101">
        <v>500</v>
      </c>
      <c r="I70" s="101">
        <v>500</v>
      </c>
      <c r="J70" s="101">
        <v>500</v>
      </c>
      <c r="K70" s="101" t="s">
        <v>963</v>
      </c>
      <c r="L70" s="101">
        <v>30522</v>
      </c>
      <c r="M70" s="104">
        <v>16.38</v>
      </c>
      <c r="N70" s="97"/>
      <c r="O70" s="97"/>
      <c r="P70" s="97"/>
      <c r="Q70" s="97"/>
      <c r="R70" s="105">
        <v>30522</v>
      </c>
      <c r="S70" s="101" t="s">
        <v>964</v>
      </c>
      <c r="T70" s="101">
        <v>69</v>
      </c>
      <c r="U70" s="101">
        <v>47</v>
      </c>
      <c r="V70" s="101">
        <v>4</v>
      </c>
      <c r="W70" s="101">
        <v>104</v>
      </c>
      <c r="X70" s="101">
        <v>3</v>
      </c>
      <c r="Y70" s="99"/>
      <c r="Z70" s="101" t="s">
        <v>965</v>
      </c>
      <c r="AA70" s="101" t="s">
        <v>1000</v>
      </c>
      <c r="AB70" s="106"/>
      <c r="AC70" s="106">
        <f t="shared" si="0"/>
      </c>
      <c r="AD70" s="99"/>
      <c r="AE70" s="99"/>
      <c r="AF70" s="99"/>
    </row>
    <row customHeight="true" ht="33" r="71">
      <c r="A71" s="100" t="s">
        <v>1151</v>
      </c>
      <c r="B71" s="101" t="s">
        <v>958</v>
      </c>
      <c r="C71" s="101" t="s">
        <v>1152</v>
      </c>
      <c r="D71" s="101" t="s">
        <v>1153</v>
      </c>
      <c r="E71" s="102" t="s">
        <v>1154</v>
      </c>
      <c r="F71" s="103">
        <v>46098.7312962963</v>
      </c>
      <c r="G71" s="101" t="s">
        <v>962</v>
      </c>
      <c r="H71" s="101">
        <v>500</v>
      </c>
      <c r="I71" s="101">
        <v>500</v>
      </c>
      <c r="J71" s="101">
        <v>500</v>
      </c>
      <c r="K71" s="101" t="s">
        <v>963</v>
      </c>
      <c r="L71" s="101">
        <v>33765</v>
      </c>
      <c r="M71" s="104">
        <v>14.81</v>
      </c>
      <c r="N71" s="97"/>
      <c r="O71" s="97"/>
      <c r="P71" s="97"/>
      <c r="Q71" s="97"/>
      <c r="R71" s="105">
        <v>33765</v>
      </c>
      <c r="S71" s="101" t="s">
        <v>964</v>
      </c>
      <c r="T71" s="101">
        <v>74</v>
      </c>
      <c r="U71" s="101">
        <v>17</v>
      </c>
      <c r="V71" s="101">
        <v>0</v>
      </c>
      <c r="W71" s="101">
        <v>121</v>
      </c>
      <c r="X71" s="101">
        <v>1</v>
      </c>
      <c r="Y71" s="99"/>
      <c r="Z71" s="101" t="s">
        <v>965</v>
      </c>
      <c r="AA71" s="101" t="s">
        <v>1000</v>
      </c>
      <c r="AB71" s="106"/>
      <c r="AC71" s="106">
        <f t="shared" si="0"/>
      </c>
      <c r="AD71" s="99"/>
      <c r="AE71" s="99"/>
      <c r="AF71" s="99"/>
    </row>
    <row customHeight="true" ht="33" r="72">
      <c r="A72" s="100" t="s">
        <v>1155</v>
      </c>
      <c r="B72" s="101" t="s">
        <v>958</v>
      </c>
      <c r="C72" s="101" t="s">
        <v>1083</v>
      </c>
      <c r="D72" s="101" t="s">
        <v>1084</v>
      </c>
      <c r="E72" s="102" t="s">
        <v>1085</v>
      </c>
      <c r="F72" s="103">
        <v>46098.73023148148</v>
      </c>
      <c r="G72" s="101" t="s">
        <v>962</v>
      </c>
      <c r="H72" s="101">
        <v>500</v>
      </c>
      <c r="I72" s="101">
        <v>500</v>
      </c>
      <c r="J72" s="101">
        <v>500</v>
      </c>
      <c r="K72" s="101" t="s">
        <v>963</v>
      </c>
      <c r="L72" s="101">
        <v>45286</v>
      </c>
      <c r="M72" s="104">
        <v>11.04</v>
      </c>
      <c r="N72" s="97"/>
      <c r="O72" s="97"/>
      <c r="P72" s="97"/>
      <c r="Q72" s="97"/>
      <c r="R72" s="105">
        <v>45286</v>
      </c>
      <c r="S72" s="101" t="s">
        <v>964</v>
      </c>
      <c r="T72" s="101">
        <v>1666</v>
      </c>
      <c r="U72" s="101">
        <v>106</v>
      </c>
      <c r="V72" s="101">
        <v>19</v>
      </c>
      <c r="W72" s="101">
        <v>39</v>
      </c>
      <c r="X72" s="101">
        <v>8</v>
      </c>
      <c r="Y72" s="99"/>
      <c r="Z72" s="101" t="s">
        <v>965</v>
      </c>
      <c r="AA72" s="101" t="s">
        <v>1000</v>
      </c>
      <c r="AB72" s="106"/>
      <c r="AC72" s="106">
        <f t="shared" si="0"/>
      </c>
      <c r="AD72" s="99"/>
      <c r="AE72" s="99"/>
      <c r="AF72" s="99"/>
    </row>
    <row customHeight="true" ht="33" r="73">
      <c r="A73" s="100" t="s">
        <v>1156</v>
      </c>
      <c r="B73" s="101" t="s">
        <v>958</v>
      </c>
      <c r="C73" s="101" t="s">
        <v>1157</v>
      </c>
      <c r="D73" s="101" t="s">
        <v>1158</v>
      </c>
      <c r="E73" s="102" t="s">
        <v>1159</v>
      </c>
      <c r="F73" s="103">
        <v>46099.690046296295</v>
      </c>
      <c r="G73" s="101" t="s">
        <v>1094</v>
      </c>
      <c r="H73" s="101">
        <v>1000</v>
      </c>
      <c r="I73" s="101">
        <v>1000</v>
      </c>
      <c r="J73" s="101">
        <v>999.99</v>
      </c>
      <c r="K73" s="101" t="s">
        <v>963</v>
      </c>
      <c r="L73" s="101">
        <v>94555</v>
      </c>
      <c r="M73" s="104">
        <v>10.58</v>
      </c>
      <c r="N73" s="97"/>
      <c r="O73" s="97"/>
      <c r="P73" s="97"/>
      <c r="Q73" s="97"/>
      <c r="R73" s="105">
        <v>94555</v>
      </c>
      <c r="S73" s="101" t="s">
        <v>964</v>
      </c>
      <c r="T73" s="101">
        <v>267</v>
      </c>
      <c r="U73" s="101">
        <v>6</v>
      </c>
      <c r="V73" s="101">
        <v>0</v>
      </c>
      <c r="W73" s="101">
        <v>356</v>
      </c>
      <c r="X73" s="101">
        <v>10</v>
      </c>
      <c r="Y73" s="99"/>
      <c r="Z73" s="101" t="s">
        <v>965</v>
      </c>
      <c r="AA73" s="101" t="s">
        <v>1000</v>
      </c>
      <c r="AB73" s="106"/>
      <c r="AC73" s="106">
        <f t="shared" si="0"/>
      </c>
      <c r="AD73" s="99"/>
      <c r="AE73" s="99"/>
      <c r="AF73" s="99"/>
    </row>
    <row customHeight="true" ht="33" r="74">
      <c r="A74" s="100" t="s">
        <v>1160</v>
      </c>
      <c r="B74" s="101" t="s">
        <v>958</v>
      </c>
      <c r="C74" s="101" t="s">
        <v>1161</v>
      </c>
      <c r="D74" s="101" t="s">
        <v>1162</v>
      </c>
      <c r="E74" s="102" t="s">
        <v>1163</v>
      </c>
      <c r="F74" s="103">
        <v>46099.68917824074</v>
      </c>
      <c r="G74" s="101" t="s">
        <v>962</v>
      </c>
      <c r="H74" s="101">
        <v>1000</v>
      </c>
      <c r="I74" s="101">
        <v>1000</v>
      </c>
      <c r="J74" s="101">
        <v>1000</v>
      </c>
      <c r="K74" s="101" t="s">
        <v>963</v>
      </c>
      <c r="L74" s="101">
        <v>56873</v>
      </c>
      <c r="M74" s="104">
        <v>17.58</v>
      </c>
      <c r="N74" s="97"/>
      <c r="O74" s="97"/>
      <c r="P74" s="97"/>
      <c r="Q74" s="97"/>
      <c r="R74" s="105">
        <v>56873</v>
      </c>
      <c r="S74" s="101" t="s">
        <v>964</v>
      </c>
      <c r="T74" s="101">
        <v>50</v>
      </c>
      <c r="U74" s="101">
        <v>4</v>
      </c>
      <c r="V74" s="101">
        <v>11</v>
      </c>
      <c r="W74" s="101">
        <v>687</v>
      </c>
      <c r="X74" s="101">
        <v>9</v>
      </c>
      <c r="Y74" s="99"/>
      <c r="Z74" s="101" t="s">
        <v>965</v>
      </c>
      <c r="AA74" s="101" t="s">
        <v>1000</v>
      </c>
      <c r="AB74" s="106"/>
      <c r="AC74" s="106">
        <f t="shared" si="0"/>
      </c>
      <c r="AD74" s="99"/>
      <c r="AE74" s="99"/>
      <c r="AF74" s="99"/>
    </row>
    <row customHeight="true" ht="33" r="75">
      <c r="A75" s="100" t="s">
        <v>1164</v>
      </c>
      <c r="B75" s="101" t="s">
        <v>958</v>
      </c>
      <c r="C75" s="101" t="s">
        <v>1079</v>
      </c>
      <c r="D75" s="101" t="s">
        <v>1080</v>
      </c>
      <c r="E75" s="102" t="s">
        <v>1081</v>
      </c>
      <c r="F75" s="103">
        <v>46099.75625</v>
      </c>
      <c r="G75" s="101" t="s">
        <v>1094</v>
      </c>
      <c r="H75" s="101">
        <v>10000</v>
      </c>
      <c r="I75" s="101">
        <v>10000</v>
      </c>
      <c r="J75" s="101">
        <v>9999.79</v>
      </c>
      <c r="K75" s="101" t="s">
        <v>963</v>
      </c>
      <c r="L75" s="101">
        <v>600443</v>
      </c>
      <c r="M75" s="104">
        <v>16.65</v>
      </c>
      <c r="N75" s="97"/>
      <c r="O75" s="97"/>
      <c r="P75" s="97"/>
      <c r="Q75" s="97"/>
      <c r="R75" s="105">
        <v>600443</v>
      </c>
      <c r="S75" s="101" t="s">
        <v>964</v>
      </c>
      <c r="T75" s="101">
        <v>5163</v>
      </c>
      <c r="U75" s="101">
        <v>2123</v>
      </c>
      <c r="V75" s="101">
        <v>604</v>
      </c>
      <c r="W75" s="101">
        <v>9146</v>
      </c>
      <c r="X75" s="101">
        <v>102</v>
      </c>
      <c r="Y75" s="99"/>
      <c r="Z75" s="101" t="s">
        <v>965</v>
      </c>
      <c r="AA75" s="101" t="s">
        <v>1000</v>
      </c>
      <c r="AB75" s="106"/>
      <c r="AC75" s="106">
        <f t="shared" si="0"/>
      </c>
      <c r="AD75" s="99"/>
      <c r="AE75" s="99"/>
      <c r="AF75" s="99"/>
    </row>
    <row r="76">
      <c r="A76" s="100" t="s">
        <v>1165</v>
      </c>
      <c r="B76" s="101" t="s">
        <v>958</v>
      </c>
      <c r="C76" s="101" t="s">
        <v>1166</v>
      </c>
      <c r="D76" s="101" t="s">
        <v>1167</v>
      </c>
      <c r="E76" s="102" t="s">
        <v>1168</v>
      </c>
      <c r="F76" s="103">
        <v>46101.60763888889</v>
      </c>
      <c r="G76" s="101" t="s">
        <v>962</v>
      </c>
      <c r="H76" s="101">
        <v>1000</v>
      </c>
      <c r="I76" s="101">
        <v>1000</v>
      </c>
      <c r="J76" s="101">
        <v>1000</v>
      </c>
      <c r="K76" s="101" t="s">
        <v>963</v>
      </c>
      <c r="L76" s="101">
        <v>91833</v>
      </c>
      <c r="M76" s="104">
        <v>10.89</v>
      </c>
      <c r="N76" s="97"/>
      <c r="O76" s="97"/>
      <c r="P76" s="97"/>
      <c r="Q76" s="97"/>
      <c r="R76" s="105">
        <v>91833</v>
      </c>
      <c r="S76" s="101" t="s">
        <v>964</v>
      </c>
      <c r="T76" s="101">
        <v>1143</v>
      </c>
      <c r="U76" s="101">
        <v>84</v>
      </c>
      <c r="V76" s="101">
        <v>14</v>
      </c>
      <c r="W76" s="101">
        <v>221</v>
      </c>
      <c r="X76" s="101">
        <v>12</v>
      </c>
      <c r="Y76" s="99"/>
      <c r="Z76" s="101" t="s">
        <v>965</v>
      </c>
      <c r="AA76" s="101" t="s">
        <v>1000</v>
      </c>
      <c r="AB76" s="106"/>
      <c r="AC76" s="106">
        <f t="shared" si="0"/>
      </c>
      <c r="AD76" s="99"/>
      <c r="AE76" s="99"/>
      <c r="AF76" s="99"/>
    </row>
    <row r="77">
      <c r="A77" s="100" t="s">
        <v>1169</v>
      </c>
      <c r="B77" s="101" t="s">
        <v>958</v>
      </c>
      <c r="C77" s="101" t="s">
        <v>1170</v>
      </c>
      <c r="D77" s="101" t="s">
        <v>1171</v>
      </c>
      <c r="E77" s="102" t="s">
        <v>1172</v>
      </c>
      <c r="F77" s="103">
        <v>46101.606944444444</v>
      </c>
      <c r="G77" s="101" t="s">
        <v>962</v>
      </c>
      <c r="H77" s="101">
        <v>1000</v>
      </c>
      <c r="I77" s="101">
        <v>1000</v>
      </c>
      <c r="J77" s="101">
        <v>1000</v>
      </c>
      <c r="K77" s="101" t="s">
        <v>963</v>
      </c>
      <c r="L77" s="101">
        <v>70826</v>
      </c>
      <c r="M77" s="104">
        <v>14.12</v>
      </c>
      <c r="N77" s="97"/>
      <c r="O77" s="97"/>
      <c r="P77" s="97"/>
      <c r="Q77" s="97"/>
      <c r="R77" s="105">
        <v>70826</v>
      </c>
      <c r="S77" s="101" t="s">
        <v>964</v>
      </c>
      <c r="T77" s="101">
        <v>1501</v>
      </c>
      <c r="U77" s="101">
        <v>55</v>
      </c>
      <c r="V77" s="101">
        <v>31</v>
      </c>
      <c r="W77" s="101">
        <v>45</v>
      </c>
      <c r="X77" s="101">
        <v>13</v>
      </c>
      <c r="Y77" s="99"/>
      <c r="Z77" s="101" t="s">
        <v>965</v>
      </c>
      <c r="AA77" s="101" t="s">
        <v>1000</v>
      </c>
      <c r="AB77" s="106"/>
      <c r="AC77" s="106">
        <f t="shared" si="0"/>
      </c>
      <c r="AD77" s="99"/>
      <c r="AE77" s="99"/>
      <c r="AF77" s="99"/>
    </row>
    <row r="78">
      <c r="A78" s="100" t="s">
        <v>1173</v>
      </c>
      <c r="B78" s="101" t="s">
        <v>958</v>
      </c>
      <c r="C78" s="101" t="s">
        <v>1174</v>
      </c>
      <c r="D78" s="101" t="s">
        <v>1175</v>
      </c>
      <c r="E78" s="102" t="s">
        <v>1176</v>
      </c>
      <c r="F78" s="103">
        <v>46101.60625</v>
      </c>
      <c r="G78" s="101" t="s">
        <v>962</v>
      </c>
      <c r="H78" s="101">
        <v>1000</v>
      </c>
      <c r="I78" s="101">
        <v>1000</v>
      </c>
      <c r="J78" s="101">
        <v>1000</v>
      </c>
      <c r="K78" s="101" t="s">
        <v>963</v>
      </c>
      <c r="L78" s="101">
        <v>63044</v>
      </c>
      <c r="M78" s="104">
        <v>15.86</v>
      </c>
      <c r="N78" s="97"/>
      <c r="O78" s="97"/>
      <c r="P78" s="97"/>
      <c r="Q78" s="97"/>
      <c r="R78" s="105">
        <v>63044</v>
      </c>
      <c r="S78" s="101" t="s">
        <v>964</v>
      </c>
      <c r="T78" s="101">
        <v>1345</v>
      </c>
      <c r="U78" s="101">
        <v>11</v>
      </c>
      <c r="V78" s="101">
        <v>26</v>
      </c>
      <c r="W78" s="101">
        <v>66</v>
      </c>
      <c r="X78" s="101">
        <v>7</v>
      </c>
      <c r="Y78" s="99"/>
      <c r="Z78" s="101" t="s">
        <v>965</v>
      </c>
      <c r="AA78" s="101" t="s">
        <v>1000</v>
      </c>
      <c r="AB78" s="106"/>
      <c r="AC78" s="106">
        <f t="shared" si="0"/>
      </c>
      <c r="AD78" s="99"/>
      <c r="AE78" s="99"/>
      <c r="AF78" s="99"/>
    </row>
    <row r="79">
      <c r="A79" s="100" t="s">
        <v>1177</v>
      </c>
      <c r="B79" s="101" t="s">
        <v>958</v>
      </c>
      <c r="C79" s="101" t="s">
        <v>1178</v>
      </c>
      <c r="D79" s="101" t="s">
        <v>1179</v>
      </c>
      <c r="E79" s="102" t="s">
        <v>1180</v>
      </c>
      <c r="F79" s="103">
        <v>46101.60555555556</v>
      </c>
      <c r="G79" s="101" t="s">
        <v>962</v>
      </c>
      <c r="H79" s="101">
        <v>1000</v>
      </c>
      <c r="I79" s="101">
        <v>1000</v>
      </c>
      <c r="J79" s="101">
        <v>1000</v>
      </c>
      <c r="K79" s="101" t="s">
        <v>963</v>
      </c>
      <c r="L79" s="101">
        <v>88997</v>
      </c>
      <c r="M79" s="104">
        <v>11.24</v>
      </c>
      <c r="N79" s="97"/>
      <c r="O79" s="97"/>
      <c r="P79" s="97"/>
      <c r="Q79" s="97"/>
      <c r="R79" s="105">
        <v>88997</v>
      </c>
      <c r="S79" s="101" t="s">
        <v>964</v>
      </c>
      <c r="T79" s="101">
        <v>3262</v>
      </c>
      <c r="U79" s="101">
        <v>48</v>
      </c>
      <c r="V79" s="101">
        <v>47</v>
      </c>
      <c r="W79" s="101">
        <v>82</v>
      </c>
      <c r="X79" s="101">
        <v>3</v>
      </c>
      <c r="Y79" s="99"/>
      <c r="Z79" s="101" t="s">
        <v>965</v>
      </c>
      <c r="AA79" s="101" t="s">
        <v>1000</v>
      </c>
      <c r="AB79" s="106"/>
      <c r="AC79" s="106">
        <f t="shared" si="0"/>
      </c>
      <c r="AD79" s="99"/>
      <c r="AE79" s="99"/>
      <c r="AF79" s="99"/>
    </row>
    <row r="80">
      <c r="A80" s="100" t="s">
        <v>1181</v>
      </c>
      <c r="B80" s="101" t="s">
        <v>958</v>
      </c>
      <c r="C80" s="101" t="s">
        <v>1182</v>
      </c>
      <c r="D80" s="101" t="s">
        <v>1183</v>
      </c>
      <c r="E80" s="102" t="s">
        <v>1184</v>
      </c>
      <c r="F80" s="103">
        <v>46101.61111111111</v>
      </c>
      <c r="G80" s="101" t="s">
        <v>962</v>
      </c>
      <c r="H80" s="101">
        <v>1000</v>
      </c>
      <c r="I80" s="101">
        <v>1000</v>
      </c>
      <c r="J80" s="101">
        <v>1000</v>
      </c>
      <c r="K80" s="101" t="s">
        <v>963</v>
      </c>
      <c r="L80" s="101">
        <v>64773</v>
      </c>
      <c r="M80" s="104">
        <v>15.44</v>
      </c>
      <c r="N80" s="97"/>
      <c r="O80" s="97"/>
      <c r="P80" s="97"/>
      <c r="Q80" s="97"/>
      <c r="R80" s="105">
        <v>64773</v>
      </c>
      <c r="S80" s="101" t="s">
        <v>964</v>
      </c>
      <c r="T80" s="101">
        <v>4549</v>
      </c>
      <c r="U80" s="101">
        <v>341</v>
      </c>
      <c r="V80" s="101">
        <v>85</v>
      </c>
      <c r="W80" s="101">
        <v>1854</v>
      </c>
      <c r="X80" s="101">
        <v>34</v>
      </c>
      <c r="Y80" s="99"/>
      <c r="Z80" s="101" t="s">
        <v>965</v>
      </c>
      <c r="AA80" s="101" t="s">
        <v>1000</v>
      </c>
      <c r="AB80" s="106"/>
      <c r="AC80" s="106">
        <f t="shared" si="0"/>
      </c>
      <c r="AD80" s="99"/>
      <c r="AE80" s="99"/>
      <c r="AF80" s="99"/>
    </row>
    <row customHeight="true" ht="33" r="81">
      <c r="A81" s="100" t="s">
        <v>1185</v>
      </c>
      <c r="B81" s="101" t="s">
        <v>958</v>
      </c>
      <c r="C81" s="101" t="s">
        <v>1186</v>
      </c>
      <c r="D81" s="101" t="s">
        <v>1187</v>
      </c>
      <c r="E81" s="102" t="s">
        <v>1188</v>
      </c>
      <c r="F81" s="103">
        <v>46104.680555555555</v>
      </c>
      <c r="G81" s="101" t="s">
        <v>962</v>
      </c>
      <c r="H81" s="101">
        <v>1000</v>
      </c>
      <c r="I81" s="101">
        <v>1000</v>
      </c>
      <c r="J81" s="101">
        <v>1000</v>
      </c>
      <c r="K81" s="101" t="s">
        <v>963</v>
      </c>
      <c r="L81" s="101">
        <v>52011</v>
      </c>
      <c r="M81" s="104">
        <v>19.23</v>
      </c>
      <c r="N81" s="97"/>
      <c r="O81" s="97"/>
      <c r="P81" s="97"/>
      <c r="Q81" s="97"/>
      <c r="R81" s="105">
        <v>52011</v>
      </c>
      <c r="S81" s="101" t="s">
        <v>964</v>
      </c>
      <c r="T81" s="101">
        <v>4559</v>
      </c>
      <c r="U81" s="101">
        <v>1</v>
      </c>
      <c r="V81" s="101">
        <v>97</v>
      </c>
      <c r="W81" s="101">
        <v>330</v>
      </c>
      <c r="X81" s="101">
        <v>9</v>
      </c>
      <c r="Y81" s="99"/>
      <c r="Z81" s="101" t="s">
        <v>965</v>
      </c>
      <c r="AA81" s="101" t="s">
        <v>1000</v>
      </c>
      <c r="AB81" s="106"/>
      <c r="AC81" s="106">
        <f t="shared" si="0"/>
      </c>
      <c r="AD81" s="99"/>
      <c r="AE81" s="99"/>
      <c r="AF81" s="99"/>
    </row>
    <row r="82">
      <c r="A82" s="100" t="s">
        <v>1189</v>
      </c>
      <c r="B82" s="101" t="s">
        <v>958</v>
      </c>
      <c r="C82" s="101" t="s">
        <v>1190</v>
      </c>
      <c r="D82" s="101" t="s">
        <v>1191</v>
      </c>
      <c r="E82" s="102" t="s">
        <v>1192</v>
      </c>
      <c r="F82" s="103">
        <v>46104.67986111111</v>
      </c>
      <c r="G82" s="101" t="s">
        <v>1094</v>
      </c>
      <c r="H82" s="101">
        <v>1000</v>
      </c>
      <c r="I82" s="101">
        <v>1000</v>
      </c>
      <c r="J82" s="101">
        <v>999.89</v>
      </c>
      <c r="K82" s="101" t="s">
        <v>963</v>
      </c>
      <c r="L82" s="101">
        <v>86300</v>
      </c>
      <c r="M82" s="104">
        <v>11.59</v>
      </c>
      <c r="N82" s="97"/>
      <c r="O82" s="97"/>
      <c r="P82" s="97"/>
      <c r="Q82" s="97"/>
      <c r="R82" s="105">
        <v>86300</v>
      </c>
      <c r="S82" s="101" t="s">
        <v>964</v>
      </c>
      <c r="T82" s="101">
        <v>490</v>
      </c>
      <c r="U82" s="101">
        <v>11</v>
      </c>
      <c r="V82" s="101">
        <v>3</v>
      </c>
      <c r="W82" s="101">
        <v>75</v>
      </c>
      <c r="X82" s="101">
        <v>12</v>
      </c>
      <c r="Y82" s="99"/>
      <c r="Z82" s="101" t="s">
        <v>965</v>
      </c>
      <c r="AA82" s="101" t="s">
        <v>1000</v>
      </c>
      <c r="AB82" s="106"/>
      <c r="AC82" s="106">
        <f t="shared" si="0"/>
      </c>
      <c r="AD82" s="99"/>
      <c r="AE82" s="99"/>
      <c r="AF82" s="99"/>
    </row>
    <row r="83">
      <c r="A83" s="100" t="s">
        <v>1193</v>
      </c>
      <c r="B83" s="101" t="s">
        <v>958</v>
      </c>
      <c r="C83" s="101" t="s">
        <v>1194</v>
      </c>
      <c r="D83" s="101" t="s">
        <v>1195</v>
      </c>
      <c r="E83" s="102" t="s">
        <v>1196</v>
      </c>
      <c r="F83" s="103">
        <v>46104.67916666667</v>
      </c>
      <c r="G83" s="101" t="s">
        <v>1094</v>
      </c>
      <c r="H83" s="101">
        <v>1000</v>
      </c>
      <c r="I83" s="101">
        <v>1000</v>
      </c>
      <c r="J83" s="101">
        <v>999.21</v>
      </c>
      <c r="K83" s="101" t="s">
        <v>963</v>
      </c>
      <c r="L83" s="101">
        <v>1695</v>
      </c>
      <c r="M83" s="104">
        <v>0.59</v>
      </c>
      <c r="N83" s="97"/>
      <c r="O83" s="97"/>
      <c r="P83" s="97"/>
      <c r="Q83" s="97"/>
      <c r="R83" s="105">
        <v>60844</v>
      </c>
      <c r="S83" s="101">
        <v>0.123</v>
      </c>
      <c r="T83" s="101">
        <v>1676</v>
      </c>
      <c r="U83" s="101">
        <v>10</v>
      </c>
      <c r="V83" s="101">
        <v>9</v>
      </c>
      <c r="W83" s="101">
        <v>218</v>
      </c>
      <c r="X83" s="101">
        <v>64</v>
      </c>
      <c r="Y83" s="99"/>
      <c r="Z83" s="101" t="s">
        <v>965</v>
      </c>
      <c r="AA83" s="101" t="s">
        <v>1000</v>
      </c>
      <c r="AB83" s="106"/>
      <c r="AC83" s="106">
        <f t="shared" si="0"/>
      </c>
      <c r="AD83" s="99"/>
      <c r="AE83" s="99"/>
      <c r="AF83" s="99"/>
    </row>
    <row r="84">
      <c r="A84" s="100" t="s">
        <v>1197</v>
      </c>
      <c r="B84" s="101" t="s">
        <v>958</v>
      </c>
      <c r="C84" s="101" t="s">
        <v>1198</v>
      </c>
      <c r="D84" s="101" t="s">
        <v>1199</v>
      </c>
      <c r="E84" s="102" t="s">
        <v>1200</v>
      </c>
      <c r="F84" s="103">
        <v>46104.67847222222</v>
      </c>
      <c r="G84" s="101" t="s">
        <v>962</v>
      </c>
      <c r="H84" s="101">
        <v>1000</v>
      </c>
      <c r="I84" s="101">
        <v>1000</v>
      </c>
      <c r="J84" s="101">
        <v>1000</v>
      </c>
      <c r="K84" s="101" t="s">
        <v>963</v>
      </c>
      <c r="L84" s="101">
        <v>54627</v>
      </c>
      <c r="M84" s="104">
        <v>18.31</v>
      </c>
      <c r="N84" s="97"/>
      <c r="O84" s="97"/>
      <c r="P84" s="97"/>
      <c r="Q84" s="97"/>
      <c r="R84" s="105">
        <v>54627</v>
      </c>
      <c r="S84" s="101" t="s">
        <v>964</v>
      </c>
      <c r="T84" s="101">
        <v>370</v>
      </c>
      <c r="U84" s="101">
        <v>144</v>
      </c>
      <c r="V84" s="101">
        <v>20</v>
      </c>
      <c r="W84" s="101">
        <v>419</v>
      </c>
      <c r="X84" s="101">
        <v>5</v>
      </c>
      <c r="Y84" s="99"/>
      <c r="Z84" s="101" t="s">
        <v>965</v>
      </c>
      <c r="AA84" s="101" t="s">
        <v>1000</v>
      </c>
      <c r="AB84" s="106"/>
      <c r="AC84" s="106">
        <f t="shared" si="0"/>
      </c>
      <c r="AD84" s="99"/>
      <c r="AE84" s="99"/>
      <c r="AF84" s="99"/>
    </row>
    <row customHeight="true" ht="33" r="85">
      <c r="A85" s="100" t="s">
        <v>1201</v>
      </c>
      <c r="B85" s="101" t="s">
        <v>958</v>
      </c>
      <c r="C85" s="101" t="s">
        <v>1202</v>
      </c>
      <c r="D85" s="101" t="s">
        <v>1203</v>
      </c>
      <c r="E85" s="102" t="s">
        <v>1204</v>
      </c>
      <c r="F85" s="103">
        <v>46104.68680555555</v>
      </c>
      <c r="G85" s="101" t="s">
        <v>1205</v>
      </c>
      <c r="H85" s="101">
        <v>1000</v>
      </c>
      <c r="I85" s="101">
        <v>1000</v>
      </c>
      <c r="J85" s="101">
        <v>999.63</v>
      </c>
      <c r="K85" s="101" t="s">
        <v>963</v>
      </c>
      <c r="L85" s="101">
        <v>60749</v>
      </c>
      <c r="M85" s="104">
        <v>16.46</v>
      </c>
      <c r="N85" s="97"/>
      <c r="O85" s="97"/>
      <c r="P85" s="97"/>
      <c r="Q85" s="97"/>
      <c r="R85" s="105">
        <v>60749</v>
      </c>
      <c r="S85" s="101" t="s">
        <v>964</v>
      </c>
      <c r="T85" s="101">
        <v>1513</v>
      </c>
      <c r="U85" s="101">
        <v>27</v>
      </c>
      <c r="V85" s="101">
        <v>6</v>
      </c>
      <c r="W85" s="101">
        <v>370</v>
      </c>
      <c r="X85" s="101">
        <v>21</v>
      </c>
      <c r="Y85" s="99"/>
      <c r="Z85" s="101" t="s">
        <v>965</v>
      </c>
      <c r="AA85" s="101" t="s">
        <v>1000</v>
      </c>
      <c r="AB85" s="106"/>
      <c r="AC85" s="106">
        <f t="shared" si="0"/>
      </c>
      <c r="AD85" s="99"/>
      <c r="AE85" s="99"/>
      <c r="AF85" s="99"/>
    </row>
    <row r="86">
      <c r="A86" s="100" t="s">
        <v>1206</v>
      </c>
      <c r="B86" s="101" t="s">
        <v>958</v>
      </c>
      <c r="C86" s="101" t="s">
        <v>1178</v>
      </c>
      <c r="D86" s="101" t="s">
        <v>1179</v>
      </c>
      <c r="E86" s="102" t="s">
        <v>1180</v>
      </c>
      <c r="F86" s="103">
        <v>46104.68472222222</v>
      </c>
      <c r="G86" s="101" t="s">
        <v>1094</v>
      </c>
      <c r="H86" s="101">
        <v>5000</v>
      </c>
      <c r="I86" s="101">
        <v>5000</v>
      </c>
      <c r="J86" s="101">
        <v>4998</v>
      </c>
      <c r="K86" s="101" t="s">
        <v>963</v>
      </c>
      <c r="L86" s="101">
        <v>604390</v>
      </c>
      <c r="M86" s="104">
        <v>8.27</v>
      </c>
      <c r="N86" s="97"/>
      <c r="O86" s="97"/>
      <c r="P86" s="97"/>
      <c r="Q86" s="97"/>
      <c r="R86" s="105">
        <v>604390</v>
      </c>
      <c r="S86" s="101" t="s">
        <v>964</v>
      </c>
      <c r="T86" s="101">
        <v>1252</v>
      </c>
      <c r="U86" s="101">
        <v>167</v>
      </c>
      <c r="V86" s="101">
        <v>17</v>
      </c>
      <c r="W86" s="101">
        <v>876</v>
      </c>
      <c r="X86" s="101">
        <v>20</v>
      </c>
      <c r="Y86" s="99"/>
      <c r="Z86" s="101" t="s">
        <v>965</v>
      </c>
      <c r="AA86" s="101" t="s">
        <v>1000</v>
      </c>
      <c r="AB86" s="106"/>
      <c r="AC86" s="106">
        <f t="shared" si="0"/>
      </c>
      <c r="AD86" s="99"/>
      <c r="AE86" s="99"/>
      <c r="AF86" s="99"/>
    </row>
    <row r="87">
      <c r="A87" s="100" t="s">
        <v>1207</v>
      </c>
      <c r="B87" s="101" t="s">
        <v>958</v>
      </c>
      <c r="C87" s="101" t="s">
        <v>1208</v>
      </c>
      <c r="D87" s="101" t="s">
        <v>1209</v>
      </c>
      <c r="E87" s="102" t="s">
        <v>1210</v>
      </c>
      <c r="F87" s="103">
        <v>46104.68402777778</v>
      </c>
      <c r="G87" s="101" t="s">
        <v>1094</v>
      </c>
      <c r="H87" s="101">
        <v>1000</v>
      </c>
      <c r="I87" s="101">
        <v>1000</v>
      </c>
      <c r="J87" s="101">
        <v>999.78</v>
      </c>
      <c r="K87" s="101" t="s">
        <v>963</v>
      </c>
      <c r="L87" s="101">
        <v>94784</v>
      </c>
      <c r="M87" s="104">
        <v>10.55</v>
      </c>
      <c r="N87" s="97"/>
      <c r="O87" s="97"/>
      <c r="P87" s="97"/>
      <c r="Q87" s="97"/>
      <c r="R87" s="105">
        <v>94784</v>
      </c>
      <c r="S87" s="101" t="s">
        <v>964</v>
      </c>
      <c r="T87" s="101">
        <v>537</v>
      </c>
      <c r="U87" s="101">
        <v>19</v>
      </c>
      <c r="V87" s="101">
        <v>10</v>
      </c>
      <c r="W87" s="101">
        <v>189</v>
      </c>
      <c r="X87" s="101">
        <v>14</v>
      </c>
      <c r="Y87" s="99"/>
      <c r="Z87" s="101" t="s">
        <v>965</v>
      </c>
      <c r="AA87" s="101" t="s">
        <v>1000</v>
      </c>
      <c r="AB87" s="106"/>
      <c r="AC87" s="106">
        <f t="shared" si="0"/>
      </c>
      <c r="AD87" s="99"/>
      <c r="AE87" s="99"/>
      <c r="AF87" s="99"/>
    </row>
    <row r="88">
      <c r="A88" s="100" t="s">
        <v>1211</v>
      </c>
      <c r="B88" s="101" t="s">
        <v>958</v>
      </c>
      <c r="C88" s="101" t="s">
        <v>1212</v>
      </c>
      <c r="D88" s="101" t="s">
        <v>1213</v>
      </c>
      <c r="E88" s="102" t="s">
        <v>1214</v>
      </c>
      <c r="F88" s="103">
        <v>46104.683333333334</v>
      </c>
      <c r="G88" s="101" t="s">
        <v>1205</v>
      </c>
      <c r="H88" s="101">
        <v>1000</v>
      </c>
      <c r="I88" s="101">
        <v>1000</v>
      </c>
      <c r="J88" s="101">
        <v>999.82</v>
      </c>
      <c r="K88" s="101" t="s">
        <v>963</v>
      </c>
      <c r="L88" s="101">
        <v>67746</v>
      </c>
      <c r="M88" s="104">
        <v>14.76</v>
      </c>
      <c r="N88" s="97"/>
      <c r="O88" s="97"/>
      <c r="P88" s="97"/>
      <c r="Q88" s="97"/>
      <c r="R88" s="105">
        <v>67746</v>
      </c>
      <c r="S88" s="101" t="s">
        <v>964</v>
      </c>
      <c r="T88" s="101">
        <v>8402</v>
      </c>
      <c r="U88" s="101">
        <v>95</v>
      </c>
      <c r="V88" s="101">
        <v>354</v>
      </c>
      <c r="W88" s="101">
        <v>3340</v>
      </c>
      <c r="X88" s="101">
        <v>11</v>
      </c>
      <c r="Y88" s="99"/>
      <c r="Z88" s="101" t="s">
        <v>965</v>
      </c>
      <c r="AA88" s="101" t="s">
        <v>1000</v>
      </c>
      <c r="AB88" s="106"/>
      <c r="AC88" s="106">
        <f t="shared" si="0"/>
      </c>
      <c r="AD88" s="99"/>
      <c r="AE88" s="99"/>
      <c r="AF88" s="99"/>
    </row>
    <row r="89">
      <c r="A89" s="100" t="s">
        <v>1215</v>
      </c>
      <c r="B89" s="101" t="s">
        <v>958</v>
      </c>
      <c r="C89" s="101" t="s">
        <v>1216</v>
      </c>
      <c r="D89" s="101" t="s">
        <v>1217</v>
      </c>
      <c r="E89" s="102" t="s">
        <v>1218</v>
      </c>
      <c r="F89" s="103">
        <v>46104.68194444444</v>
      </c>
      <c r="G89" s="101" t="s">
        <v>1094</v>
      </c>
      <c r="H89" s="101">
        <v>1000</v>
      </c>
      <c r="I89" s="101">
        <v>1000</v>
      </c>
      <c r="J89" s="101">
        <v>999.82</v>
      </c>
      <c r="K89" s="101" t="s">
        <v>963</v>
      </c>
      <c r="L89" s="101">
        <v>61323</v>
      </c>
      <c r="M89" s="104">
        <v>16.3</v>
      </c>
      <c r="N89" s="97"/>
      <c r="O89" s="97"/>
      <c r="P89" s="97"/>
      <c r="Q89" s="97"/>
      <c r="R89" s="105">
        <v>61323</v>
      </c>
      <c r="S89" s="101" t="s">
        <v>964</v>
      </c>
      <c r="T89" s="101">
        <v>1117</v>
      </c>
      <c r="U89" s="101">
        <v>12</v>
      </c>
      <c r="V89" s="101">
        <v>51</v>
      </c>
      <c r="W89" s="101">
        <v>81</v>
      </c>
      <c r="X89" s="101">
        <v>21</v>
      </c>
      <c r="Y89" s="99"/>
      <c r="Z89" s="101" t="s">
        <v>965</v>
      </c>
      <c r="AA89" s="101" t="s">
        <v>1000</v>
      </c>
      <c r="AB89" s="106"/>
      <c r="AC89" s="106">
        <f t="shared" si="0"/>
      </c>
      <c r="AD89" s="99"/>
      <c r="AE89" s="99"/>
      <c r="AF89" s="99"/>
    </row>
    <row r="90">
      <c r="A90" s="100" t="s">
        <v>1219</v>
      </c>
      <c r="B90" s="101" t="s">
        <v>958</v>
      </c>
      <c r="C90" s="101" t="s">
        <v>1212</v>
      </c>
      <c r="D90" s="101" t="s">
        <v>1213</v>
      </c>
      <c r="E90" s="102" t="s">
        <v>1214</v>
      </c>
      <c r="F90" s="103">
        <v>46105.61041666667</v>
      </c>
      <c r="G90" s="101" t="s">
        <v>1205</v>
      </c>
      <c r="H90" s="101">
        <v>5000</v>
      </c>
      <c r="I90" s="101">
        <v>5000</v>
      </c>
      <c r="J90" s="101">
        <v>3416.75</v>
      </c>
      <c r="K90" s="101" t="s">
        <v>963</v>
      </c>
      <c r="L90" s="101">
        <v>233224</v>
      </c>
      <c r="M90" s="104">
        <v>14.65</v>
      </c>
      <c r="N90" s="97"/>
      <c r="O90" s="97"/>
      <c r="P90" s="97"/>
      <c r="Q90" s="97"/>
      <c r="R90" s="105">
        <v>233224</v>
      </c>
      <c r="S90" s="101" t="s">
        <v>964</v>
      </c>
      <c r="T90" s="101">
        <v>33635</v>
      </c>
      <c r="U90" s="101">
        <v>1052</v>
      </c>
      <c r="V90" s="101">
        <v>2011</v>
      </c>
      <c r="W90" s="101">
        <v>14984</v>
      </c>
      <c r="X90" s="101">
        <v>51</v>
      </c>
      <c r="Y90" s="99"/>
      <c r="Z90" s="101" t="s">
        <v>965</v>
      </c>
      <c r="AA90" s="101" t="s">
        <v>1000</v>
      </c>
      <c r="AB90" s="106"/>
      <c r="AC90" s="106">
        <f t="shared" si="0"/>
      </c>
      <c r="AD90" s="99"/>
      <c r="AE90" s="99"/>
      <c r="AF90" s="99"/>
    </row>
    <row customHeight="true" ht="33" r="91">
      <c r="A91" s="100" t="s">
        <v>1220</v>
      </c>
      <c r="B91" s="101" t="s">
        <v>958</v>
      </c>
      <c r="C91" s="101" t="s">
        <v>1186</v>
      </c>
      <c r="D91" s="101" t="s">
        <v>1187</v>
      </c>
      <c r="E91" s="102" t="s">
        <v>1188</v>
      </c>
      <c r="F91" s="103">
        <v>46105.60972222222</v>
      </c>
      <c r="G91" s="101" t="s">
        <v>962</v>
      </c>
      <c r="H91" s="101">
        <v>5000</v>
      </c>
      <c r="I91" s="101">
        <v>5000</v>
      </c>
      <c r="J91" s="101">
        <v>5000</v>
      </c>
      <c r="K91" s="101" t="s">
        <v>963</v>
      </c>
      <c r="L91" s="101">
        <v>272055</v>
      </c>
      <c r="M91" s="104">
        <v>18.38</v>
      </c>
      <c r="N91" s="97"/>
      <c r="O91" s="97"/>
      <c r="P91" s="97"/>
      <c r="Q91" s="97"/>
      <c r="R91" s="105">
        <v>272055</v>
      </c>
      <c r="S91" s="101" t="s">
        <v>964</v>
      </c>
      <c r="T91" s="101">
        <v>59934</v>
      </c>
      <c r="U91" s="101">
        <v>51</v>
      </c>
      <c r="V91" s="101">
        <v>2003</v>
      </c>
      <c r="W91" s="101">
        <v>2583</v>
      </c>
      <c r="X91" s="101">
        <v>48</v>
      </c>
      <c r="Y91" s="99"/>
      <c r="Z91" s="101" t="s">
        <v>965</v>
      </c>
      <c r="AA91" s="101" t="s">
        <v>1000</v>
      </c>
      <c r="AB91" s="106"/>
      <c r="AC91" s="106">
        <f t="shared" si="0"/>
      </c>
      <c r="AD91" s="99"/>
      <c r="AE91" s="99"/>
      <c r="AF91" s="99"/>
    </row>
    <row r="92">
      <c r="A92" s="100" t="s">
        <v>1221</v>
      </c>
      <c r="B92" s="101" t="s">
        <v>958</v>
      </c>
      <c r="C92" s="101" t="s">
        <v>1222</v>
      </c>
      <c r="D92" s="101" t="s">
        <v>1223</v>
      </c>
      <c r="E92" s="102" t="s">
        <v>1224</v>
      </c>
      <c r="F92" s="103">
        <v>46105.60763888889</v>
      </c>
      <c r="G92" s="101" t="s">
        <v>962</v>
      </c>
      <c r="H92" s="101">
        <v>1000</v>
      </c>
      <c r="I92" s="101">
        <v>1000</v>
      </c>
      <c r="J92" s="101">
        <v>1000</v>
      </c>
      <c r="K92" s="101" t="s">
        <v>963</v>
      </c>
      <c r="L92" s="101">
        <v>56250</v>
      </c>
      <c r="M92" s="104">
        <v>17.78</v>
      </c>
      <c r="N92" s="97"/>
      <c r="O92" s="97"/>
      <c r="P92" s="97"/>
      <c r="Q92" s="97"/>
      <c r="R92" s="105">
        <v>56250</v>
      </c>
      <c r="S92" s="101" t="s">
        <v>964</v>
      </c>
      <c r="T92" s="101">
        <v>1680</v>
      </c>
      <c r="U92" s="101">
        <v>71</v>
      </c>
      <c r="V92" s="101">
        <v>3</v>
      </c>
      <c r="W92" s="101">
        <v>119</v>
      </c>
      <c r="X92" s="101">
        <v>19</v>
      </c>
      <c r="Y92" s="99"/>
      <c r="Z92" s="101" t="s">
        <v>965</v>
      </c>
      <c r="AA92" s="101" t="s">
        <v>1000</v>
      </c>
      <c r="AB92" s="106"/>
      <c r="AC92" s="106">
        <f t="shared" si="0"/>
      </c>
      <c r="AD92" s="99"/>
      <c r="AE92" s="99"/>
      <c r="AF92" s="99"/>
    </row>
    <row r="93">
      <c r="A93" s="100" t="s">
        <v>1225</v>
      </c>
      <c r="B93" s="101" t="s">
        <v>958</v>
      </c>
      <c r="C93" s="101" t="s">
        <v>1226</v>
      </c>
      <c r="D93" s="101" t="s">
        <v>1227</v>
      </c>
      <c r="E93" s="102" t="s">
        <v>1228</v>
      </c>
      <c r="F93" s="103">
        <v>46105.60486111111</v>
      </c>
      <c r="G93" s="101" t="s">
        <v>1229</v>
      </c>
      <c r="H93" s="101">
        <v>1000</v>
      </c>
      <c r="I93" s="101">
        <v>1000</v>
      </c>
      <c r="J93" s="101">
        <v>0</v>
      </c>
      <c r="K93" s="101" t="s">
        <v>963</v>
      </c>
      <c r="L93" s="101">
        <v>0</v>
      </c>
      <c r="M93" s="104">
        <v>0</v>
      </c>
      <c r="N93" s="97"/>
      <c r="O93" s="97"/>
      <c r="P93" s="97"/>
      <c r="Q93" s="97"/>
      <c r="R93" s="105">
        <v>0</v>
      </c>
      <c r="S93" s="101" t="s">
        <v>964</v>
      </c>
      <c r="T93" s="101">
        <v>0</v>
      </c>
      <c r="U93" s="101">
        <v>0</v>
      </c>
      <c r="V93" s="101">
        <v>0</v>
      </c>
      <c r="W93" s="101">
        <v>0</v>
      </c>
      <c r="X93" s="101">
        <v>0</v>
      </c>
      <c r="Y93" s="99"/>
      <c r="Z93" s="101" t="s">
        <v>965</v>
      </c>
      <c r="AA93" s="101" t="s">
        <v>1000</v>
      </c>
      <c r="AB93" s="106"/>
      <c r="AC93" s="106">
        <f t="shared" si="0"/>
      </c>
      <c r="AD93" s="99"/>
      <c r="AE93" s="99"/>
      <c r="AF93" s="99"/>
    </row>
    <row r="94">
      <c r="A94" s="100" t="s">
        <v>1230</v>
      </c>
      <c r="B94" s="101" t="s">
        <v>958</v>
      </c>
      <c r="C94" s="101" t="s">
        <v>1231</v>
      </c>
      <c r="D94" s="101" t="s">
        <v>1232</v>
      </c>
      <c r="E94" s="102" t="s">
        <v>1233</v>
      </c>
      <c r="F94" s="103">
        <v>46105.60277777778</v>
      </c>
      <c r="G94" s="101" t="s">
        <v>962</v>
      </c>
      <c r="H94" s="101">
        <v>1000</v>
      </c>
      <c r="I94" s="101">
        <v>1000</v>
      </c>
      <c r="J94" s="101">
        <v>1000</v>
      </c>
      <c r="K94" s="101" t="s">
        <v>963</v>
      </c>
      <c r="L94" s="101">
        <v>67849</v>
      </c>
      <c r="M94" s="104">
        <v>14.74</v>
      </c>
      <c r="N94" s="97"/>
      <c r="O94" s="97"/>
      <c r="P94" s="97"/>
      <c r="Q94" s="97"/>
      <c r="R94" s="105">
        <v>67849</v>
      </c>
      <c r="S94" s="101" t="s">
        <v>964</v>
      </c>
      <c r="T94" s="101">
        <v>2448</v>
      </c>
      <c r="U94" s="101">
        <v>46</v>
      </c>
      <c r="V94" s="101">
        <v>11</v>
      </c>
      <c r="W94" s="101">
        <v>42</v>
      </c>
      <c r="X94" s="101">
        <v>27</v>
      </c>
      <c r="Y94" s="99"/>
      <c r="Z94" s="101" t="s">
        <v>965</v>
      </c>
      <c r="AA94" s="101" t="s">
        <v>1000</v>
      </c>
      <c r="AB94" s="106"/>
      <c r="AC94" s="106">
        <f t="shared" si="0"/>
      </c>
      <c r="AD94" s="99"/>
      <c r="AE94" s="99"/>
      <c r="AF94" s="99"/>
    </row>
    <row customHeight="true" ht="33" r="95">
      <c r="A95" s="100" t="s">
        <v>1234</v>
      </c>
      <c r="B95" s="101" t="s">
        <v>958</v>
      </c>
      <c r="C95" s="101" t="s">
        <v>1235</v>
      </c>
      <c r="D95" s="101" t="s">
        <v>1236</v>
      </c>
      <c r="E95" s="102" t="s">
        <v>1237</v>
      </c>
      <c r="F95" s="103">
        <v>46106.60486111111</v>
      </c>
      <c r="G95" s="101" t="s">
        <v>962</v>
      </c>
      <c r="H95" s="101">
        <v>1000</v>
      </c>
      <c r="I95" s="101">
        <v>1000</v>
      </c>
      <c r="J95" s="101">
        <v>1000</v>
      </c>
      <c r="K95" s="101" t="s">
        <v>963</v>
      </c>
      <c r="L95" s="101">
        <v>58819</v>
      </c>
      <c r="M95" s="104">
        <v>17</v>
      </c>
      <c r="N95" s="97"/>
      <c r="O95" s="97"/>
      <c r="P95" s="97"/>
      <c r="Q95" s="97"/>
      <c r="R95" s="105">
        <v>58819</v>
      </c>
      <c r="S95" s="101" t="s">
        <v>964</v>
      </c>
      <c r="T95" s="101">
        <v>7779</v>
      </c>
      <c r="U95" s="101">
        <v>691</v>
      </c>
      <c r="V95" s="101">
        <v>203</v>
      </c>
      <c r="W95" s="101">
        <v>425</v>
      </c>
      <c r="X95" s="101">
        <v>13</v>
      </c>
      <c r="Y95" s="99"/>
      <c r="Z95" s="101" t="s">
        <v>965</v>
      </c>
      <c r="AA95" s="101" t="s">
        <v>1000</v>
      </c>
      <c r="AB95" s="106"/>
      <c r="AC95" s="106">
        <f t="shared" si="0"/>
      </c>
      <c r="AD95" s="99"/>
      <c r="AE95" s="99"/>
      <c r="AF95" s="99"/>
    </row>
    <row customHeight="true" ht="33" r="96">
      <c r="A96" s="100" t="s">
        <v>1238</v>
      </c>
      <c r="B96" s="101" t="s">
        <v>958</v>
      </c>
      <c r="C96" s="101" t="s">
        <v>1239</v>
      </c>
      <c r="D96" s="101" t="s">
        <v>1240</v>
      </c>
      <c r="E96" s="102" t="s">
        <v>1241</v>
      </c>
      <c r="F96" s="103">
        <v>46106.60486111111</v>
      </c>
      <c r="G96" s="101" t="s">
        <v>962</v>
      </c>
      <c r="H96" s="101">
        <v>1000</v>
      </c>
      <c r="I96" s="101">
        <v>1000</v>
      </c>
      <c r="J96" s="101">
        <v>1000</v>
      </c>
      <c r="K96" s="101" t="s">
        <v>963</v>
      </c>
      <c r="L96" s="101">
        <v>66983</v>
      </c>
      <c r="M96" s="104">
        <v>14.93</v>
      </c>
      <c r="N96" s="97"/>
      <c r="O96" s="97"/>
      <c r="P96" s="97"/>
      <c r="Q96" s="97"/>
      <c r="R96" s="105">
        <v>66983</v>
      </c>
      <c r="S96" s="101" t="s">
        <v>964</v>
      </c>
      <c r="T96" s="101">
        <v>7607</v>
      </c>
      <c r="U96" s="101">
        <v>172</v>
      </c>
      <c r="V96" s="101">
        <v>152</v>
      </c>
      <c r="W96" s="101">
        <v>1793</v>
      </c>
      <c r="X96" s="101">
        <v>30</v>
      </c>
      <c r="Y96" s="99"/>
      <c r="Z96" s="101" t="s">
        <v>965</v>
      </c>
      <c r="AA96" s="101" t="s">
        <v>1000</v>
      </c>
      <c r="AB96" s="106"/>
      <c r="AC96" s="106">
        <f t="shared" si="0"/>
      </c>
      <c r="AD96" s="99"/>
      <c r="AE96" s="99"/>
      <c r="AF96" s="99"/>
    </row>
    <row customHeight="true" ht="33" r="97">
      <c r="A97" s="100" t="s">
        <v>1242</v>
      </c>
      <c r="B97" s="101" t="s">
        <v>958</v>
      </c>
      <c r="C97" s="101" t="s">
        <v>1243</v>
      </c>
      <c r="D97" s="101" t="s">
        <v>1244</v>
      </c>
      <c r="E97" s="102" t="s">
        <v>1245</v>
      </c>
      <c r="F97" s="103">
        <v>46106.604166666664</v>
      </c>
      <c r="G97" s="101" t="s">
        <v>962</v>
      </c>
      <c r="H97" s="101">
        <v>1000</v>
      </c>
      <c r="I97" s="101">
        <v>1000</v>
      </c>
      <c r="J97" s="101">
        <v>1000</v>
      </c>
      <c r="K97" s="101" t="s">
        <v>963</v>
      </c>
      <c r="L97" s="101">
        <v>60140</v>
      </c>
      <c r="M97" s="104">
        <v>16.63</v>
      </c>
      <c r="N97" s="97"/>
      <c r="O97" s="97"/>
      <c r="P97" s="97"/>
      <c r="Q97" s="97"/>
      <c r="R97" s="105">
        <v>60140</v>
      </c>
      <c r="S97" s="101" t="s">
        <v>964</v>
      </c>
      <c r="T97" s="101">
        <v>5465</v>
      </c>
      <c r="U97" s="101">
        <v>115</v>
      </c>
      <c r="V97" s="101">
        <v>141</v>
      </c>
      <c r="W97" s="101">
        <v>520</v>
      </c>
      <c r="X97" s="101">
        <v>24</v>
      </c>
      <c r="Y97" s="99"/>
      <c r="Z97" s="101" t="s">
        <v>965</v>
      </c>
      <c r="AA97" s="101" t="s">
        <v>1000</v>
      </c>
      <c r="AB97" s="106"/>
      <c r="AC97" s="106">
        <f t="shared" si="0"/>
      </c>
      <c r="AD97" s="99"/>
      <c r="AE97" s="99"/>
      <c r="AF97" s="99"/>
    </row>
    <row customHeight="true" ht="33" r="98">
      <c r="A98" s="100" t="s">
        <v>1246</v>
      </c>
      <c r="B98" s="101" t="s">
        <v>958</v>
      </c>
      <c r="C98" s="101" t="s">
        <v>1247</v>
      </c>
      <c r="D98" s="101" t="s">
        <v>1248</v>
      </c>
      <c r="E98" s="102" t="s">
        <v>1249</v>
      </c>
      <c r="F98" s="103">
        <v>46106.603472222225</v>
      </c>
      <c r="G98" s="101" t="s">
        <v>962</v>
      </c>
      <c r="H98" s="101">
        <v>1000</v>
      </c>
      <c r="I98" s="101">
        <v>1000</v>
      </c>
      <c r="J98" s="101">
        <v>1000</v>
      </c>
      <c r="K98" s="101" t="s">
        <v>963</v>
      </c>
      <c r="L98" s="101">
        <v>68677</v>
      </c>
      <c r="M98" s="104">
        <v>14.56</v>
      </c>
      <c r="N98" s="97"/>
      <c r="O98" s="97"/>
      <c r="P98" s="97"/>
      <c r="Q98" s="97"/>
      <c r="R98" s="105">
        <v>68677</v>
      </c>
      <c r="S98" s="101" t="s">
        <v>964</v>
      </c>
      <c r="T98" s="101">
        <v>4121</v>
      </c>
      <c r="U98" s="101">
        <v>28</v>
      </c>
      <c r="V98" s="101">
        <v>103</v>
      </c>
      <c r="W98" s="101">
        <v>166</v>
      </c>
      <c r="X98" s="101">
        <v>13</v>
      </c>
      <c r="Y98" s="99"/>
      <c r="Z98" s="101" t="s">
        <v>965</v>
      </c>
      <c r="AA98" s="101" t="s">
        <v>1000</v>
      </c>
      <c r="AB98" s="106"/>
      <c r="AC98" s="106">
        <f t="shared" si="0"/>
      </c>
      <c r="AD98" s="99"/>
      <c r="AE98" s="99"/>
      <c r="AF98" s="99"/>
    </row>
    <row customHeight="true" ht="33" r="99">
      <c r="A99" s="100" t="s">
        <v>1250</v>
      </c>
      <c r="B99" s="101" t="s">
        <v>958</v>
      </c>
      <c r="C99" s="101" t="s">
        <v>1251</v>
      </c>
      <c r="D99" s="101" t="s">
        <v>1252</v>
      </c>
      <c r="E99" s="102" t="s">
        <v>1253</v>
      </c>
      <c r="F99" s="103">
        <v>46106.60277777778</v>
      </c>
      <c r="G99" s="101" t="s">
        <v>962</v>
      </c>
      <c r="H99" s="101">
        <v>1000</v>
      </c>
      <c r="I99" s="101">
        <v>1000</v>
      </c>
      <c r="J99" s="101">
        <v>1000</v>
      </c>
      <c r="K99" s="101" t="s">
        <v>963</v>
      </c>
      <c r="L99" s="101">
        <v>68547</v>
      </c>
      <c r="M99" s="104">
        <v>14.59</v>
      </c>
      <c r="N99" s="97"/>
      <c r="O99" s="97"/>
      <c r="P99" s="97"/>
      <c r="Q99" s="97"/>
      <c r="R99" s="105">
        <v>68547</v>
      </c>
      <c r="S99" s="101" t="s">
        <v>964</v>
      </c>
      <c r="T99" s="101">
        <v>316</v>
      </c>
      <c r="U99" s="101">
        <v>65</v>
      </c>
      <c r="V99" s="101">
        <v>8</v>
      </c>
      <c r="W99" s="101">
        <v>866</v>
      </c>
      <c r="X99" s="101">
        <v>6</v>
      </c>
      <c r="Y99" s="99"/>
      <c r="Z99" s="101" t="s">
        <v>965</v>
      </c>
      <c r="AA99" s="101" t="s">
        <v>1000</v>
      </c>
      <c r="AB99" s="106"/>
      <c r="AC99" s="106">
        <f t="shared" si="0"/>
      </c>
      <c r="AD99" s="99"/>
      <c r="AE99" s="99"/>
      <c r="AF99" s="99"/>
    </row>
    <row customHeight="true" ht="33" r="100">
      <c r="A100" s="100" t="s">
        <v>1254</v>
      </c>
      <c r="B100" s="101" t="s">
        <v>958</v>
      </c>
      <c r="C100" s="101" t="s">
        <v>1255</v>
      </c>
      <c r="D100" s="101" t="s">
        <v>1256</v>
      </c>
      <c r="E100" s="102" t="s">
        <v>1257</v>
      </c>
      <c r="F100" s="103">
        <v>46106.60277777778</v>
      </c>
      <c r="G100" s="101" t="s">
        <v>962</v>
      </c>
      <c r="H100" s="101">
        <v>1000</v>
      </c>
      <c r="I100" s="101">
        <v>1000</v>
      </c>
      <c r="J100" s="101">
        <v>1000</v>
      </c>
      <c r="K100" s="101" t="s">
        <v>963</v>
      </c>
      <c r="L100" s="101">
        <v>66968</v>
      </c>
      <c r="M100" s="104">
        <v>14.93</v>
      </c>
      <c r="N100" s="97"/>
      <c r="O100" s="97"/>
      <c r="P100" s="97"/>
      <c r="Q100" s="97"/>
      <c r="R100" s="105">
        <v>66968</v>
      </c>
      <c r="S100" s="101" t="s">
        <v>964</v>
      </c>
      <c r="T100" s="101">
        <v>2508</v>
      </c>
      <c r="U100" s="101">
        <v>39</v>
      </c>
      <c r="V100" s="101">
        <v>13</v>
      </c>
      <c r="W100" s="101">
        <v>587</v>
      </c>
      <c r="X100" s="101">
        <v>9</v>
      </c>
      <c r="Y100" s="99"/>
      <c r="Z100" s="101" t="s">
        <v>965</v>
      </c>
      <c r="AA100" s="101" t="s">
        <v>1000</v>
      </c>
      <c r="AB100" s="106"/>
      <c r="AC100" s="106">
        <f t="shared" si="0"/>
      </c>
      <c r="AD100" s="99"/>
      <c r="AE100" s="99"/>
      <c r="AF100" s="99"/>
    </row>
    <row r="101">
      <c r="A101" s="100" t="s">
        <v>1258</v>
      </c>
      <c r="B101" s="101" t="s">
        <v>958</v>
      </c>
      <c r="C101" s="101" t="s">
        <v>1259</v>
      </c>
      <c r="D101" s="101" t="s">
        <v>1260</v>
      </c>
      <c r="E101" s="102" t="s">
        <v>1261</v>
      </c>
      <c r="F101" s="103">
        <v>46108.76180555556</v>
      </c>
      <c r="G101" s="101" t="s">
        <v>962</v>
      </c>
      <c r="H101" s="101">
        <v>1000</v>
      </c>
      <c r="I101" s="101">
        <v>1000</v>
      </c>
      <c r="J101" s="101">
        <v>1000</v>
      </c>
      <c r="K101" s="101" t="s">
        <v>963</v>
      </c>
      <c r="L101" s="101">
        <v>60608</v>
      </c>
      <c r="M101" s="104">
        <v>16.5</v>
      </c>
      <c r="N101" s="97"/>
      <c r="O101" s="97"/>
      <c r="P101" s="97"/>
      <c r="Q101" s="97"/>
      <c r="R101" s="105">
        <v>60608</v>
      </c>
      <c r="S101" s="101" t="s">
        <v>964</v>
      </c>
      <c r="T101" s="101">
        <v>112</v>
      </c>
      <c r="U101" s="101">
        <v>175</v>
      </c>
      <c r="V101" s="101">
        <v>43</v>
      </c>
      <c r="W101" s="101">
        <v>2141</v>
      </c>
      <c r="X101" s="101">
        <v>3</v>
      </c>
      <c r="Y101" s="99"/>
      <c r="Z101" s="101" t="s">
        <v>965</v>
      </c>
      <c r="AA101" s="101" t="s">
        <v>1000</v>
      </c>
      <c r="AB101" s="106"/>
      <c r="AC101" s="106">
        <f t="shared" si="0"/>
      </c>
      <c r="AD101" s="99"/>
      <c r="AE101" s="99"/>
      <c r="AF101" s="99"/>
    </row>
    <row r="102">
      <c r="A102" s="100" t="s">
        <v>1262</v>
      </c>
      <c r="B102" s="101" t="s">
        <v>958</v>
      </c>
      <c r="C102" s="101" t="s">
        <v>1263</v>
      </c>
      <c r="D102" s="101" t="s">
        <v>1264</v>
      </c>
      <c r="E102" s="102" t="s">
        <v>1265</v>
      </c>
      <c r="F102" s="103">
        <v>46108.760416666664</v>
      </c>
      <c r="G102" s="101" t="s">
        <v>962</v>
      </c>
      <c r="H102" s="101">
        <v>1000</v>
      </c>
      <c r="I102" s="101">
        <v>1000</v>
      </c>
      <c r="J102" s="101">
        <v>1000</v>
      </c>
      <c r="K102" s="101" t="s">
        <v>963</v>
      </c>
      <c r="L102" s="101">
        <v>94600</v>
      </c>
      <c r="M102" s="104">
        <v>10.57</v>
      </c>
      <c r="N102" s="97"/>
      <c r="O102" s="97"/>
      <c r="P102" s="97"/>
      <c r="Q102" s="97"/>
      <c r="R102" s="105">
        <v>94600</v>
      </c>
      <c r="S102" s="101" t="s">
        <v>964</v>
      </c>
      <c r="T102" s="101">
        <v>33124</v>
      </c>
      <c r="U102" s="101">
        <v>71</v>
      </c>
      <c r="V102" s="101">
        <v>2435</v>
      </c>
      <c r="W102" s="101">
        <v>593</v>
      </c>
      <c r="X102" s="101">
        <v>33</v>
      </c>
      <c r="Y102" s="99"/>
      <c r="Z102" s="101" t="s">
        <v>965</v>
      </c>
      <c r="AA102" s="101" t="s">
        <v>1000</v>
      </c>
      <c r="AB102" s="106"/>
      <c r="AC102" s="106">
        <f t="shared" si="0"/>
      </c>
      <c r="AD102" s="99"/>
      <c r="AE102" s="99"/>
      <c r="AF102" s="99"/>
    </row>
    <row r="103">
      <c r="A103" s="100" t="s">
        <v>1266</v>
      </c>
      <c r="B103" s="101" t="s">
        <v>958</v>
      </c>
      <c r="C103" s="101" t="s">
        <v>1267</v>
      </c>
      <c r="D103" s="101" t="s">
        <v>1268</v>
      </c>
      <c r="E103" s="102" t="s">
        <v>1269</v>
      </c>
      <c r="F103" s="103">
        <v>46108.75486111111</v>
      </c>
      <c r="G103" s="101" t="s">
        <v>962</v>
      </c>
      <c r="H103" s="101">
        <v>1000</v>
      </c>
      <c r="I103" s="101">
        <v>1000</v>
      </c>
      <c r="J103" s="101">
        <v>1000</v>
      </c>
      <c r="K103" s="101" t="s">
        <v>963</v>
      </c>
      <c r="L103" s="101">
        <v>52255</v>
      </c>
      <c r="M103" s="104">
        <v>19.14</v>
      </c>
      <c r="N103" s="97"/>
      <c r="O103" s="97"/>
      <c r="P103" s="97"/>
      <c r="Q103" s="97"/>
      <c r="R103" s="105">
        <v>52255</v>
      </c>
      <c r="S103" s="101" t="s">
        <v>964</v>
      </c>
      <c r="T103" s="101">
        <v>449</v>
      </c>
      <c r="U103" s="101">
        <v>42</v>
      </c>
      <c r="V103" s="101">
        <v>10</v>
      </c>
      <c r="W103" s="101">
        <v>231</v>
      </c>
      <c r="X103" s="101">
        <v>13</v>
      </c>
      <c r="Y103" s="99"/>
      <c r="Z103" s="101" t="s">
        <v>965</v>
      </c>
      <c r="AA103" s="101" t="s">
        <v>1000</v>
      </c>
      <c r="AB103" s="106"/>
      <c r="AC103" s="106">
        <f t="shared" si="0"/>
      </c>
      <c r="AD103" s="99"/>
      <c r="AE103" s="99"/>
      <c r="AF103" s="99"/>
    </row>
    <row r="104">
      <c r="A104" s="100" t="s">
        <v>1270</v>
      </c>
      <c r="B104" s="101" t="s">
        <v>958</v>
      </c>
      <c r="C104" s="101" t="s">
        <v>1271</v>
      </c>
      <c r="D104" s="101" t="s">
        <v>1272</v>
      </c>
      <c r="E104" s="102" t="s">
        <v>1273</v>
      </c>
      <c r="F104" s="103">
        <v>46108.75277777778</v>
      </c>
      <c r="G104" s="101" t="s">
        <v>962</v>
      </c>
      <c r="H104" s="101">
        <v>1000</v>
      </c>
      <c r="I104" s="101">
        <v>1000</v>
      </c>
      <c r="J104" s="101">
        <v>1000</v>
      </c>
      <c r="K104" s="101" t="s">
        <v>963</v>
      </c>
      <c r="L104" s="101">
        <v>92616</v>
      </c>
      <c r="M104" s="104">
        <v>10.8</v>
      </c>
      <c r="N104" s="97"/>
      <c r="O104" s="97"/>
      <c r="P104" s="97"/>
      <c r="Q104" s="97"/>
      <c r="R104" s="105">
        <v>92616</v>
      </c>
      <c r="S104" s="101" t="s">
        <v>964</v>
      </c>
      <c r="T104" s="101">
        <v>5681</v>
      </c>
      <c r="U104" s="101">
        <v>36</v>
      </c>
      <c r="V104" s="101">
        <v>480</v>
      </c>
      <c r="W104" s="101">
        <v>2487</v>
      </c>
      <c r="X104" s="101">
        <v>5</v>
      </c>
      <c r="Y104" s="99"/>
      <c r="Z104" s="101" t="s">
        <v>965</v>
      </c>
      <c r="AA104" s="101" t="s">
        <v>1000</v>
      </c>
      <c r="AB104" s="106"/>
      <c r="AC104" s="106">
        <f t="shared" si="0"/>
      </c>
      <c r="AD104" s="99"/>
      <c r="AE104" s="99"/>
      <c r="AF104" s="99"/>
    </row>
    <row r="105">
      <c r="A105" s="100" t="s">
        <v>1274</v>
      </c>
      <c r="B105" s="101" t="s">
        <v>958</v>
      </c>
      <c r="C105" s="101" t="s">
        <v>1275</v>
      </c>
      <c r="D105" s="101" t="s">
        <v>1276</v>
      </c>
      <c r="E105" s="102" t="s">
        <v>1277</v>
      </c>
      <c r="F105" s="103">
        <v>46108.751388888886</v>
      </c>
      <c r="G105" s="101" t="s">
        <v>962</v>
      </c>
      <c r="H105" s="101">
        <v>1000</v>
      </c>
      <c r="I105" s="101">
        <v>1000</v>
      </c>
      <c r="J105" s="101">
        <v>1000</v>
      </c>
      <c r="K105" s="101" t="s">
        <v>963</v>
      </c>
      <c r="L105" s="101">
        <v>88391</v>
      </c>
      <c r="M105" s="104">
        <v>11.31</v>
      </c>
      <c r="N105" s="97"/>
      <c r="O105" s="97"/>
      <c r="P105" s="97"/>
      <c r="Q105" s="97"/>
      <c r="R105" s="105">
        <v>88391</v>
      </c>
      <c r="S105" s="101" t="s">
        <v>964</v>
      </c>
      <c r="T105" s="101">
        <v>2787</v>
      </c>
      <c r="U105" s="101">
        <v>9</v>
      </c>
      <c r="V105" s="101">
        <v>224</v>
      </c>
      <c r="W105" s="101">
        <v>712</v>
      </c>
      <c r="X105" s="101">
        <v>16</v>
      </c>
      <c r="Y105" s="99"/>
      <c r="Z105" s="101" t="s">
        <v>965</v>
      </c>
      <c r="AA105" s="101" t="s">
        <v>1000</v>
      </c>
      <c r="AB105" s="106"/>
      <c r="AC105" s="106">
        <f t="shared" si="0"/>
      </c>
      <c r="AD105" s="99"/>
      <c r="AE105" s="99"/>
      <c r="AF105" s="99"/>
    </row>
    <row customHeight="true" ht="33" r="106">
      <c r="A106" s="100" t="s">
        <v>1278</v>
      </c>
      <c r="B106" s="101" t="s">
        <v>958</v>
      </c>
      <c r="C106" s="101" t="s">
        <v>1235</v>
      </c>
      <c r="D106" s="101" t="s">
        <v>1236</v>
      </c>
      <c r="E106" s="102" t="s">
        <v>1237</v>
      </c>
      <c r="F106" s="103">
        <v>46108.77013888889</v>
      </c>
      <c r="G106" s="101" t="s">
        <v>1094</v>
      </c>
      <c r="H106" s="101">
        <v>10000</v>
      </c>
      <c r="I106" s="101">
        <v>10000</v>
      </c>
      <c r="J106" s="101">
        <v>9999.74</v>
      </c>
      <c r="K106" s="101" t="s">
        <v>963</v>
      </c>
      <c r="L106" s="101">
        <v>556434</v>
      </c>
      <c r="M106" s="104">
        <v>17.97</v>
      </c>
      <c r="N106" s="97"/>
      <c r="O106" s="97"/>
      <c r="P106" s="97"/>
      <c r="Q106" s="97"/>
      <c r="R106" s="105">
        <v>556434</v>
      </c>
      <c r="S106" s="101" t="s">
        <v>964</v>
      </c>
      <c r="T106" s="101">
        <v>56898</v>
      </c>
      <c r="U106" s="101">
        <v>1179</v>
      </c>
      <c r="V106" s="101">
        <v>2778</v>
      </c>
      <c r="W106" s="101">
        <v>1285</v>
      </c>
      <c r="X106" s="101">
        <v>95</v>
      </c>
      <c r="Y106" s="99"/>
      <c r="Z106" s="101" t="s">
        <v>965</v>
      </c>
      <c r="AA106" s="101" t="s">
        <v>1000</v>
      </c>
      <c r="AB106" s="106"/>
      <c r="AC106" s="106">
        <f t="shared" si="0"/>
      </c>
      <c r="AD106" s="99"/>
      <c r="AE106" s="99"/>
      <c r="AF106" s="99"/>
      <c r="AG106" s="107"/>
      <c r="AH106" s="107"/>
      <c r="AI106" s="107"/>
      <c r="AJ106" s="107"/>
    </row>
    <row customHeight="true" ht="33" r="107">
      <c r="A107" s="100" t="s">
        <v>1279</v>
      </c>
      <c r="B107" s="101" t="s">
        <v>958</v>
      </c>
      <c r="C107" s="101" t="s">
        <v>1239</v>
      </c>
      <c r="D107" s="101" t="s">
        <v>1240</v>
      </c>
      <c r="E107" s="102" t="s">
        <v>1241</v>
      </c>
      <c r="F107" s="103">
        <v>46108.76736111111</v>
      </c>
      <c r="G107" s="101" t="s">
        <v>962</v>
      </c>
      <c r="H107" s="101">
        <v>10000</v>
      </c>
      <c r="I107" s="101">
        <v>10000</v>
      </c>
      <c r="J107" s="101">
        <v>10000</v>
      </c>
      <c r="K107" s="101" t="s">
        <v>963</v>
      </c>
      <c r="L107" s="101">
        <v>545033</v>
      </c>
      <c r="M107" s="104">
        <v>18.35</v>
      </c>
      <c r="N107" s="97"/>
      <c r="O107" s="97"/>
      <c r="P107" s="97"/>
      <c r="Q107" s="97"/>
      <c r="R107" s="105">
        <v>545033</v>
      </c>
      <c r="S107" s="101" t="s">
        <v>964</v>
      </c>
      <c r="T107" s="101">
        <v>19895</v>
      </c>
      <c r="U107" s="101">
        <v>275</v>
      </c>
      <c r="V107" s="101">
        <v>458</v>
      </c>
      <c r="W107" s="101">
        <v>8781</v>
      </c>
      <c r="X107" s="101">
        <v>93</v>
      </c>
      <c r="Y107" s="99"/>
      <c r="Z107" s="101" t="s">
        <v>965</v>
      </c>
      <c r="AA107" s="101" t="s">
        <v>1000</v>
      </c>
      <c r="AB107" s="106"/>
      <c r="AC107" s="106">
        <f t="shared" si="0"/>
      </c>
      <c r="AD107" s="99"/>
      <c r="AE107" s="99"/>
      <c r="AF107" s="99"/>
      <c r="AG107" s="107"/>
      <c r="AH107" s="107"/>
      <c r="AI107" s="107"/>
      <c r="AJ107" s="107"/>
    </row>
    <row customHeight="true" ht="33" r="108">
      <c r="A108" s="100" t="s">
        <v>1280</v>
      </c>
      <c r="B108" s="101" t="s">
        <v>958</v>
      </c>
      <c r="C108" s="101" t="s">
        <v>1231</v>
      </c>
      <c r="D108" s="101" t="s">
        <v>1232</v>
      </c>
      <c r="E108" s="102" t="s">
        <v>1233</v>
      </c>
      <c r="F108" s="103">
        <v>46108.76666666667</v>
      </c>
      <c r="G108" s="101" t="s">
        <v>962</v>
      </c>
      <c r="H108" s="101">
        <v>10000</v>
      </c>
      <c r="I108" s="101">
        <v>10000</v>
      </c>
      <c r="J108" s="101">
        <v>10000</v>
      </c>
      <c r="K108" s="101" t="s">
        <v>963</v>
      </c>
      <c r="L108" s="101">
        <v>527326</v>
      </c>
      <c r="M108" s="104">
        <v>18.96</v>
      </c>
      <c r="N108" s="97"/>
      <c r="O108" s="97"/>
      <c r="P108" s="97"/>
      <c r="Q108" s="97"/>
      <c r="R108" s="105">
        <v>527326</v>
      </c>
      <c r="S108" s="101" t="s">
        <v>964</v>
      </c>
      <c r="T108" s="101">
        <v>1350</v>
      </c>
      <c r="U108" s="101">
        <v>52</v>
      </c>
      <c r="V108" s="101">
        <v>83</v>
      </c>
      <c r="W108" s="101">
        <v>461</v>
      </c>
      <c r="X108" s="101">
        <v>32</v>
      </c>
      <c r="Y108" s="99"/>
      <c r="Z108" s="101" t="s">
        <v>965</v>
      </c>
      <c r="AA108" s="101" t="s">
        <v>1000</v>
      </c>
      <c r="AB108" s="106"/>
      <c r="AC108" s="106">
        <f t="shared" si="0"/>
      </c>
      <c r="AD108" s="99"/>
      <c r="AE108" s="99"/>
      <c r="AF108" s="99"/>
      <c r="AG108" s="107"/>
      <c r="AH108" s="107"/>
      <c r="AI108" s="107"/>
      <c r="AJ108" s="107"/>
    </row>
    <row customHeight="true" ht="33" r="109">
      <c r="A109" s="100" t="s">
        <v>1281</v>
      </c>
      <c r="B109" s="101" t="s">
        <v>958</v>
      </c>
      <c r="C109" s="101" t="s">
        <v>1212</v>
      </c>
      <c r="D109" s="101" t="s">
        <v>1213</v>
      </c>
      <c r="E109" s="102" t="s">
        <v>1214</v>
      </c>
      <c r="F109" s="103">
        <v>46108.76527777778</v>
      </c>
      <c r="G109" s="101" t="s">
        <v>962</v>
      </c>
      <c r="H109" s="101">
        <v>10000</v>
      </c>
      <c r="I109" s="101">
        <v>10000</v>
      </c>
      <c r="J109" s="101">
        <v>10000</v>
      </c>
      <c r="K109" s="101" t="s">
        <v>963</v>
      </c>
      <c r="L109" s="101">
        <v>625311</v>
      </c>
      <c r="M109" s="104">
        <v>15.99</v>
      </c>
      <c r="N109" s="97"/>
      <c r="O109" s="97"/>
      <c r="P109" s="97"/>
      <c r="Q109" s="97"/>
      <c r="R109" s="105">
        <v>625311</v>
      </c>
      <c r="S109" s="101" t="s">
        <v>964</v>
      </c>
      <c r="T109" s="101">
        <v>36274</v>
      </c>
      <c r="U109" s="101">
        <v>1270</v>
      </c>
      <c r="V109" s="101">
        <v>4908</v>
      </c>
      <c r="W109" s="101">
        <v>22514</v>
      </c>
      <c r="X109" s="101">
        <v>102</v>
      </c>
      <c r="Y109" s="99"/>
      <c r="Z109" s="101" t="s">
        <v>965</v>
      </c>
      <c r="AA109" s="101" t="s">
        <v>1000</v>
      </c>
      <c r="AB109" s="106"/>
      <c r="AC109" s="106">
        <f t="shared" si="0"/>
      </c>
      <c r="AD109" s="99"/>
      <c r="AE109" s="99"/>
      <c r="AF109" s="99"/>
      <c r="AG109" s="107"/>
      <c r="AH109" s="107"/>
      <c r="AI109" s="107"/>
      <c r="AJ109" s="107"/>
    </row>
    <row customHeight="true" ht="33" r="110">
      <c r="A110" s="100" t="s">
        <v>1282</v>
      </c>
      <c r="B110" s="101" t="s">
        <v>958</v>
      </c>
      <c r="C110" s="101" t="s">
        <v>1186</v>
      </c>
      <c r="D110" s="101" t="s">
        <v>1187</v>
      </c>
      <c r="E110" s="102" t="s">
        <v>1188</v>
      </c>
      <c r="F110" s="103">
        <v>46108.76388888889</v>
      </c>
      <c r="G110" s="101" t="s">
        <v>962</v>
      </c>
      <c r="H110" s="101">
        <v>10000</v>
      </c>
      <c r="I110" s="101">
        <v>10000</v>
      </c>
      <c r="J110" s="101">
        <v>10000</v>
      </c>
      <c r="K110" s="101" t="s">
        <v>963</v>
      </c>
      <c r="L110" s="101">
        <v>653353</v>
      </c>
      <c r="M110" s="104">
        <v>15.31</v>
      </c>
      <c r="N110" s="97"/>
      <c r="O110" s="97"/>
      <c r="P110" s="97"/>
      <c r="Q110" s="97"/>
      <c r="R110" s="105">
        <v>653353</v>
      </c>
      <c r="S110" s="101" t="s">
        <v>964</v>
      </c>
      <c r="T110" s="101">
        <v>53567</v>
      </c>
      <c r="U110" s="101">
        <v>77</v>
      </c>
      <c r="V110" s="101">
        <v>3452</v>
      </c>
      <c r="W110" s="101">
        <v>5837</v>
      </c>
      <c r="X110" s="101">
        <v>119</v>
      </c>
      <c r="Y110" s="99"/>
      <c r="Z110" s="101" t="s">
        <v>965</v>
      </c>
      <c r="AA110" s="101" t="s">
        <v>1000</v>
      </c>
      <c r="AB110" s="106"/>
      <c r="AC110" s="106">
        <f t="shared" si="0"/>
      </c>
      <c r="AD110" s="99"/>
      <c r="AE110" s="99"/>
      <c r="AF110" s="99"/>
      <c r="AG110" s="107"/>
      <c r="AH110" s="107"/>
      <c r="AI110" s="107"/>
      <c r="AJ110" s="107"/>
    </row>
    <row customHeight="true" ht="33" r="111">
      <c r="A111" s="100" t="s">
        <v>1283</v>
      </c>
      <c r="B111" s="101" t="s">
        <v>958</v>
      </c>
      <c r="C111" s="101" t="s">
        <v>1284</v>
      </c>
      <c r="D111" s="101" t="s">
        <v>1285</v>
      </c>
      <c r="E111" s="102" t="s">
        <v>1286</v>
      </c>
      <c r="F111" s="103">
        <v>46111.75277777778</v>
      </c>
      <c r="G111" s="101" t="s">
        <v>962</v>
      </c>
      <c r="H111" s="101">
        <v>1000</v>
      </c>
      <c r="I111" s="101">
        <v>1000</v>
      </c>
      <c r="J111" s="101">
        <v>1000</v>
      </c>
      <c r="K111" s="101" t="s">
        <v>963</v>
      </c>
      <c r="L111" s="101">
        <v>52857</v>
      </c>
      <c r="M111" s="104">
        <v>18.92</v>
      </c>
      <c r="N111" s="97"/>
      <c r="O111" s="97"/>
      <c r="P111" s="97"/>
      <c r="Q111" s="97"/>
      <c r="R111" s="105">
        <v>52857</v>
      </c>
      <c r="S111" s="101" t="s">
        <v>964</v>
      </c>
      <c r="T111" s="101">
        <v>1359</v>
      </c>
      <c r="U111" s="101">
        <v>22</v>
      </c>
      <c r="V111" s="101">
        <v>1029</v>
      </c>
      <c r="W111" s="101">
        <v>164</v>
      </c>
      <c r="X111" s="101">
        <v>5</v>
      </c>
      <c r="Y111" s="99"/>
      <c r="Z111" s="101" t="s">
        <v>965</v>
      </c>
      <c r="AA111" s="101" t="s">
        <v>1000</v>
      </c>
      <c r="AB111" s="106"/>
      <c r="AC111" s="106">
        <f t="shared" si="0"/>
      </c>
      <c r="AD111" s="99"/>
      <c r="AE111" s="99"/>
      <c r="AF111" s="99"/>
      <c r="AG111" s="107"/>
      <c r="AH111" s="107"/>
      <c r="AI111" s="107"/>
      <c r="AJ111" s="107"/>
    </row>
    <row r="112">
      <c r="A112" s="100" t="s">
        <v>1287</v>
      </c>
      <c r="B112" s="101" t="s">
        <v>958</v>
      </c>
      <c r="C112" s="101" t="s">
        <v>1288</v>
      </c>
      <c r="D112" s="101" t="s">
        <v>1289</v>
      </c>
      <c r="E112" s="102" t="s">
        <v>1290</v>
      </c>
      <c r="F112" s="103">
        <v>46111.75208333333</v>
      </c>
      <c r="G112" s="101" t="s">
        <v>962</v>
      </c>
      <c r="H112" s="101">
        <v>1000</v>
      </c>
      <c r="I112" s="101">
        <v>1000</v>
      </c>
      <c r="J112" s="101">
        <v>1000</v>
      </c>
      <c r="K112" s="101" t="s">
        <v>963</v>
      </c>
      <c r="L112" s="101">
        <v>139096</v>
      </c>
      <c r="M112" s="104">
        <v>7.19</v>
      </c>
      <c r="N112" s="97"/>
      <c r="O112" s="97"/>
      <c r="P112" s="97"/>
      <c r="Q112" s="97"/>
      <c r="R112" s="105">
        <v>139096</v>
      </c>
      <c r="S112" s="101" t="s">
        <v>964</v>
      </c>
      <c r="T112" s="101">
        <v>8223</v>
      </c>
      <c r="U112" s="101">
        <v>55</v>
      </c>
      <c r="V112" s="101">
        <v>655</v>
      </c>
      <c r="W112" s="101">
        <v>5147</v>
      </c>
      <c r="X112" s="101">
        <v>11</v>
      </c>
      <c r="Y112" s="99"/>
      <c r="Z112" s="101" t="s">
        <v>965</v>
      </c>
      <c r="AA112" s="101" t="s">
        <v>1000</v>
      </c>
      <c r="AB112" s="106"/>
      <c r="AC112" s="106">
        <f t="shared" si="0"/>
      </c>
      <c r="AD112" s="99"/>
      <c r="AE112" s="99"/>
      <c r="AF112" s="99"/>
      <c r="AG112" s="107"/>
      <c r="AH112" s="107"/>
      <c r="AI112" s="107"/>
      <c r="AJ112" s="107"/>
    </row>
    <row r="113">
      <c r="A113" s="100" t="s">
        <v>1291</v>
      </c>
      <c r="B113" s="101" t="s">
        <v>958</v>
      </c>
      <c r="C113" s="101" t="s">
        <v>1292</v>
      </c>
      <c r="D113" s="101" t="s">
        <v>1293</v>
      </c>
      <c r="E113" s="102" t="s">
        <v>1294</v>
      </c>
      <c r="F113" s="103">
        <v>46111.74652777778</v>
      </c>
      <c r="G113" s="101" t="s">
        <v>962</v>
      </c>
      <c r="H113" s="101">
        <v>1000</v>
      </c>
      <c r="I113" s="101">
        <v>1000</v>
      </c>
      <c r="J113" s="101">
        <v>1000</v>
      </c>
      <c r="K113" s="101" t="s">
        <v>963</v>
      </c>
      <c r="L113" s="101">
        <v>80508</v>
      </c>
      <c r="M113" s="104">
        <v>12.42</v>
      </c>
      <c r="N113" s="97"/>
      <c r="O113" s="97"/>
      <c r="P113" s="97"/>
      <c r="Q113" s="97"/>
      <c r="R113" s="105">
        <v>80508</v>
      </c>
      <c r="S113" s="101" t="s">
        <v>964</v>
      </c>
      <c r="T113" s="101">
        <v>1644</v>
      </c>
      <c r="U113" s="101">
        <v>39</v>
      </c>
      <c r="V113" s="101">
        <v>15</v>
      </c>
      <c r="W113" s="101">
        <v>1896</v>
      </c>
      <c r="X113" s="101">
        <v>9</v>
      </c>
      <c r="Y113" s="99"/>
      <c r="Z113" s="101" t="s">
        <v>965</v>
      </c>
      <c r="AA113" s="101" t="s">
        <v>1000</v>
      </c>
      <c r="AB113" s="106"/>
      <c r="AC113" s="106">
        <f t="shared" si="0"/>
      </c>
      <c r="AD113" s="99"/>
      <c r="AE113" s="99"/>
      <c r="AF113" s="99"/>
      <c r="AG113" s="107"/>
      <c r="AH113" s="107"/>
      <c r="AI113" s="107"/>
      <c r="AJ113" s="107"/>
    </row>
    <row customHeight="true" ht="33" r="114">
      <c r="A114" s="100" t="s">
        <v>1295</v>
      </c>
      <c r="B114" s="101" t="s">
        <v>958</v>
      </c>
      <c r="C114" s="101" t="s">
        <v>1296</v>
      </c>
      <c r="D114" s="101" t="s">
        <v>1297</v>
      </c>
      <c r="E114" s="102" t="s">
        <v>1298</v>
      </c>
      <c r="F114" s="103">
        <v>46111.75486111111</v>
      </c>
      <c r="G114" s="101" t="s">
        <v>962</v>
      </c>
      <c r="H114" s="101">
        <v>1000</v>
      </c>
      <c r="I114" s="101">
        <v>1000</v>
      </c>
      <c r="J114" s="101">
        <v>1000</v>
      </c>
      <c r="K114" s="101" t="s">
        <v>963</v>
      </c>
      <c r="L114" s="101">
        <v>73407</v>
      </c>
      <c r="M114" s="104">
        <v>13.62</v>
      </c>
      <c r="N114" s="97"/>
      <c r="O114" s="97"/>
      <c r="P114" s="97"/>
      <c r="Q114" s="97"/>
      <c r="R114" s="105">
        <v>73407</v>
      </c>
      <c r="S114" s="101" t="s">
        <v>964</v>
      </c>
      <c r="T114" s="101">
        <v>3580</v>
      </c>
      <c r="U114" s="101">
        <v>36</v>
      </c>
      <c r="V114" s="101">
        <v>106</v>
      </c>
      <c r="W114" s="101">
        <v>359</v>
      </c>
      <c r="X114" s="101">
        <v>8</v>
      </c>
      <c r="Y114" s="99"/>
      <c r="Z114" s="101" t="s">
        <v>965</v>
      </c>
      <c r="AA114" s="101" t="s">
        <v>1000</v>
      </c>
      <c r="AB114" s="106"/>
      <c r="AC114" s="106">
        <f t="shared" si="0"/>
      </c>
      <c r="AD114" s="99"/>
      <c r="AE114" s="99"/>
      <c r="AF114" s="99"/>
      <c r="AG114" s="107"/>
      <c r="AH114" s="107"/>
      <c r="AI114" s="107"/>
      <c r="AJ114" s="107"/>
    </row>
    <row customHeight="true" ht="33" r="115">
      <c r="A115" s="100" t="s">
        <v>1299</v>
      </c>
      <c r="B115" s="101" t="s">
        <v>958</v>
      </c>
      <c r="C115" s="101" t="s">
        <v>1300</v>
      </c>
      <c r="D115" s="101" t="s">
        <v>1301</v>
      </c>
      <c r="E115" s="102" t="s">
        <v>1302</v>
      </c>
      <c r="F115" s="103">
        <v>46111.75347222222</v>
      </c>
      <c r="G115" s="101" t="s">
        <v>962</v>
      </c>
      <c r="H115" s="101">
        <v>1000</v>
      </c>
      <c r="I115" s="101">
        <v>1000</v>
      </c>
      <c r="J115" s="101">
        <v>1000</v>
      </c>
      <c r="K115" s="101" t="s">
        <v>963</v>
      </c>
      <c r="L115" s="101">
        <v>60701</v>
      </c>
      <c r="M115" s="104">
        <v>16.47</v>
      </c>
      <c r="N115" s="97"/>
      <c r="O115" s="97"/>
      <c r="P115" s="97"/>
      <c r="Q115" s="97"/>
      <c r="R115" s="105">
        <v>60701</v>
      </c>
      <c r="S115" s="101" t="s">
        <v>964</v>
      </c>
      <c r="T115" s="101">
        <v>1681</v>
      </c>
      <c r="U115" s="101">
        <v>56</v>
      </c>
      <c r="V115" s="101">
        <v>19</v>
      </c>
      <c r="W115" s="101">
        <v>156</v>
      </c>
      <c r="X115" s="101">
        <v>11</v>
      </c>
      <c r="Y115" s="99"/>
      <c r="Z115" s="101" t="s">
        <v>965</v>
      </c>
      <c r="AA115" s="101" t="s">
        <v>1000</v>
      </c>
      <c r="AB115" s="106"/>
      <c r="AC115" s="106">
        <f t="shared" si="0"/>
      </c>
      <c r="AD115" s="99"/>
      <c r="AE115" s="99"/>
      <c r="AF115" s="99"/>
      <c r="AG115" s="107"/>
      <c r="AH115" s="107"/>
      <c r="AI115" s="107"/>
      <c r="AJ115" s="107"/>
    </row>
    <row customHeight="true" ht="33" r="116">
      <c r="A116" s="100" t="s">
        <v>1303</v>
      </c>
      <c r="B116" s="101" t="s">
        <v>958</v>
      </c>
      <c r="C116" s="101" t="s">
        <v>1304</v>
      </c>
      <c r="D116" s="101" t="s">
        <v>1305</v>
      </c>
      <c r="E116" s="102" t="s">
        <v>1306</v>
      </c>
      <c r="F116" s="103">
        <v>46111.75486111111</v>
      </c>
      <c r="G116" s="101" t="s">
        <v>962</v>
      </c>
      <c r="H116" s="101">
        <v>1000</v>
      </c>
      <c r="I116" s="101">
        <v>1000</v>
      </c>
      <c r="J116" s="101">
        <v>1000</v>
      </c>
      <c r="K116" s="101" t="s">
        <v>963</v>
      </c>
      <c r="L116" s="101">
        <v>62022</v>
      </c>
      <c r="M116" s="104">
        <v>16.12</v>
      </c>
      <c r="N116" s="97"/>
      <c r="O116" s="97"/>
      <c r="P116" s="97"/>
      <c r="Q116" s="97"/>
      <c r="R116" s="105">
        <v>62022</v>
      </c>
      <c r="S116" s="101" t="s">
        <v>964</v>
      </c>
      <c r="T116" s="101">
        <v>163</v>
      </c>
      <c r="U116" s="101">
        <v>7</v>
      </c>
      <c r="V116" s="101">
        <v>3</v>
      </c>
      <c r="W116" s="101">
        <v>60</v>
      </c>
      <c r="X116" s="101">
        <v>5</v>
      </c>
      <c r="Y116" s="99"/>
      <c r="Z116" s="101" t="s">
        <v>965</v>
      </c>
      <c r="AA116" s="101" t="s">
        <v>1000</v>
      </c>
      <c r="AB116" s="106"/>
      <c r="AC116" s="106">
        <f t="shared" si="0"/>
      </c>
      <c r="AD116" s="99"/>
      <c r="AE116" s="99"/>
      <c r="AF116" s="99"/>
      <c r="AG116" s="107"/>
      <c r="AH116" s="107"/>
      <c r="AI116" s="107"/>
      <c r="AJ116" s="107"/>
    </row>
    <row customHeight="true" ht="33" r="117">
      <c r="A117" s="100" t="s">
        <v>1307</v>
      </c>
      <c r="B117" s="101" t="s">
        <v>958</v>
      </c>
      <c r="C117" s="101" t="s">
        <v>1263</v>
      </c>
      <c r="D117" s="101" t="s">
        <v>1264</v>
      </c>
      <c r="E117" s="102" t="s">
        <v>1265</v>
      </c>
      <c r="F117" s="103">
        <v>46111.756944444445</v>
      </c>
      <c r="G117" s="101" t="s">
        <v>962</v>
      </c>
      <c r="H117" s="101">
        <v>10000</v>
      </c>
      <c r="I117" s="101">
        <v>10000</v>
      </c>
      <c r="J117" s="101">
        <v>10000</v>
      </c>
      <c r="K117" s="101" t="s">
        <v>963</v>
      </c>
      <c r="L117" s="101">
        <v>522046</v>
      </c>
      <c r="M117" s="104">
        <v>19.16</v>
      </c>
      <c r="N117" s="97"/>
      <c r="O117" s="97"/>
      <c r="P117" s="97"/>
      <c r="Q117" s="97"/>
      <c r="R117" s="105">
        <v>522046</v>
      </c>
      <c r="S117" s="101" t="s">
        <v>964</v>
      </c>
      <c r="T117" s="101">
        <v>117054</v>
      </c>
      <c r="U117" s="101">
        <v>482</v>
      </c>
      <c r="V117" s="101">
        <v>15842</v>
      </c>
      <c r="W117" s="101">
        <v>3996</v>
      </c>
      <c r="X117" s="101">
        <v>155</v>
      </c>
      <c r="Y117" s="99"/>
      <c r="Z117" s="101" t="s">
        <v>965</v>
      </c>
      <c r="AA117" s="101" t="s">
        <v>1000</v>
      </c>
      <c r="AB117" s="106"/>
      <c r="AC117" s="106">
        <f t="shared" si="0"/>
      </c>
      <c r="AD117" s="99"/>
      <c r="AE117" s="99"/>
      <c r="AF117" s="99"/>
      <c r="AG117" s="107"/>
      <c r="AH117" s="107"/>
      <c r="AI117" s="107"/>
      <c r="AJ117" s="107"/>
    </row>
    <row customHeight="true" ht="33" r="118">
      <c r="A118" s="100" t="s">
        <v>1308</v>
      </c>
      <c r="B118" s="101" t="s">
        <v>958</v>
      </c>
      <c r="C118" s="101" t="s">
        <v>1309</v>
      </c>
      <c r="D118" s="101" t="s">
        <v>1310</v>
      </c>
      <c r="E118" s="102" t="s">
        <v>1311</v>
      </c>
      <c r="F118" s="103">
        <v>46112.70208333333</v>
      </c>
      <c r="G118" s="101" t="s">
        <v>962</v>
      </c>
      <c r="H118" s="101">
        <v>1000</v>
      </c>
      <c r="I118" s="101">
        <v>1000</v>
      </c>
      <c r="J118" s="101">
        <v>1000</v>
      </c>
      <c r="K118" s="101" t="s">
        <v>963</v>
      </c>
      <c r="L118" s="101">
        <v>57509</v>
      </c>
      <c r="M118" s="104">
        <v>17.39</v>
      </c>
      <c r="N118" s="97"/>
      <c r="O118" s="97"/>
      <c r="P118" s="97"/>
      <c r="Q118" s="97"/>
      <c r="R118" s="105">
        <v>57509</v>
      </c>
      <c r="S118" s="101" t="s">
        <v>964</v>
      </c>
      <c r="T118" s="101">
        <v>5406</v>
      </c>
      <c r="U118" s="101">
        <v>54</v>
      </c>
      <c r="V118" s="101">
        <v>161</v>
      </c>
      <c r="W118" s="101">
        <v>192</v>
      </c>
      <c r="X118" s="101">
        <v>16</v>
      </c>
      <c r="Y118" s="99"/>
      <c r="Z118" s="101" t="s">
        <v>965</v>
      </c>
      <c r="AA118" s="101" t="s">
        <v>1000</v>
      </c>
      <c r="AB118" s="106"/>
      <c r="AC118" s="106">
        <f t="shared" si="0"/>
      </c>
      <c r="AD118" s="99"/>
      <c r="AE118" s="99"/>
      <c r="AF118" s="99"/>
      <c r="AG118" s="107"/>
      <c r="AH118" s="107"/>
      <c r="AI118" s="107"/>
      <c r="AJ118" s="107"/>
    </row>
    <row customHeight="true" ht="33" r="119">
      <c r="A119" s="100" t="s">
        <v>1312</v>
      </c>
      <c r="B119" s="101" t="s">
        <v>958</v>
      </c>
      <c r="C119" s="101" t="s">
        <v>1313</v>
      </c>
      <c r="D119" s="101" t="s">
        <v>1314</v>
      </c>
      <c r="E119" s="102" t="s">
        <v>1315</v>
      </c>
      <c r="F119" s="103">
        <v>46112.700694444444</v>
      </c>
      <c r="G119" s="101" t="s">
        <v>962</v>
      </c>
      <c r="H119" s="101">
        <v>1000</v>
      </c>
      <c r="I119" s="101">
        <v>1000</v>
      </c>
      <c r="J119" s="101">
        <v>1000</v>
      </c>
      <c r="K119" s="101" t="s">
        <v>963</v>
      </c>
      <c r="L119" s="101">
        <v>52071</v>
      </c>
      <c r="M119" s="104">
        <v>19.2</v>
      </c>
      <c r="N119" s="97"/>
      <c r="O119" s="97"/>
      <c r="P119" s="97"/>
      <c r="Q119" s="97"/>
      <c r="R119" s="105">
        <v>52071</v>
      </c>
      <c r="S119" s="101" t="s">
        <v>964</v>
      </c>
      <c r="T119" s="101">
        <v>262</v>
      </c>
      <c r="U119" s="101">
        <v>9</v>
      </c>
      <c r="V119" s="101">
        <v>1</v>
      </c>
      <c r="W119" s="101">
        <v>95</v>
      </c>
      <c r="X119" s="101">
        <v>13</v>
      </c>
      <c r="Y119" s="99"/>
      <c r="Z119" s="101" t="s">
        <v>965</v>
      </c>
      <c r="AA119" s="101" t="s">
        <v>1000</v>
      </c>
      <c r="AB119" s="106"/>
      <c r="AC119" s="106">
        <f t="shared" si="0"/>
      </c>
      <c r="AD119" s="99"/>
      <c r="AE119" s="99"/>
      <c r="AF119" s="99"/>
      <c r="AG119" s="107"/>
      <c r="AH119" s="107"/>
      <c r="AI119" s="107"/>
      <c r="AJ119" s="107"/>
    </row>
    <row customHeight="true" ht="33" r="120">
      <c r="A120" s="100" t="s">
        <v>1316</v>
      </c>
      <c r="B120" s="101" t="s">
        <v>958</v>
      </c>
      <c r="C120" s="101" t="s">
        <v>1284</v>
      </c>
      <c r="D120" s="101" t="s">
        <v>1285</v>
      </c>
      <c r="E120" s="102" t="s">
        <v>1286</v>
      </c>
      <c r="F120" s="103">
        <v>46112.697222222225</v>
      </c>
      <c r="G120" s="101" t="s">
        <v>962</v>
      </c>
      <c r="H120" s="101">
        <v>5000</v>
      </c>
      <c r="I120" s="101">
        <v>5000</v>
      </c>
      <c r="J120" s="101">
        <v>5000</v>
      </c>
      <c r="K120" s="101" t="s">
        <v>963</v>
      </c>
      <c r="L120" s="101">
        <v>353338</v>
      </c>
      <c r="M120" s="104">
        <v>14.15</v>
      </c>
      <c r="N120" s="97"/>
      <c r="O120" s="97"/>
      <c r="P120" s="97"/>
      <c r="Q120" s="97"/>
      <c r="R120" s="105">
        <v>353338</v>
      </c>
      <c r="S120" s="101" t="s">
        <v>964</v>
      </c>
      <c r="T120" s="101">
        <v>7112</v>
      </c>
      <c r="U120" s="101">
        <v>227</v>
      </c>
      <c r="V120" s="101">
        <v>5870</v>
      </c>
      <c r="W120" s="101">
        <v>762</v>
      </c>
      <c r="X120" s="101">
        <v>72</v>
      </c>
      <c r="Y120" s="99"/>
      <c r="Z120" s="101" t="s">
        <v>965</v>
      </c>
      <c r="AA120" s="101" t="s">
        <v>1000</v>
      </c>
      <c r="AB120" s="106"/>
      <c r="AC120" s="106">
        <f t="shared" si="0"/>
      </c>
      <c r="AD120" s="99"/>
      <c r="AE120" s="99"/>
      <c r="AF120" s="99"/>
      <c r="AG120" s="107"/>
      <c r="AH120" s="107"/>
      <c r="AI120" s="107"/>
      <c r="AJ120" s="107"/>
    </row>
    <row customHeight="true" ht="33" r="121">
      <c r="A121" s="100" t="s">
        <v>1317</v>
      </c>
      <c r="B121" s="101" t="s">
        <v>958</v>
      </c>
      <c r="C121" s="101" t="s">
        <v>1288</v>
      </c>
      <c r="D121" s="101" t="s">
        <v>1289</v>
      </c>
      <c r="E121" s="102" t="s">
        <v>1290</v>
      </c>
      <c r="F121" s="103">
        <v>46112.69236111111</v>
      </c>
      <c r="G121" s="101" t="s">
        <v>962</v>
      </c>
      <c r="H121" s="101">
        <v>10000</v>
      </c>
      <c r="I121" s="101">
        <v>10000</v>
      </c>
      <c r="J121" s="101">
        <v>10000</v>
      </c>
      <c r="K121" s="101" t="s">
        <v>963</v>
      </c>
      <c r="L121" s="101">
        <v>1179070</v>
      </c>
      <c r="M121" s="104">
        <v>8.48</v>
      </c>
      <c r="N121" s="97"/>
      <c r="O121" s="97"/>
      <c r="P121" s="97"/>
      <c r="Q121" s="97"/>
      <c r="R121" s="105">
        <v>1179070</v>
      </c>
      <c r="S121" s="101" t="s">
        <v>964</v>
      </c>
      <c r="T121" s="101">
        <v>87832</v>
      </c>
      <c r="U121" s="101">
        <v>622</v>
      </c>
      <c r="V121" s="101">
        <v>17563</v>
      </c>
      <c r="W121" s="101">
        <v>57302</v>
      </c>
      <c r="X121" s="101">
        <v>110</v>
      </c>
      <c r="Y121" s="99"/>
      <c r="Z121" s="101" t="s">
        <v>965</v>
      </c>
      <c r="AA121" s="101" t="s">
        <v>1000</v>
      </c>
      <c r="AB121" s="106"/>
      <c r="AC121" s="106">
        <f t="shared" si="0"/>
      </c>
      <c r="AD121" s="99"/>
      <c r="AE121" s="99"/>
      <c r="AF121" s="99"/>
      <c r="AG121" s="107"/>
      <c r="AH121" s="107"/>
      <c r="AI121" s="107"/>
      <c r="AJ121" s="107"/>
    </row>
    <row customHeight="true" ht="33" r="122">
      <c r="A122" s="100" t="s">
        <v>1318</v>
      </c>
      <c r="B122" s="101" t="s">
        <v>958</v>
      </c>
      <c r="C122" s="101" t="s">
        <v>1263</v>
      </c>
      <c r="D122" s="101" t="s">
        <v>1264</v>
      </c>
      <c r="E122" s="102" t="s">
        <v>1265</v>
      </c>
      <c r="F122" s="103">
        <v>46112.69097222222</v>
      </c>
      <c r="G122" s="101" t="s">
        <v>962</v>
      </c>
      <c r="H122" s="101">
        <v>10000</v>
      </c>
      <c r="I122" s="101">
        <v>10000</v>
      </c>
      <c r="J122" s="101">
        <v>10000</v>
      </c>
      <c r="K122" s="101" t="s">
        <v>963</v>
      </c>
      <c r="L122" s="101">
        <v>569076</v>
      </c>
      <c r="M122" s="104">
        <v>17.57</v>
      </c>
      <c r="N122" s="97"/>
      <c r="O122" s="97"/>
      <c r="P122" s="97"/>
      <c r="Q122" s="97"/>
      <c r="R122" s="105">
        <v>569076</v>
      </c>
      <c r="S122" s="101" t="s">
        <v>964</v>
      </c>
      <c r="T122" s="101">
        <v>133222</v>
      </c>
      <c r="U122" s="101">
        <v>568</v>
      </c>
      <c r="V122" s="101">
        <v>15658</v>
      </c>
      <c r="W122" s="101">
        <v>5284</v>
      </c>
      <c r="X122" s="101">
        <v>317</v>
      </c>
      <c r="Y122" s="99"/>
      <c r="Z122" s="101" t="s">
        <v>965</v>
      </c>
      <c r="AA122" s="101" t="s">
        <v>1000</v>
      </c>
      <c r="AB122" s="106"/>
      <c r="AC122" s="106">
        <f t="shared" si="0"/>
      </c>
      <c r="AD122" s="99"/>
      <c r="AE122" s="99"/>
      <c r="AF122" s="99"/>
      <c r="AG122" s="107"/>
      <c r="AH122" s="107"/>
      <c r="AI122" s="107"/>
      <c r="AJ122" s="107"/>
    </row>
    <row customHeight="true" ht="33" r="123">
      <c r="A123" s="100" t="s">
        <v>1319</v>
      </c>
      <c r="B123" s="101" t="s">
        <v>958</v>
      </c>
      <c r="C123" s="101" t="s">
        <v>1296</v>
      </c>
      <c r="D123" s="101" t="s">
        <v>1297</v>
      </c>
      <c r="E123" s="102" t="s">
        <v>1298</v>
      </c>
      <c r="F123" s="103">
        <v>46112.70138888889</v>
      </c>
      <c r="G123" s="101" t="s">
        <v>962</v>
      </c>
      <c r="H123" s="101">
        <v>5000</v>
      </c>
      <c r="I123" s="101">
        <v>5000</v>
      </c>
      <c r="J123" s="101">
        <v>5000</v>
      </c>
      <c r="K123" s="101" t="s">
        <v>963</v>
      </c>
      <c r="L123" s="101">
        <v>452992</v>
      </c>
      <c r="M123" s="104">
        <v>11.04</v>
      </c>
      <c r="N123" s="97"/>
      <c r="O123" s="97"/>
      <c r="P123" s="97"/>
      <c r="Q123" s="97"/>
      <c r="R123" s="105">
        <v>452992</v>
      </c>
      <c r="S123" s="101" t="s">
        <v>964</v>
      </c>
      <c r="T123" s="101">
        <v>21313</v>
      </c>
      <c r="U123" s="101">
        <v>110</v>
      </c>
      <c r="V123" s="101">
        <v>842</v>
      </c>
      <c r="W123" s="101">
        <v>1446</v>
      </c>
      <c r="X123" s="101">
        <v>76</v>
      </c>
      <c r="Y123" s="99"/>
      <c r="Z123" s="101" t="s">
        <v>965</v>
      </c>
      <c r="AA123" s="101" t="s">
        <v>1000</v>
      </c>
      <c r="AB123" s="106"/>
      <c r="AC123" s="106">
        <f t="shared" si="0"/>
      </c>
      <c r="AD123" s="99"/>
      <c r="AE123" s="99"/>
      <c r="AF123" s="99"/>
      <c r="AG123" s="107"/>
      <c r="AH123" s="107"/>
      <c r="AI123" s="107"/>
      <c r="AJ123" s="107"/>
    </row>
    <row customHeight="true" ht="33" r="124">
      <c r="A124" s="100" t="s">
        <v>1320</v>
      </c>
      <c r="B124" s="101" t="s">
        <v>958</v>
      </c>
      <c r="C124" s="101" t="s">
        <v>1321</v>
      </c>
      <c r="D124" s="101" t="s">
        <v>1322</v>
      </c>
      <c r="E124" s="102" t="s">
        <v>1323</v>
      </c>
      <c r="F124" s="103">
        <v>46113.770104166666</v>
      </c>
      <c r="G124" s="101" t="s">
        <v>962</v>
      </c>
      <c r="H124" s="101">
        <v>1000</v>
      </c>
      <c r="I124" s="101">
        <v>1000</v>
      </c>
      <c r="J124" s="101">
        <v>1000</v>
      </c>
      <c r="K124" s="101" t="s">
        <v>963</v>
      </c>
      <c r="L124" s="101">
        <v>83433</v>
      </c>
      <c r="M124" s="104">
        <v>11.99</v>
      </c>
      <c r="N124" s="97"/>
      <c r="O124" s="97"/>
      <c r="P124" s="97"/>
      <c r="Q124" s="97"/>
      <c r="R124" s="105">
        <v>83433</v>
      </c>
      <c r="S124" s="101" t="s">
        <v>964</v>
      </c>
      <c r="T124" s="101">
        <v>161</v>
      </c>
      <c r="U124" s="101">
        <v>2</v>
      </c>
      <c r="V124" s="101">
        <v>2</v>
      </c>
      <c r="W124" s="101">
        <v>268</v>
      </c>
      <c r="X124" s="101">
        <v>9</v>
      </c>
      <c r="Y124" s="99"/>
      <c r="Z124" s="101" t="s">
        <v>965</v>
      </c>
      <c r="AA124" s="101" t="s">
        <v>1000</v>
      </c>
      <c r="AB124" s="106"/>
      <c r="AC124" s="106">
        <f t="shared" si="0"/>
      </c>
      <c r="AD124" s="99"/>
      <c r="AE124" s="99"/>
      <c r="AF124" s="99"/>
      <c r="AG124" s="107"/>
      <c r="AH124" s="107"/>
      <c r="AI124" s="107"/>
      <c r="AJ124" s="107"/>
    </row>
    <row customHeight="true" ht="33" r="125">
      <c r="A125" s="100" t="s">
        <v>1324</v>
      </c>
      <c r="B125" s="101" t="s">
        <v>958</v>
      </c>
      <c r="C125" s="101" t="s">
        <v>1325</v>
      </c>
      <c r="D125" s="101" t="s">
        <v>1326</v>
      </c>
      <c r="E125" s="102" t="s">
        <v>1327</v>
      </c>
      <c r="F125" s="103">
        <v>46113.768842592595</v>
      </c>
      <c r="G125" s="101" t="s">
        <v>962</v>
      </c>
      <c r="H125" s="101">
        <v>1000</v>
      </c>
      <c r="I125" s="101">
        <v>1000</v>
      </c>
      <c r="J125" s="101">
        <v>1000</v>
      </c>
      <c r="K125" s="101" t="s">
        <v>963</v>
      </c>
      <c r="L125" s="101">
        <v>92095</v>
      </c>
      <c r="M125" s="104">
        <v>10.86</v>
      </c>
      <c r="N125" s="97"/>
      <c r="O125" s="97"/>
      <c r="P125" s="97"/>
      <c r="Q125" s="97"/>
      <c r="R125" s="105">
        <v>92095</v>
      </c>
      <c r="S125" s="101" t="s">
        <v>964</v>
      </c>
      <c r="T125" s="101">
        <v>2498</v>
      </c>
      <c r="U125" s="101">
        <v>259</v>
      </c>
      <c r="V125" s="101">
        <v>30</v>
      </c>
      <c r="W125" s="101">
        <v>237</v>
      </c>
      <c r="X125" s="101">
        <v>13</v>
      </c>
      <c r="Y125" s="99"/>
      <c r="Z125" s="101" t="s">
        <v>965</v>
      </c>
      <c r="AA125" s="101" t="s">
        <v>1000</v>
      </c>
      <c r="AB125" s="106"/>
      <c r="AC125" s="106">
        <f t="shared" si="0"/>
      </c>
      <c r="AD125" s="99"/>
      <c r="AE125" s="99"/>
      <c r="AF125" s="99"/>
      <c r="AG125" s="107"/>
      <c r="AH125" s="107"/>
      <c r="AI125" s="107"/>
      <c r="AJ125" s="107"/>
    </row>
    <row customHeight="true" ht="33" r="126">
      <c r="A126" s="100" t="s">
        <v>1328</v>
      </c>
      <c r="B126" s="101" t="s">
        <v>958</v>
      </c>
      <c r="C126" s="101" t="s">
        <v>1329</v>
      </c>
      <c r="D126" s="101" t="s">
        <v>1330</v>
      </c>
      <c r="E126" s="102" t="s">
        <v>1331</v>
      </c>
      <c r="F126" s="103">
        <v>46113.767488425925</v>
      </c>
      <c r="G126" s="101" t="s">
        <v>962</v>
      </c>
      <c r="H126" s="101">
        <v>1000</v>
      </c>
      <c r="I126" s="101">
        <v>1000</v>
      </c>
      <c r="J126" s="101">
        <v>1000</v>
      </c>
      <c r="K126" s="101" t="s">
        <v>963</v>
      </c>
      <c r="L126" s="101">
        <v>61348</v>
      </c>
      <c r="M126" s="104">
        <v>16.3</v>
      </c>
      <c r="N126" s="97"/>
      <c r="O126" s="97"/>
      <c r="P126" s="97"/>
      <c r="Q126" s="97"/>
      <c r="R126" s="105">
        <v>61348</v>
      </c>
      <c r="S126" s="101" t="s">
        <v>964</v>
      </c>
      <c r="T126" s="101">
        <v>2348</v>
      </c>
      <c r="U126" s="101">
        <v>41</v>
      </c>
      <c r="V126" s="101">
        <v>25</v>
      </c>
      <c r="W126" s="101">
        <v>224</v>
      </c>
      <c r="X126" s="101">
        <v>12</v>
      </c>
      <c r="Y126" s="99"/>
      <c r="Z126" s="101" t="s">
        <v>965</v>
      </c>
      <c r="AA126" s="101" t="s">
        <v>1000</v>
      </c>
      <c r="AB126" s="106"/>
      <c r="AC126" s="106">
        <f t="shared" si="0"/>
      </c>
      <c r="AD126" s="99"/>
      <c r="AE126" s="99"/>
      <c r="AF126" s="99"/>
      <c r="AG126" s="107"/>
      <c r="AH126" s="107"/>
      <c r="AI126" s="107"/>
      <c r="AJ126" s="107"/>
    </row>
    <row customHeight="true" ht="33" r="127">
      <c r="A127" s="100" t="s">
        <v>1332</v>
      </c>
      <c r="B127" s="101" t="s">
        <v>958</v>
      </c>
      <c r="C127" s="101" t="s">
        <v>1309</v>
      </c>
      <c r="D127" s="101" t="s">
        <v>1333</v>
      </c>
      <c r="E127" s="102" t="s">
        <v>1311</v>
      </c>
      <c r="F127" s="103">
        <v>46113.76534722222</v>
      </c>
      <c r="G127" s="101" t="s">
        <v>1094</v>
      </c>
      <c r="H127" s="101">
        <v>5000</v>
      </c>
      <c r="I127" s="101">
        <v>5000</v>
      </c>
      <c r="J127" s="101">
        <v>4999.48</v>
      </c>
      <c r="K127" s="101" t="s">
        <v>963</v>
      </c>
      <c r="L127" s="101">
        <v>283435</v>
      </c>
      <c r="M127" s="104">
        <v>17.64</v>
      </c>
      <c r="N127" s="97"/>
      <c r="O127" s="97"/>
      <c r="P127" s="97"/>
      <c r="Q127" s="97"/>
      <c r="R127" s="105">
        <v>283435</v>
      </c>
      <c r="S127" s="101" t="s">
        <v>964</v>
      </c>
      <c r="T127" s="101">
        <v>46268</v>
      </c>
      <c r="U127" s="101">
        <v>49</v>
      </c>
      <c r="V127" s="101">
        <v>4223</v>
      </c>
      <c r="W127" s="101">
        <v>855</v>
      </c>
      <c r="X127" s="101">
        <v>65</v>
      </c>
      <c r="Y127" s="99"/>
      <c r="Z127" s="101" t="s">
        <v>965</v>
      </c>
      <c r="AA127" s="101" t="s">
        <v>1000</v>
      </c>
      <c r="AB127" s="106"/>
      <c r="AC127" s="106">
        <f t="shared" si="0"/>
      </c>
      <c r="AD127" s="99"/>
      <c r="AE127" s="99"/>
      <c r="AF127" s="99"/>
      <c r="AG127" s="107"/>
      <c r="AH127" s="107"/>
      <c r="AI127" s="107"/>
      <c r="AJ127" s="107"/>
    </row>
    <row customHeight="true" ht="33" r="128">
      <c r="A128" s="100" t="s">
        <v>1334</v>
      </c>
      <c r="B128" s="101" t="s">
        <v>958</v>
      </c>
      <c r="C128" s="101" t="s">
        <v>1288</v>
      </c>
      <c r="D128" s="101" t="s">
        <v>1289</v>
      </c>
      <c r="E128" s="102" t="s">
        <v>1290</v>
      </c>
      <c r="F128" s="103">
        <v>46113.76452546296</v>
      </c>
      <c r="G128" s="101" t="s">
        <v>962</v>
      </c>
      <c r="H128" s="101">
        <v>10000</v>
      </c>
      <c r="I128" s="101">
        <v>10000</v>
      </c>
      <c r="J128" s="101">
        <v>10000</v>
      </c>
      <c r="K128" s="101" t="s">
        <v>963</v>
      </c>
      <c r="L128" s="101">
        <v>1298782</v>
      </c>
      <c r="M128" s="104">
        <v>7.7</v>
      </c>
      <c r="N128" s="97"/>
      <c r="O128" s="97"/>
      <c r="P128" s="97"/>
      <c r="Q128" s="97"/>
      <c r="R128" s="105">
        <v>1298782</v>
      </c>
      <c r="S128" s="101" t="s">
        <v>964</v>
      </c>
      <c r="T128" s="101">
        <v>103839</v>
      </c>
      <c r="U128" s="101">
        <v>470</v>
      </c>
      <c r="V128" s="101">
        <v>22007</v>
      </c>
      <c r="W128" s="101">
        <v>65275</v>
      </c>
      <c r="X128" s="101">
        <v>112</v>
      </c>
      <c r="Y128" s="99"/>
      <c r="Z128" s="101" t="s">
        <v>965</v>
      </c>
      <c r="AA128" s="101" t="s">
        <v>1000</v>
      </c>
      <c r="AB128" s="106"/>
      <c r="AC128" s="106">
        <f t="shared" si="0"/>
      </c>
      <c r="AD128" s="99"/>
      <c r="AE128" s="99"/>
      <c r="AF128" s="99"/>
      <c r="AG128" s="107"/>
      <c r="AH128" s="107"/>
      <c r="AI128" s="107"/>
      <c r="AJ128" s="107"/>
    </row>
    <row customHeight="true" ht="33" r="129">
      <c r="A129" s="100" t="s">
        <v>1335</v>
      </c>
      <c r="B129" s="101" t="s">
        <v>958</v>
      </c>
      <c r="C129" s="101" t="s">
        <v>1263</v>
      </c>
      <c r="D129" s="101" t="s">
        <v>1264</v>
      </c>
      <c r="E129" s="102" t="s">
        <v>1265</v>
      </c>
      <c r="F129" s="103">
        <v>46113.76391203704</v>
      </c>
      <c r="G129" s="101" t="s">
        <v>962</v>
      </c>
      <c r="H129" s="101">
        <v>10000</v>
      </c>
      <c r="I129" s="101">
        <v>10000</v>
      </c>
      <c r="J129" s="101">
        <v>10000</v>
      </c>
      <c r="K129" s="101" t="s">
        <v>963</v>
      </c>
      <c r="L129" s="101">
        <v>722730</v>
      </c>
      <c r="M129" s="104">
        <v>13.84</v>
      </c>
      <c r="N129" s="97"/>
      <c r="O129" s="97"/>
      <c r="P129" s="97"/>
      <c r="Q129" s="97"/>
      <c r="R129" s="105">
        <v>722730</v>
      </c>
      <c r="S129" s="101" t="s">
        <v>964</v>
      </c>
      <c r="T129" s="101">
        <v>192003</v>
      </c>
      <c r="U129" s="101">
        <v>735</v>
      </c>
      <c r="V129" s="101">
        <v>22327</v>
      </c>
      <c r="W129" s="101">
        <v>5821</v>
      </c>
      <c r="X129" s="101">
        <v>280</v>
      </c>
      <c r="Y129" s="99"/>
      <c r="Z129" s="101" t="s">
        <v>965</v>
      </c>
      <c r="AA129" s="101" t="s">
        <v>1000</v>
      </c>
      <c r="AB129" s="106"/>
      <c r="AC129" s="106">
        <f t="shared" si="0"/>
      </c>
      <c r="AD129" s="99"/>
      <c r="AE129" s="99"/>
      <c r="AF129" s="99"/>
      <c r="AG129" s="107"/>
      <c r="AH129" s="107"/>
      <c r="AI129" s="107"/>
      <c r="AJ129" s="107"/>
    </row>
    <row customHeight="true" ht="33" r="130">
      <c r="A130" s="100" t="s">
        <v>1336</v>
      </c>
      <c r="B130" s="101" t="s">
        <v>958</v>
      </c>
      <c r="C130" s="101" t="s">
        <v>1288</v>
      </c>
      <c r="D130" s="101" t="s">
        <v>1289</v>
      </c>
      <c r="E130" s="102" t="s">
        <v>1290</v>
      </c>
      <c r="F130" s="103">
        <v>46114.71246527778</v>
      </c>
      <c r="G130" s="101" t="s">
        <v>962</v>
      </c>
      <c r="H130" s="101">
        <v>10000</v>
      </c>
      <c r="I130" s="101">
        <v>10000</v>
      </c>
      <c r="J130" s="101">
        <v>10000</v>
      </c>
      <c r="K130" s="101" t="s">
        <v>963</v>
      </c>
      <c r="L130" s="101">
        <v>1225595</v>
      </c>
      <c r="M130" s="104">
        <v>8.16</v>
      </c>
      <c r="N130" s="97"/>
      <c r="O130" s="97"/>
      <c r="P130" s="97"/>
      <c r="Q130" s="97"/>
      <c r="R130" s="105">
        <v>1225595</v>
      </c>
      <c r="S130" s="101" t="s">
        <v>964</v>
      </c>
      <c r="T130" s="101">
        <v>87794</v>
      </c>
      <c r="U130" s="101">
        <v>662</v>
      </c>
      <c r="V130" s="101">
        <v>20974</v>
      </c>
      <c r="W130" s="101">
        <v>59883</v>
      </c>
      <c r="X130" s="101">
        <v>182</v>
      </c>
      <c r="Y130" s="99"/>
      <c r="Z130" s="101" t="s">
        <v>965</v>
      </c>
      <c r="AA130" s="101" t="s">
        <v>1000</v>
      </c>
      <c r="AB130" s="106"/>
      <c r="AC130" s="106">
        <f t="shared" si="0"/>
      </c>
      <c r="AD130" s="99"/>
      <c r="AE130" s="99"/>
      <c r="AF130" s="99"/>
      <c r="AG130" s="107"/>
      <c r="AH130" s="107"/>
      <c r="AI130" s="107"/>
      <c r="AJ130" s="107"/>
    </row>
    <row customHeight="true" ht="33" r="131">
      <c r="A131" s="100" t="s">
        <v>1337</v>
      </c>
      <c r="B131" s="101" t="s">
        <v>958</v>
      </c>
      <c r="C131" s="101" t="s">
        <v>1309</v>
      </c>
      <c r="D131" s="101" t="s">
        <v>1333</v>
      </c>
      <c r="E131" s="102" t="s">
        <v>1311</v>
      </c>
      <c r="F131" s="103">
        <v>46114.71328703704</v>
      </c>
      <c r="G131" s="101" t="s">
        <v>962</v>
      </c>
      <c r="H131" s="101">
        <v>5000</v>
      </c>
      <c r="I131" s="101">
        <v>5000</v>
      </c>
      <c r="J131" s="101">
        <v>5000</v>
      </c>
      <c r="K131" s="101" t="s">
        <v>963</v>
      </c>
      <c r="L131" s="101">
        <v>288539</v>
      </c>
      <c r="M131" s="104">
        <v>17.33</v>
      </c>
      <c r="N131" s="97"/>
      <c r="O131" s="97"/>
      <c r="P131" s="97"/>
      <c r="Q131" s="97"/>
      <c r="R131" s="105">
        <v>288539</v>
      </c>
      <c r="S131" s="101" t="s">
        <v>964</v>
      </c>
      <c r="T131" s="101">
        <v>63206</v>
      </c>
      <c r="U131" s="101">
        <v>76</v>
      </c>
      <c r="V131" s="101">
        <v>5043</v>
      </c>
      <c r="W131" s="101">
        <v>1099</v>
      </c>
      <c r="X131" s="101">
        <v>78</v>
      </c>
      <c r="Y131" s="99"/>
      <c r="Z131" s="101" t="s">
        <v>965</v>
      </c>
      <c r="AA131" s="101" t="s">
        <v>1000</v>
      </c>
      <c r="AB131" s="106"/>
      <c r="AC131" s="106">
        <f t="shared" si="0"/>
      </c>
      <c r="AD131" s="99"/>
      <c r="AE131" s="99"/>
      <c r="AF131" s="99"/>
      <c r="AG131" s="107"/>
      <c r="AH131" s="107"/>
      <c r="AI131" s="107"/>
      <c r="AJ131" s="107"/>
    </row>
    <row customHeight="true" ht="33" r="132">
      <c r="A132" s="100" t="s">
        <v>1338</v>
      </c>
      <c r="B132" s="101" t="s">
        <v>958</v>
      </c>
      <c r="C132" s="101" t="s">
        <v>1339</v>
      </c>
      <c r="D132" s="101" t="s">
        <v>1340</v>
      </c>
      <c r="E132" s="102" t="s">
        <v>1341</v>
      </c>
      <c r="F132" s="103">
        <v>46114.715</v>
      </c>
      <c r="G132" s="101" t="s">
        <v>962</v>
      </c>
      <c r="H132" s="101">
        <v>1000</v>
      </c>
      <c r="I132" s="101">
        <v>1000</v>
      </c>
      <c r="J132" s="101">
        <v>1000</v>
      </c>
      <c r="K132" s="101" t="s">
        <v>963</v>
      </c>
      <c r="L132" s="101">
        <v>65630</v>
      </c>
      <c r="M132" s="104">
        <v>15.24</v>
      </c>
      <c r="N132" s="97"/>
      <c r="O132" s="97"/>
      <c r="P132" s="97"/>
      <c r="Q132" s="97"/>
      <c r="R132" s="105">
        <v>65630</v>
      </c>
      <c r="S132" s="101" t="s">
        <v>964</v>
      </c>
      <c r="T132" s="101">
        <v>3728</v>
      </c>
      <c r="U132" s="101">
        <v>21</v>
      </c>
      <c r="V132" s="101">
        <v>243</v>
      </c>
      <c r="W132" s="101">
        <v>139</v>
      </c>
      <c r="X132" s="101">
        <v>4</v>
      </c>
      <c r="Y132" s="99"/>
      <c r="Z132" s="101" t="s">
        <v>965</v>
      </c>
      <c r="AA132" s="101" t="s">
        <v>1000</v>
      </c>
      <c r="AB132" s="106"/>
      <c r="AC132" s="106">
        <f t="shared" si="0"/>
      </c>
      <c r="AD132" s="99"/>
      <c r="AE132" s="99"/>
      <c r="AF132" s="99"/>
      <c r="AG132" s="107"/>
      <c r="AH132" s="107"/>
      <c r="AI132" s="107"/>
      <c r="AJ132" s="107"/>
    </row>
    <row customHeight="true" ht="33" r="133">
      <c r="A133" s="100" t="s">
        <v>1342</v>
      </c>
      <c r="B133" s="101" t="s">
        <v>958</v>
      </c>
      <c r="C133" s="101" t="s">
        <v>1343</v>
      </c>
      <c r="D133" s="101" t="s">
        <v>1344</v>
      </c>
      <c r="E133" s="102" t="s">
        <v>1345</v>
      </c>
      <c r="F133" s="103">
        <v>46114.71435185185</v>
      </c>
      <c r="G133" s="101" t="s">
        <v>962</v>
      </c>
      <c r="H133" s="101">
        <v>1000</v>
      </c>
      <c r="I133" s="101">
        <v>1000</v>
      </c>
      <c r="J133" s="101">
        <v>1000</v>
      </c>
      <c r="K133" s="101" t="s">
        <v>963</v>
      </c>
      <c r="L133" s="101">
        <v>173658</v>
      </c>
      <c r="M133" s="104">
        <v>5.76</v>
      </c>
      <c r="N133" s="97"/>
      <c r="O133" s="97"/>
      <c r="P133" s="97"/>
      <c r="Q133" s="97"/>
      <c r="R133" s="105">
        <v>173658</v>
      </c>
      <c r="S133" s="101" t="s">
        <v>964</v>
      </c>
      <c r="T133" s="101">
        <v>411</v>
      </c>
      <c r="U133" s="101">
        <v>3</v>
      </c>
      <c r="V133" s="101">
        <v>3</v>
      </c>
      <c r="W133" s="101">
        <v>2647</v>
      </c>
      <c r="X133" s="101">
        <v>8</v>
      </c>
      <c r="Y133" s="99"/>
      <c r="Z133" s="101" t="s">
        <v>965</v>
      </c>
      <c r="AA133" s="101" t="s">
        <v>1000</v>
      </c>
      <c r="AB133" s="106"/>
      <c r="AC133" s="106">
        <f t="shared" si="0"/>
      </c>
      <c r="AD133" s="99"/>
      <c r="AE133" s="99"/>
      <c r="AF133" s="99"/>
      <c r="AG133" s="107"/>
      <c r="AH133" s="107"/>
      <c r="AI133" s="107"/>
      <c r="AJ133" s="107"/>
    </row>
    <row customHeight="true" ht="33" r="134">
      <c r="A134" s="100" t="s">
        <v>1346</v>
      </c>
      <c r="B134" s="101" t="s">
        <v>958</v>
      </c>
      <c r="C134" s="101" t="s">
        <v>1292</v>
      </c>
      <c r="D134" s="101" t="s">
        <v>1347</v>
      </c>
      <c r="E134" s="102" t="s">
        <v>1348</v>
      </c>
      <c r="F134" s="103">
        <v>46115.78565972222</v>
      </c>
      <c r="G134" s="101" t="s">
        <v>962</v>
      </c>
      <c r="H134" s="101">
        <v>1000</v>
      </c>
      <c r="I134" s="101">
        <v>1000</v>
      </c>
      <c r="J134" s="101">
        <v>1000</v>
      </c>
      <c r="K134" s="101" t="s">
        <v>963</v>
      </c>
      <c r="L134" s="101">
        <v>60292</v>
      </c>
      <c r="M134" s="104">
        <v>16.59</v>
      </c>
      <c r="N134" s="97"/>
      <c r="O134" s="97"/>
      <c r="P134" s="97"/>
      <c r="Q134" s="97"/>
      <c r="R134" s="105">
        <v>60292</v>
      </c>
      <c r="S134" s="101" t="s">
        <v>964</v>
      </c>
      <c r="T134" s="101">
        <v>1311</v>
      </c>
      <c r="U134" s="101">
        <v>26</v>
      </c>
      <c r="V134" s="101">
        <v>24</v>
      </c>
      <c r="W134" s="101">
        <v>687</v>
      </c>
      <c r="X134" s="101">
        <v>17</v>
      </c>
      <c r="Y134" s="99"/>
      <c r="Z134" s="101" t="s">
        <v>965</v>
      </c>
      <c r="AA134" s="101" t="s">
        <v>1000</v>
      </c>
      <c r="AB134" s="106"/>
      <c r="AC134" s="106">
        <f t="shared" si="0"/>
      </c>
      <c r="AD134" s="99"/>
      <c r="AE134" s="99"/>
      <c r="AF134" s="99"/>
      <c r="AG134" s="107"/>
      <c r="AH134" s="107"/>
      <c r="AI134" s="107"/>
      <c r="AJ134" s="107"/>
    </row>
    <row customHeight="true" ht="33" r="135">
      <c r="A135" s="100" t="s">
        <v>1349</v>
      </c>
      <c r="B135" s="101" t="s">
        <v>958</v>
      </c>
      <c r="C135" s="101" t="s">
        <v>1350</v>
      </c>
      <c r="D135" s="101" t="s">
        <v>1351</v>
      </c>
      <c r="E135" s="102" t="s">
        <v>1352</v>
      </c>
      <c r="F135" s="103">
        <v>46119.67965277778</v>
      </c>
      <c r="G135" s="101" t="s">
        <v>962</v>
      </c>
      <c r="H135" s="101">
        <v>1000</v>
      </c>
      <c r="I135" s="101">
        <v>1000</v>
      </c>
      <c r="J135" s="101">
        <v>1000</v>
      </c>
      <c r="K135" s="101" t="s">
        <v>963</v>
      </c>
      <c r="L135" s="101">
        <v>70594</v>
      </c>
      <c r="M135" s="104">
        <v>14.17</v>
      </c>
      <c r="N135" s="97"/>
      <c r="O135" s="97"/>
      <c r="P135" s="97"/>
      <c r="Q135" s="97"/>
      <c r="R135" s="105">
        <v>70594</v>
      </c>
      <c r="S135" s="101" t="s">
        <v>964</v>
      </c>
      <c r="T135" s="101">
        <v>2263</v>
      </c>
      <c r="U135" s="101">
        <v>70</v>
      </c>
      <c r="V135" s="101">
        <v>215</v>
      </c>
      <c r="W135" s="101">
        <v>108</v>
      </c>
      <c r="X135" s="101">
        <v>12</v>
      </c>
      <c r="Y135" s="99"/>
      <c r="Z135" s="101" t="s">
        <v>965</v>
      </c>
      <c r="AA135" s="101" t="s">
        <v>1000</v>
      </c>
      <c r="AB135" s="106"/>
      <c r="AC135" s="106">
        <f t="shared" si="0"/>
      </c>
      <c r="AD135" s="99"/>
      <c r="AE135" s="99"/>
      <c r="AF135" s="99"/>
      <c r="AG135" s="107"/>
      <c r="AH135" s="107"/>
      <c r="AI135" s="107"/>
      <c r="AJ135" s="107"/>
    </row>
    <row customHeight="true" ht="33" r="136">
      <c r="A136" s="100" t="s">
        <v>1353</v>
      </c>
      <c r="B136" s="101" t="s">
        <v>958</v>
      </c>
      <c r="C136" s="101" t="s">
        <v>1354</v>
      </c>
      <c r="D136" s="101" t="s">
        <v>1355</v>
      </c>
      <c r="E136" s="102" t="s">
        <v>1356</v>
      </c>
      <c r="F136" s="103">
        <v>46119.67891203704</v>
      </c>
      <c r="G136" s="101" t="s">
        <v>962</v>
      </c>
      <c r="H136" s="101">
        <v>1000</v>
      </c>
      <c r="I136" s="101">
        <v>1000</v>
      </c>
      <c r="J136" s="101">
        <v>1000</v>
      </c>
      <c r="K136" s="101" t="s">
        <v>963</v>
      </c>
      <c r="L136" s="101">
        <v>159111</v>
      </c>
      <c r="M136" s="104">
        <v>6.28</v>
      </c>
      <c r="N136" s="97"/>
      <c r="O136" s="97"/>
      <c r="P136" s="97"/>
      <c r="Q136" s="97"/>
      <c r="R136" s="105">
        <v>159111</v>
      </c>
      <c r="S136" s="101" t="s">
        <v>964</v>
      </c>
      <c r="T136" s="101">
        <v>15935</v>
      </c>
      <c r="U136" s="101">
        <v>50</v>
      </c>
      <c r="V136" s="101">
        <v>1963</v>
      </c>
      <c r="W136" s="101">
        <v>6937</v>
      </c>
      <c r="X136" s="101">
        <v>60</v>
      </c>
      <c r="Y136" s="99"/>
      <c r="Z136" s="101" t="s">
        <v>965</v>
      </c>
      <c r="AA136" s="101" t="s">
        <v>1000</v>
      </c>
      <c r="AB136" s="106"/>
      <c r="AC136" s="106">
        <f t="shared" si="0"/>
      </c>
      <c r="AD136" s="99"/>
      <c r="AE136" s="99"/>
      <c r="AF136" s="99"/>
      <c r="AG136" s="107"/>
      <c r="AH136" s="107"/>
      <c r="AI136" s="107"/>
      <c r="AJ136" s="107"/>
    </row>
    <row customHeight="true" ht="33" r="137">
      <c r="A137" s="100" t="s">
        <v>1357</v>
      </c>
      <c r="B137" s="101" t="s">
        <v>958</v>
      </c>
      <c r="C137" s="101" t="s">
        <v>1358</v>
      </c>
      <c r="D137" s="101" t="s">
        <v>1359</v>
      </c>
      <c r="E137" s="102" t="s">
        <v>1360</v>
      </c>
      <c r="F137" s="103">
        <v>46119.6775462963</v>
      </c>
      <c r="G137" s="101" t="s">
        <v>962</v>
      </c>
      <c r="H137" s="101">
        <v>1000</v>
      </c>
      <c r="I137" s="101">
        <v>1000</v>
      </c>
      <c r="J137" s="101">
        <v>1000</v>
      </c>
      <c r="K137" s="101" t="s">
        <v>963</v>
      </c>
      <c r="L137" s="101">
        <v>59120</v>
      </c>
      <c r="M137" s="104">
        <v>16.91</v>
      </c>
      <c r="N137" s="97"/>
      <c r="O137" s="97"/>
      <c r="P137" s="97"/>
      <c r="Q137" s="97"/>
      <c r="R137" s="105">
        <v>59120</v>
      </c>
      <c r="S137" s="101" t="s">
        <v>964</v>
      </c>
      <c r="T137" s="101">
        <v>1760</v>
      </c>
      <c r="U137" s="101">
        <v>18</v>
      </c>
      <c r="V137" s="101">
        <v>42</v>
      </c>
      <c r="W137" s="101">
        <v>841</v>
      </c>
      <c r="X137" s="101">
        <v>6</v>
      </c>
      <c r="Y137" s="99"/>
      <c r="Z137" s="101" t="s">
        <v>965</v>
      </c>
      <c r="AA137" s="101" t="s">
        <v>1000</v>
      </c>
      <c r="AB137" s="106"/>
      <c r="AC137" s="106">
        <f t="shared" si="0"/>
      </c>
      <c r="AD137" s="99"/>
      <c r="AE137" s="99"/>
      <c r="AF137" s="99"/>
      <c r="AG137" s="107"/>
      <c r="AH137" s="107"/>
      <c r="AI137" s="107"/>
      <c r="AJ137" s="107"/>
    </row>
    <row customHeight="true" ht="33" r="138">
      <c r="A138" s="100" t="s">
        <v>1361</v>
      </c>
      <c r="B138" s="101" t="s">
        <v>958</v>
      </c>
      <c r="C138" s="101" t="s">
        <v>1362</v>
      </c>
      <c r="D138" s="101" t="s">
        <v>1363</v>
      </c>
      <c r="E138" s="102" t="s">
        <v>1364</v>
      </c>
      <c r="F138" s="103">
        <v>46119.67628472222</v>
      </c>
      <c r="G138" s="101" t="s">
        <v>962</v>
      </c>
      <c r="H138" s="101">
        <v>1000</v>
      </c>
      <c r="I138" s="101">
        <v>1000</v>
      </c>
      <c r="J138" s="101">
        <v>1000</v>
      </c>
      <c r="K138" s="101" t="s">
        <v>963</v>
      </c>
      <c r="L138" s="101">
        <v>58874</v>
      </c>
      <c r="M138" s="104">
        <v>16.99</v>
      </c>
      <c r="N138" s="97"/>
      <c r="O138" s="97"/>
      <c r="P138" s="97"/>
      <c r="Q138" s="97"/>
      <c r="R138" s="105">
        <v>58874</v>
      </c>
      <c r="S138" s="101" t="s">
        <v>964</v>
      </c>
      <c r="T138" s="101">
        <v>1578</v>
      </c>
      <c r="U138" s="101">
        <v>35</v>
      </c>
      <c r="V138" s="101">
        <v>8</v>
      </c>
      <c r="W138" s="101">
        <v>77</v>
      </c>
      <c r="X138" s="101">
        <v>23</v>
      </c>
      <c r="Y138" s="99"/>
      <c r="Z138" s="101" t="s">
        <v>965</v>
      </c>
      <c r="AA138" s="101" t="s">
        <v>1000</v>
      </c>
      <c r="AB138" s="106"/>
      <c r="AC138" s="106">
        <f t="shared" si="0"/>
      </c>
      <c r="AD138" s="99"/>
      <c r="AE138" s="99"/>
      <c r="AF138" s="99"/>
      <c r="AG138" s="107"/>
      <c r="AH138" s="107"/>
      <c r="AI138" s="107"/>
      <c r="AJ138" s="107"/>
    </row>
    <row customHeight="true" ht="33" r="139">
      <c r="A139" s="100" t="s">
        <v>1365</v>
      </c>
      <c r="B139" s="101" t="s">
        <v>958</v>
      </c>
      <c r="C139" s="101" t="s">
        <v>1366</v>
      </c>
      <c r="D139" s="101" t="s">
        <v>1367</v>
      </c>
      <c r="E139" s="102" t="s">
        <v>1368</v>
      </c>
      <c r="F139" s="103">
        <v>46119.675462962965</v>
      </c>
      <c r="G139" s="101" t="s">
        <v>962</v>
      </c>
      <c r="H139" s="101">
        <v>1000</v>
      </c>
      <c r="I139" s="101">
        <v>1000</v>
      </c>
      <c r="J139" s="101">
        <v>1000</v>
      </c>
      <c r="K139" s="101" t="s">
        <v>963</v>
      </c>
      <c r="L139" s="101">
        <v>76705</v>
      </c>
      <c r="M139" s="104">
        <v>13.04</v>
      </c>
      <c r="N139" s="97"/>
      <c r="O139" s="97"/>
      <c r="P139" s="97"/>
      <c r="Q139" s="97"/>
      <c r="R139" s="105">
        <v>76705</v>
      </c>
      <c r="S139" s="101" t="s">
        <v>964</v>
      </c>
      <c r="T139" s="101">
        <v>6287</v>
      </c>
      <c r="U139" s="101">
        <v>129</v>
      </c>
      <c r="V139" s="101">
        <v>306</v>
      </c>
      <c r="W139" s="101">
        <v>542</v>
      </c>
      <c r="X139" s="101">
        <v>14</v>
      </c>
      <c r="Y139" s="99"/>
      <c r="Z139" s="101" t="s">
        <v>965</v>
      </c>
      <c r="AA139" s="101" t="s">
        <v>1000</v>
      </c>
      <c r="AB139" s="106"/>
      <c r="AC139" s="106">
        <f t="shared" si="0"/>
      </c>
      <c r="AD139" s="99"/>
      <c r="AE139" s="99"/>
      <c r="AF139" s="99"/>
      <c r="AG139" s="107"/>
      <c r="AH139" s="107"/>
      <c r="AI139" s="107"/>
      <c r="AJ139" s="107"/>
    </row>
    <row customHeight="true" ht="33" r="140">
      <c r="A140" s="100" t="s">
        <v>1369</v>
      </c>
      <c r="B140" s="101" t="s">
        <v>958</v>
      </c>
      <c r="C140" s="101" t="s">
        <v>1354</v>
      </c>
      <c r="D140" s="101" t="s">
        <v>1355</v>
      </c>
      <c r="E140" s="102" t="s">
        <v>1356</v>
      </c>
      <c r="F140" s="103">
        <v>46120.70613425926</v>
      </c>
      <c r="G140" s="101" t="s">
        <v>962</v>
      </c>
      <c r="H140" s="101">
        <v>10000</v>
      </c>
      <c r="I140" s="101">
        <v>10000</v>
      </c>
      <c r="J140" s="101">
        <v>10000</v>
      </c>
      <c r="K140" s="101" t="s">
        <v>963</v>
      </c>
      <c r="L140" s="101">
        <v>1732045</v>
      </c>
      <c r="M140" s="104">
        <v>5.77</v>
      </c>
      <c r="N140" s="97"/>
      <c r="O140" s="97"/>
      <c r="P140" s="97"/>
      <c r="Q140" s="97"/>
      <c r="R140" s="105">
        <v>1732045</v>
      </c>
      <c r="S140" s="101" t="s">
        <v>964</v>
      </c>
      <c r="T140" s="101">
        <v>48075</v>
      </c>
      <c r="U140" s="101">
        <v>181</v>
      </c>
      <c r="V140" s="101">
        <v>9103</v>
      </c>
      <c r="W140" s="101">
        <v>76237</v>
      </c>
      <c r="X140" s="101">
        <v>97</v>
      </c>
      <c r="Y140" s="99"/>
      <c r="Z140" s="101" t="s">
        <v>965</v>
      </c>
      <c r="AA140" s="101" t="s">
        <v>1000</v>
      </c>
      <c r="AB140" s="106"/>
      <c r="AC140" s="106">
        <f t="shared" si="0"/>
      </c>
      <c r="AD140" s="99"/>
      <c r="AE140" s="99"/>
      <c r="AF140" s="99"/>
      <c r="AG140" s="107"/>
      <c r="AH140" s="107"/>
      <c r="AI140" s="107"/>
      <c r="AJ140" s="107"/>
    </row>
    <row customHeight="true" ht="33" r="141">
      <c r="A141" s="100" t="s">
        <v>1370</v>
      </c>
      <c r="B141" s="101" t="s">
        <v>958</v>
      </c>
      <c r="C141" s="101" t="s">
        <v>1366</v>
      </c>
      <c r="D141" s="101" t="s">
        <v>1367</v>
      </c>
      <c r="E141" s="102" t="s">
        <v>1368</v>
      </c>
      <c r="F141" s="103">
        <v>46120.704039351855</v>
      </c>
      <c r="G141" s="101" t="s">
        <v>962</v>
      </c>
      <c r="H141" s="101">
        <v>5000</v>
      </c>
      <c r="I141" s="101">
        <v>5000</v>
      </c>
      <c r="J141" s="101">
        <v>5000</v>
      </c>
      <c r="K141" s="101" t="s">
        <v>963</v>
      </c>
      <c r="L141" s="101">
        <v>353301</v>
      </c>
      <c r="M141" s="104">
        <v>14.15</v>
      </c>
      <c r="N141" s="97"/>
      <c r="O141" s="97"/>
      <c r="P141" s="97"/>
      <c r="Q141" s="97"/>
      <c r="R141" s="105">
        <v>353301</v>
      </c>
      <c r="S141" s="101" t="s">
        <v>964</v>
      </c>
      <c r="T141" s="101">
        <v>16557</v>
      </c>
      <c r="U141" s="101">
        <v>327</v>
      </c>
      <c r="V141" s="101">
        <v>821</v>
      </c>
      <c r="W141" s="101">
        <v>3412</v>
      </c>
      <c r="X141" s="101">
        <v>54</v>
      </c>
      <c r="Y141" s="99"/>
      <c r="Z141" s="101" t="s">
        <v>965</v>
      </c>
      <c r="AA141" s="101" t="s">
        <v>1000</v>
      </c>
      <c r="AB141" s="106"/>
      <c r="AC141" s="106">
        <f t="shared" si="0"/>
      </c>
      <c r="AD141" s="99"/>
      <c r="AE141" s="99"/>
      <c r="AF141" s="99"/>
      <c r="AG141" s="107"/>
      <c r="AH141" s="107"/>
      <c r="AI141" s="107"/>
      <c r="AJ141" s="107"/>
    </row>
    <row customHeight="true" ht="33" r="142">
      <c r="A142" s="100" t="s">
        <v>1371</v>
      </c>
      <c r="B142" s="101" t="s">
        <v>958</v>
      </c>
      <c r="C142" s="101" t="s">
        <v>1372</v>
      </c>
      <c r="D142" s="101" t="s">
        <v>1373</v>
      </c>
      <c r="E142" s="102" t="s">
        <v>1374</v>
      </c>
      <c r="F142" s="103">
        <v>46120.694918981484</v>
      </c>
      <c r="G142" s="101" t="s">
        <v>1375</v>
      </c>
      <c r="H142" s="101">
        <v>1000</v>
      </c>
      <c r="I142" s="101">
        <v>1000</v>
      </c>
      <c r="J142" s="101">
        <v>999.99</v>
      </c>
      <c r="K142" s="101" t="s">
        <v>963</v>
      </c>
      <c r="L142" s="101">
        <v>72396</v>
      </c>
      <c r="M142" s="104">
        <v>13.81</v>
      </c>
      <c r="N142" s="97"/>
      <c r="O142" s="97"/>
      <c r="P142" s="97"/>
      <c r="Q142" s="97"/>
      <c r="R142" s="105">
        <v>72396</v>
      </c>
      <c r="S142" s="101" t="s">
        <v>964</v>
      </c>
      <c r="T142" s="101">
        <v>440</v>
      </c>
      <c r="U142" s="101">
        <v>9</v>
      </c>
      <c r="V142" s="101">
        <v>2</v>
      </c>
      <c r="W142" s="101">
        <v>72</v>
      </c>
      <c r="X142" s="101">
        <v>13</v>
      </c>
      <c r="Y142" s="99"/>
      <c r="Z142" s="101" t="s">
        <v>965</v>
      </c>
      <c r="AA142" s="101" t="s">
        <v>1000</v>
      </c>
      <c r="AB142" s="106"/>
      <c r="AC142" s="106">
        <f t="shared" si="0"/>
      </c>
      <c r="AD142" s="99"/>
      <c r="AE142" s="99"/>
      <c r="AF142" s="99"/>
      <c r="AG142" s="107"/>
      <c r="AH142" s="107"/>
      <c r="AI142" s="107"/>
      <c r="AJ142" s="107"/>
    </row>
    <row customHeight="true" ht="33" r="143">
      <c r="A143" s="100" t="s">
        <v>1376</v>
      </c>
      <c r="B143" s="101" t="s">
        <v>958</v>
      </c>
      <c r="C143" s="101" t="s">
        <v>1377</v>
      </c>
      <c r="D143" s="101" t="s">
        <v>1378</v>
      </c>
      <c r="E143" s="102" t="s">
        <v>1379</v>
      </c>
      <c r="F143" s="103">
        <v>46120.69432870371</v>
      </c>
      <c r="G143" s="101" t="s">
        <v>1205</v>
      </c>
      <c r="H143" s="101">
        <v>1000</v>
      </c>
      <c r="I143" s="101">
        <v>1000</v>
      </c>
      <c r="J143" s="101">
        <v>835.21</v>
      </c>
      <c r="K143" s="101" t="s">
        <v>963</v>
      </c>
      <c r="L143" s="101">
        <v>77009</v>
      </c>
      <c r="M143" s="104">
        <v>10.85</v>
      </c>
      <c r="N143" s="97"/>
      <c r="O143" s="97"/>
      <c r="P143" s="97"/>
      <c r="Q143" s="97"/>
      <c r="R143" s="105">
        <v>77009</v>
      </c>
      <c r="S143" s="101" t="s">
        <v>964</v>
      </c>
      <c r="T143" s="101">
        <v>956</v>
      </c>
      <c r="U143" s="101">
        <v>26</v>
      </c>
      <c r="V143" s="101">
        <v>3</v>
      </c>
      <c r="W143" s="101">
        <v>200</v>
      </c>
      <c r="X143" s="101">
        <v>7</v>
      </c>
      <c r="Y143" s="99"/>
      <c r="Z143" s="101" t="s">
        <v>965</v>
      </c>
      <c r="AA143" s="101" t="s">
        <v>1000</v>
      </c>
      <c r="AB143" s="106"/>
      <c r="AC143" s="106">
        <f t="shared" si="0"/>
      </c>
      <c r="AD143" s="99"/>
      <c r="AE143" s="99"/>
      <c r="AF143" s="99"/>
      <c r="AG143" s="107"/>
      <c r="AH143" s="107"/>
      <c r="AI143" s="107"/>
      <c r="AJ143" s="107"/>
    </row>
    <row customHeight="true" ht="33" r="144">
      <c r="A144" s="100" t="s">
        <v>1380</v>
      </c>
      <c r="B144" s="101" t="s">
        <v>958</v>
      </c>
      <c r="C144" s="101" t="s">
        <v>1292</v>
      </c>
      <c r="D144" s="101" t="s">
        <v>1381</v>
      </c>
      <c r="E144" s="102" t="s">
        <v>1382</v>
      </c>
      <c r="F144" s="103">
        <v>46121.76940972222</v>
      </c>
      <c r="G144" s="101" t="s">
        <v>962</v>
      </c>
      <c r="H144" s="101">
        <v>1000</v>
      </c>
      <c r="I144" s="101">
        <v>1000</v>
      </c>
      <c r="J144" s="101">
        <v>1000</v>
      </c>
      <c r="K144" s="101" t="s">
        <v>963</v>
      </c>
      <c r="L144" s="101">
        <v>75246</v>
      </c>
      <c r="M144" s="104">
        <v>13.29</v>
      </c>
      <c r="N144" s="97"/>
      <c r="O144" s="97"/>
      <c r="P144" s="97"/>
      <c r="Q144" s="97"/>
      <c r="R144" s="105">
        <v>75246</v>
      </c>
      <c r="S144" s="101" t="s">
        <v>964</v>
      </c>
      <c r="T144" s="101">
        <v>1889</v>
      </c>
      <c r="U144" s="101">
        <v>65</v>
      </c>
      <c r="V144" s="101">
        <v>3</v>
      </c>
      <c r="W144" s="101">
        <v>3489</v>
      </c>
      <c r="X144" s="101">
        <v>4</v>
      </c>
      <c r="Y144" s="99"/>
      <c r="Z144" s="101" t="s">
        <v>965</v>
      </c>
      <c r="AA144" s="101" t="s">
        <v>1000</v>
      </c>
      <c r="AB144" s="106"/>
      <c r="AC144" s="106">
        <f t="shared" si="0"/>
      </c>
      <c r="AD144" s="99"/>
      <c r="AE144" s="99"/>
      <c r="AF144" s="99"/>
      <c r="AG144" s="107"/>
      <c r="AH144" s="107"/>
      <c r="AI144" s="107"/>
      <c r="AJ144" s="107"/>
    </row>
    <row customHeight="true" ht="33" r="145">
      <c r="A145" s="100" t="s">
        <v>1383</v>
      </c>
      <c r="B145" s="101" t="s">
        <v>958</v>
      </c>
      <c r="C145" s="101" t="s">
        <v>1354</v>
      </c>
      <c r="D145" s="101" t="s">
        <v>1355</v>
      </c>
      <c r="E145" s="102" t="s">
        <v>1356</v>
      </c>
      <c r="F145" s="103">
        <v>46121.76803240741</v>
      </c>
      <c r="G145" s="101" t="s">
        <v>962</v>
      </c>
      <c r="H145" s="101">
        <v>5000</v>
      </c>
      <c r="I145" s="101">
        <v>5000</v>
      </c>
      <c r="J145" s="101">
        <v>5000</v>
      </c>
      <c r="K145" s="101" t="s">
        <v>963</v>
      </c>
      <c r="L145" s="101">
        <v>840107</v>
      </c>
      <c r="M145" s="104">
        <v>5.95</v>
      </c>
      <c r="N145" s="97"/>
      <c r="O145" s="97"/>
      <c r="P145" s="97"/>
      <c r="Q145" s="97"/>
      <c r="R145" s="105">
        <v>840107</v>
      </c>
      <c r="S145" s="101" t="s">
        <v>964</v>
      </c>
      <c r="T145" s="101">
        <v>81777</v>
      </c>
      <c r="U145" s="101">
        <v>131</v>
      </c>
      <c r="V145" s="101">
        <v>17540</v>
      </c>
      <c r="W145" s="101">
        <v>40752</v>
      </c>
      <c r="X145" s="101">
        <v>100</v>
      </c>
      <c r="Y145" s="99"/>
      <c r="Z145" s="101" t="s">
        <v>965</v>
      </c>
      <c r="AA145" s="101" t="s">
        <v>1000</v>
      </c>
      <c r="AB145" s="106"/>
      <c r="AC145" s="106">
        <f t="shared" si="0"/>
      </c>
      <c r="AD145" s="99"/>
      <c r="AE145" s="99"/>
      <c r="AF145" s="99"/>
      <c r="AG145" s="107"/>
      <c r="AH145" s="107"/>
      <c r="AI145" s="107"/>
      <c r="AJ145" s="107"/>
    </row>
    <row customHeight="true" ht="33" r="146">
      <c r="A146" s="100" t="s">
        <v>1384</v>
      </c>
      <c r="B146" s="101" t="s">
        <v>958</v>
      </c>
      <c r="C146" s="101" t="s">
        <v>1385</v>
      </c>
      <c r="D146" s="101" t="s">
        <v>1386</v>
      </c>
      <c r="E146" s="102" t="s">
        <v>1387</v>
      </c>
      <c r="F146" s="103">
        <v>46122.77449074074</v>
      </c>
      <c r="G146" s="101" t="s">
        <v>962</v>
      </c>
      <c r="H146" s="101">
        <v>1000</v>
      </c>
      <c r="I146" s="101">
        <v>1000</v>
      </c>
      <c r="J146" s="101">
        <v>1000</v>
      </c>
      <c r="K146" s="101" t="s">
        <v>963</v>
      </c>
      <c r="L146" s="101">
        <v>60399</v>
      </c>
      <c r="M146" s="104">
        <v>16.56</v>
      </c>
      <c r="N146" s="97"/>
      <c r="O146" s="97"/>
      <c r="P146" s="97"/>
      <c r="Q146" s="97"/>
      <c r="R146" s="105">
        <v>60399</v>
      </c>
      <c r="S146" s="101" t="s">
        <v>964</v>
      </c>
      <c r="T146" s="101">
        <v>3124</v>
      </c>
      <c r="U146" s="101">
        <v>25</v>
      </c>
      <c r="V146" s="101">
        <v>25</v>
      </c>
      <c r="W146" s="101">
        <v>587</v>
      </c>
      <c r="X146" s="101">
        <v>10</v>
      </c>
      <c r="Y146" s="99"/>
      <c r="Z146" s="101" t="s">
        <v>965</v>
      </c>
      <c r="AA146" s="101" t="s">
        <v>1000</v>
      </c>
      <c r="AB146" s="106"/>
      <c r="AC146" s="106">
        <f t="shared" si="0"/>
      </c>
      <c r="AD146" s="99"/>
      <c r="AE146" s="99"/>
      <c r="AF146" s="99"/>
      <c r="AG146" s="107"/>
      <c r="AH146" s="107"/>
      <c r="AI146" s="107"/>
      <c r="AJ146" s="107"/>
    </row>
    <row customHeight="true" ht="33" r="147">
      <c r="A147" s="100" t="s">
        <v>1388</v>
      </c>
      <c r="B147" s="101" t="s">
        <v>958</v>
      </c>
      <c r="C147" s="101" t="s">
        <v>1389</v>
      </c>
      <c r="D147" s="101" t="s">
        <v>1390</v>
      </c>
      <c r="E147" s="102" t="s">
        <v>1391</v>
      </c>
      <c r="F147" s="103">
        <v>46122.77099537037</v>
      </c>
      <c r="G147" s="101" t="s">
        <v>962</v>
      </c>
      <c r="H147" s="101">
        <v>1000</v>
      </c>
      <c r="I147" s="101">
        <v>1000</v>
      </c>
      <c r="J147" s="101">
        <v>1000</v>
      </c>
      <c r="K147" s="101" t="s">
        <v>963</v>
      </c>
      <c r="L147" s="101">
        <v>60319</v>
      </c>
      <c r="M147" s="104">
        <v>16.58</v>
      </c>
      <c r="N147" s="97"/>
      <c r="O147" s="97"/>
      <c r="P147" s="97"/>
      <c r="Q147" s="97"/>
      <c r="R147" s="105">
        <v>60319</v>
      </c>
      <c r="S147" s="101" t="s">
        <v>964</v>
      </c>
      <c r="T147" s="101">
        <v>1715</v>
      </c>
      <c r="U147" s="101">
        <v>101</v>
      </c>
      <c r="V147" s="101">
        <v>6</v>
      </c>
      <c r="W147" s="101">
        <v>152</v>
      </c>
      <c r="X147" s="101">
        <v>27</v>
      </c>
      <c r="Y147" s="99"/>
      <c r="Z147" s="101" t="s">
        <v>965</v>
      </c>
      <c r="AA147" s="101" t="s">
        <v>1000</v>
      </c>
      <c r="AB147" s="106"/>
      <c r="AC147" s="106">
        <f t="shared" si="0"/>
      </c>
      <c r="AD147" s="99"/>
      <c r="AE147" s="99"/>
      <c r="AF147" s="99"/>
      <c r="AG147" s="107"/>
      <c r="AH147" s="107"/>
      <c r="AI147" s="107"/>
      <c r="AJ147" s="107"/>
    </row>
    <row customHeight="true" ht="33" r="148">
      <c r="A148" s="100" t="s">
        <v>1392</v>
      </c>
      <c r="B148" s="101" t="s">
        <v>958</v>
      </c>
      <c r="C148" s="101" t="s">
        <v>1393</v>
      </c>
      <c r="D148" s="101" t="s">
        <v>1394</v>
      </c>
      <c r="E148" s="102" t="s">
        <v>1395</v>
      </c>
      <c r="F148" s="103">
        <v>46122.76834490741</v>
      </c>
      <c r="G148" s="101" t="s">
        <v>962</v>
      </c>
      <c r="H148" s="101">
        <v>1000</v>
      </c>
      <c r="I148" s="101">
        <v>1000</v>
      </c>
      <c r="J148" s="101">
        <v>1000</v>
      </c>
      <c r="K148" s="101" t="s">
        <v>963</v>
      </c>
      <c r="L148" s="101">
        <v>55007</v>
      </c>
      <c r="M148" s="104">
        <v>18.18</v>
      </c>
      <c r="N148" s="97"/>
      <c r="O148" s="97"/>
      <c r="P148" s="97"/>
      <c r="Q148" s="97"/>
      <c r="R148" s="105">
        <v>55007</v>
      </c>
      <c r="S148" s="101" t="s">
        <v>964</v>
      </c>
      <c r="T148" s="101">
        <v>1972</v>
      </c>
      <c r="U148" s="101">
        <v>19</v>
      </c>
      <c r="V148" s="101">
        <v>30</v>
      </c>
      <c r="W148" s="101">
        <v>153</v>
      </c>
      <c r="X148" s="101">
        <v>4</v>
      </c>
      <c r="Y148" s="99"/>
      <c r="Z148" s="101" t="s">
        <v>965</v>
      </c>
      <c r="AA148" s="101" t="s">
        <v>1000</v>
      </c>
      <c r="AB148" s="106"/>
      <c r="AC148" s="106">
        <f t="shared" si="0"/>
      </c>
      <c r="AD148" s="99"/>
      <c r="AE148" s="99"/>
      <c r="AF148" s="99"/>
      <c r="AG148" s="107"/>
      <c r="AH148" s="107"/>
      <c r="AI148" s="107"/>
      <c r="AJ148" s="107"/>
    </row>
    <row customHeight="true" ht="33" r="149">
      <c r="A149" s="100" t="s">
        <v>1396</v>
      </c>
      <c r="B149" s="101" t="s">
        <v>958</v>
      </c>
      <c r="C149" s="101" t="s">
        <v>1397</v>
      </c>
      <c r="D149" s="101" t="s">
        <v>1398</v>
      </c>
      <c r="E149" s="102" t="s">
        <v>1356</v>
      </c>
      <c r="F149" s="103">
        <v>46122.766921296294</v>
      </c>
      <c r="G149" s="101" t="s">
        <v>962</v>
      </c>
      <c r="H149" s="101">
        <v>5000</v>
      </c>
      <c r="I149" s="101">
        <v>5000</v>
      </c>
      <c r="J149" s="101">
        <v>5000</v>
      </c>
      <c r="K149" s="101" t="s">
        <v>963</v>
      </c>
      <c r="L149" s="101">
        <v>934972</v>
      </c>
      <c r="M149" s="104">
        <v>5.35</v>
      </c>
      <c r="N149" s="97"/>
      <c r="O149" s="97"/>
      <c r="P149" s="97"/>
      <c r="Q149" s="97"/>
      <c r="R149" s="105">
        <v>934972</v>
      </c>
      <c r="S149" s="101" t="s">
        <v>964</v>
      </c>
      <c r="T149" s="101">
        <v>100926</v>
      </c>
      <c r="U149" s="101">
        <v>152</v>
      </c>
      <c r="V149" s="101">
        <v>19873</v>
      </c>
      <c r="W149" s="101">
        <v>50216</v>
      </c>
      <c r="X149" s="101">
        <v>79</v>
      </c>
      <c r="Y149" s="99"/>
      <c r="Z149" s="101" t="s">
        <v>965</v>
      </c>
      <c r="AA149" s="101" t="s">
        <v>1000</v>
      </c>
      <c r="AB149" s="106"/>
      <c r="AC149" s="106">
        <f t="shared" si="0"/>
      </c>
      <c r="AD149" s="99"/>
      <c r="AE149" s="99"/>
      <c r="AF149" s="99"/>
      <c r="AG149" s="107"/>
      <c r="AH149" s="107"/>
      <c r="AI149" s="107"/>
      <c r="AJ149" s="107"/>
    </row>
    <row customHeight="true" ht="33" r="150">
      <c r="A150" s="100" t="s">
        <v>1399</v>
      </c>
      <c r="B150" s="101" t="s">
        <v>958</v>
      </c>
      <c r="C150" s="101" t="s">
        <v>1400</v>
      </c>
      <c r="D150" s="101" t="s">
        <v>1401</v>
      </c>
      <c r="E150" s="102" t="s">
        <v>1402</v>
      </c>
      <c r="F150" s="103">
        <v>46125.71913194445</v>
      </c>
      <c r="G150" s="101" t="s">
        <v>1205</v>
      </c>
      <c r="H150" s="101">
        <v>1000</v>
      </c>
      <c r="I150" s="101">
        <v>1000</v>
      </c>
      <c r="J150" s="101">
        <v>598.97</v>
      </c>
      <c r="K150" s="101" t="s">
        <v>963</v>
      </c>
      <c r="L150" s="101">
        <v>38077</v>
      </c>
      <c r="M150" s="104">
        <v>15.73</v>
      </c>
      <c r="N150" s="97"/>
      <c r="O150" s="97"/>
      <c r="P150" s="97"/>
      <c r="Q150" s="97"/>
      <c r="R150" s="105">
        <v>38077</v>
      </c>
      <c r="S150" s="101" t="s">
        <v>964</v>
      </c>
      <c r="T150" s="101">
        <v>1621</v>
      </c>
      <c r="U150" s="101">
        <v>59</v>
      </c>
      <c r="V150" s="101">
        <v>727</v>
      </c>
      <c r="W150" s="101">
        <v>148</v>
      </c>
      <c r="X150" s="101">
        <v>27</v>
      </c>
      <c r="Y150" s="99"/>
      <c r="Z150" s="101" t="s">
        <v>965</v>
      </c>
      <c r="AA150" s="101" t="s">
        <v>1000</v>
      </c>
      <c r="AB150" s="106"/>
      <c r="AC150" s="106">
        <f t="shared" si="0"/>
      </c>
      <c r="AD150" s="99"/>
      <c r="AE150" s="99"/>
      <c r="AF150" s="99"/>
      <c r="AG150" s="107"/>
      <c r="AH150" s="107"/>
      <c r="AI150" s="107"/>
      <c r="AJ150" s="107"/>
    </row>
    <row customHeight="true" ht="33" r="151">
      <c r="A151" s="100" t="s">
        <v>1403</v>
      </c>
      <c r="B151" s="101" t="s">
        <v>958</v>
      </c>
      <c r="C151" s="101" t="s">
        <v>1404</v>
      </c>
      <c r="D151" s="101" t="s">
        <v>1405</v>
      </c>
      <c r="E151" s="102" t="s">
        <v>1406</v>
      </c>
      <c r="F151" s="103">
        <v>46125.71837962963</v>
      </c>
      <c r="G151" s="101" t="s">
        <v>1229</v>
      </c>
      <c r="H151" s="101">
        <v>1000</v>
      </c>
      <c r="I151" s="101">
        <v>1000</v>
      </c>
      <c r="J151" s="101">
        <v>0</v>
      </c>
      <c r="K151" s="101" t="s">
        <v>963</v>
      </c>
      <c r="L151" s="101">
        <v>0</v>
      </c>
      <c r="M151" s="104">
        <v>0</v>
      </c>
      <c r="N151" s="97"/>
      <c r="O151" s="97"/>
      <c r="P151" s="97"/>
      <c r="Q151" s="97"/>
      <c r="R151" s="105">
        <v>0</v>
      </c>
      <c r="S151" s="101" t="s">
        <v>964</v>
      </c>
      <c r="T151" s="101">
        <v>0</v>
      </c>
      <c r="U151" s="101">
        <v>0</v>
      </c>
      <c r="V151" s="101">
        <v>0</v>
      </c>
      <c r="W151" s="101">
        <v>0</v>
      </c>
      <c r="X151" s="101">
        <v>0</v>
      </c>
      <c r="Y151" s="99"/>
      <c r="Z151" s="101" t="s">
        <v>965</v>
      </c>
      <c r="AA151" s="101" t="s">
        <v>1000</v>
      </c>
      <c r="AB151" s="106"/>
      <c r="AC151" s="106">
        <f t="shared" si="0"/>
      </c>
      <c r="AD151" s="99"/>
      <c r="AE151" s="99"/>
      <c r="AF151" s="99"/>
      <c r="AG151" s="107"/>
      <c r="AH151" s="107"/>
      <c r="AI151" s="107"/>
      <c r="AJ151" s="107"/>
    </row>
    <row customHeight="true" ht="33" r="152">
      <c r="A152" s="100" t="s">
        <v>1407</v>
      </c>
      <c r="B152" s="101" t="s">
        <v>958</v>
      </c>
      <c r="C152" s="101" t="s">
        <v>1408</v>
      </c>
      <c r="D152" s="101" t="s">
        <v>1409</v>
      </c>
      <c r="E152" s="102" t="s">
        <v>1410</v>
      </c>
      <c r="F152" s="103">
        <v>46125.71759259259</v>
      </c>
      <c r="G152" s="101" t="s">
        <v>962</v>
      </c>
      <c r="H152" s="101">
        <v>1000</v>
      </c>
      <c r="I152" s="101">
        <v>1000</v>
      </c>
      <c r="J152" s="101">
        <v>1000</v>
      </c>
      <c r="K152" s="101" t="s">
        <v>963</v>
      </c>
      <c r="L152" s="101">
        <v>156707</v>
      </c>
      <c r="M152" s="104">
        <v>6.38</v>
      </c>
      <c r="N152" s="97"/>
      <c r="O152" s="97"/>
      <c r="P152" s="97"/>
      <c r="Q152" s="97"/>
      <c r="R152" s="105">
        <v>156707</v>
      </c>
      <c r="S152" s="101" t="s">
        <v>964</v>
      </c>
      <c r="T152" s="101">
        <v>203</v>
      </c>
      <c r="U152" s="101">
        <v>1</v>
      </c>
      <c r="V152" s="101">
        <v>20</v>
      </c>
      <c r="W152" s="101">
        <v>121</v>
      </c>
      <c r="X152" s="101">
        <v>10</v>
      </c>
      <c r="Y152" s="99"/>
      <c r="Z152" s="101" t="s">
        <v>965</v>
      </c>
      <c r="AA152" s="101" t="s">
        <v>1000</v>
      </c>
      <c r="AB152" s="106"/>
      <c r="AC152" s="106">
        <f t="shared" si="0"/>
      </c>
      <c r="AD152" s="99"/>
      <c r="AE152" s="99"/>
      <c r="AF152" s="99"/>
      <c r="AG152" s="107"/>
      <c r="AH152" s="107"/>
      <c r="AI152" s="107"/>
      <c r="AJ152" s="107"/>
    </row>
    <row customHeight="true" ht="33" r="153">
      <c r="A153" s="100" t="s">
        <v>1411</v>
      </c>
      <c r="B153" s="101" t="s">
        <v>958</v>
      </c>
      <c r="C153" s="101" t="s">
        <v>1412</v>
      </c>
      <c r="D153" s="101" t="s">
        <v>1413</v>
      </c>
      <c r="E153" s="102" t="s">
        <v>1414</v>
      </c>
      <c r="F153" s="103">
        <v>46125.71737268518</v>
      </c>
      <c r="G153" s="101" t="s">
        <v>962</v>
      </c>
      <c r="H153" s="101">
        <v>1000</v>
      </c>
      <c r="I153" s="101">
        <v>1000</v>
      </c>
      <c r="J153" s="101">
        <v>1000</v>
      </c>
      <c r="K153" s="101" t="s">
        <v>963</v>
      </c>
      <c r="L153" s="101">
        <v>60161</v>
      </c>
      <c r="M153" s="104">
        <v>16.62</v>
      </c>
      <c r="N153" s="97"/>
      <c r="O153" s="97"/>
      <c r="P153" s="97"/>
      <c r="Q153" s="97"/>
      <c r="R153" s="105">
        <v>60161</v>
      </c>
      <c r="S153" s="101" t="s">
        <v>964</v>
      </c>
      <c r="T153" s="101">
        <v>3652</v>
      </c>
      <c r="U153" s="101">
        <v>18</v>
      </c>
      <c r="V153" s="101">
        <v>1070</v>
      </c>
      <c r="W153" s="101">
        <v>146</v>
      </c>
      <c r="X153" s="101">
        <v>6</v>
      </c>
      <c r="Y153" s="99"/>
      <c r="Z153" s="101" t="s">
        <v>965</v>
      </c>
      <c r="AA153" s="101" t="s">
        <v>1000</v>
      </c>
      <c r="AB153" s="106"/>
      <c r="AC153" s="106">
        <f t="shared" si="0"/>
      </c>
      <c r="AD153" s="99"/>
      <c r="AE153" s="99"/>
      <c r="AF153" s="99"/>
      <c r="AG153" s="107"/>
      <c r="AH153" s="107"/>
      <c r="AI153" s="107"/>
      <c r="AJ153" s="107"/>
    </row>
    <row customHeight="true" ht="33" r="154">
      <c r="A154" s="100" t="s">
        <v>1415</v>
      </c>
      <c r="B154" s="101" t="s">
        <v>958</v>
      </c>
      <c r="C154" s="101" t="s">
        <v>1412</v>
      </c>
      <c r="D154" s="101" t="s">
        <v>1413</v>
      </c>
      <c r="E154" s="102" t="s">
        <v>1414</v>
      </c>
      <c r="F154" s="103">
        <v>46126.77732638889</v>
      </c>
      <c r="G154" s="101" t="s">
        <v>962</v>
      </c>
      <c r="H154" s="101">
        <v>5000</v>
      </c>
      <c r="I154" s="101">
        <v>5000</v>
      </c>
      <c r="J154" s="101">
        <v>5000</v>
      </c>
      <c r="K154" s="101" t="s">
        <v>963</v>
      </c>
      <c r="L154" s="101">
        <v>299934</v>
      </c>
      <c r="M154" s="104">
        <v>16.67</v>
      </c>
      <c r="N154" s="97"/>
      <c r="O154" s="97"/>
      <c r="P154" s="97"/>
      <c r="Q154" s="97"/>
      <c r="R154" s="105">
        <v>299934</v>
      </c>
      <c r="S154" s="101" t="s">
        <v>964</v>
      </c>
      <c r="T154" s="101">
        <v>52870</v>
      </c>
      <c r="U154" s="101">
        <v>263</v>
      </c>
      <c r="V154" s="101">
        <v>27691</v>
      </c>
      <c r="W154" s="101">
        <v>2107</v>
      </c>
      <c r="X154" s="101">
        <v>67</v>
      </c>
      <c r="Y154" s="99"/>
      <c r="Z154" s="101" t="s">
        <v>965</v>
      </c>
      <c r="AA154" s="101" t="s">
        <v>1000</v>
      </c>
      <c r="AB154" s="106"/>
      <c r="AC154" s="106">
        <f t="shared" si="0"/>
      </c>
      <c r="AD154" s="99"/>
      <c r="AE154" s="99"/>
      <c r="AF154" s="99"/>
      <c r="AG154" s="107"/>
      <c r="AH154" s="107"/>
      <c r="AI154" s="107"/>
      <c r="AJ154" s="107"/>
    </row>
    <row customHeight="true" ht="33" r="155">
      <c r="A155" s="100" t="s">
        <v>1416</v>
      </c>
      <c r="B155" s="101" t="s">
        <v>958</v>
      </c>
      <c r="C155" s="101" t="s">
        <v>1417</v>
      </c>
      <c r="D155" s="101" t="s">
        <v>1418</v>
      </c>
      <c r="E155" s="102" t="s">
        <v>1419</v>
      </c>
      <c r="F155" s="103">
        <v>46126.76733796296</v>
      </c>
      <c r="G155" s="101" t="s">
        <v>962</v>
      </c>
      <c r="H155" s="101">
        <v>1000</v>
      </c>
      <c r="I155" s="101">
        <v>1000</v>
      </c>
      <c r="J155" s="101">
        <v>1000</v>
      </c>
      <c r="K155" s="101" t="s">
        <v>963</v>
      </c>
      <c r="L155" s="101">
        <v>59416</v>
      </c>
      <c r="M155" s="104">
        <v>16.83</v>
      </c>
      <c r="N155" s="97"/>
      <c r="O155" s="97"/>
      <c r="P155" s="97"/>
      <c r="Q155" s="97"/>
      <c r="R155" s="105">
        <v>59416</v>
      </c>
      <c r="S155" s="101" t="s">
        <v>964</v>
      </c>
      <c r="T155" s="101">
        <v>2865</v>
      </c>
      <c r="U155" s="101">
        <v>59</v>
      </c>
      <c r="V155" s="101">
        <v>23</v>
      </c>
      <c r="W155" s="101">
        <v>303</v>
      </c>
      <c r="X155" s="101">
        <v>14</v>
      </c>
      <c r="Y155" s="99"/>
      <c r="Z155" s="101" t="s">
        <v>965</v>
      </c>
      <c r="AA155" s="101" t="s">
        <v>1000</v>
      </c>
      <c r="AB155" s="106"/>
      <c r="AC155" s="106">
        <f t="shared" si="0"/>
      </c>
      <c r="AD155" s="99"/>
      <c r="AE155" s="99"/>
      <c r="AF155" s="99"/>
      <c r="AG155" s="107"/>
      <c r="AH155" s="107"/>
      <c r="AI155" s="107"/>
      <c r="AJ155" s="107"/>
    </row>
    <row customHeight="true" ht="33" r="156">
      <c r="A156" s="100" t="s">
        <v>1420</v>
      </c>
      <c r="B156" s="101" t="s">
        <v>958</v>
      </c>
      <c r="C156" s="101" t="s">
        <v>1421</v>
      </c>
      <c r="D156" s="101" t="s">
        <v>1422</v>
      </c>
      <c r="E156" s="102" t="s">
        <v>1423</v>
      </c>
      <c r="F156" s="103">
        <v>46126.7665625</v>
      </c>
      <c r="G156" s="101" t="s">
        <v>962</v>
      </c>
      <c r="H156" s="101">
        <v>1000</v>
      </c>
      <c r="I156" s="101">
        <v>1000</v>
      </c>
      <c r="J156" s="101">
        <v>1000</v>
      </c>
      <c r="K156" s="101" t="s">
        <v>963</v>
      </c>
      <c r="L156" s="101">
        <v>79053</v>
      </c>
      <c r="M156" s="104">
        <v>12.65</v>
      </c>
      <c r="N156" s="97"/>
      <c r="O156" s="97"/>
      <c r="P156" s="97"/>
      <c r="Q156" s="97"/>
      <c r="R156" s="105">
        <v>79053</v>
      </c>
      <c r="S156" s="101" t="s">
        <v>964</v>
      </c>
      <c r="T156" s="101">
        <v>1919</v>
      </c>
      <c r="U156" s="101">
        <v>28</v>
      </c>
      <c r="V156" s="101">
        <v>37</v>
      </c>
      <c r="W156" s="101">
        <v>125</v>
      </c>
      <c r="X156" s="101">
        <v>15</v>
      </c>
      <c r="Y156" s="99"/>
      <c r="Z156" s="101" t="s">
        <v>965</v>
      </c>
      <c r="AA156" s="101" t="s">
        <v>1000</v>
      </c>
      <c r="AB156" s="106"/>
      <c r="AC156" s="106">
        <f t="shared" si="0"/>
      </c>
      <c r="AD156" s="99"/>
      <c r="AE156" s="99"/>
      <c r="AF156" s="99"/>
      <c r="AG156" s="107"/>
      <c r="AH156" s="107"/>
      <c r="AI156" s="107"/>
      <c r="AJ156" s="107"/>
    </row>
    <row customHeight="true" ht="33" r="157">
      <c r="A157" s="100" t="s">
        <v>1424</v>
      </c>
      <c r="B157" s="101" t="s">
        <v>958</v>
      </c>
      <c r="C157" s="101" t="s">
        <v>1425</v>
      </c>
      <c r="D157" s="101" t="s">
        <v>1426</v>
      </c>
      <c r="E157" s="102" t="s">
        <v>1427</v>
      </c>
      <c r="F157" s="103">
        <v>46127.74104166667</v>
      </c>
      <c r="G157" s="101" t="s">
        <v>962</v>
      </c>
      <c r="H157" s="101">
        <v>1000</v>
      </c>
      <c r="I157" s="101">
        <v>1000</v>
      </c>
      <c r="J157" s="101">
        <v>1000</v>
      </c>
      <c r="K157" s="101" t="s">
        <v>963</v>
      </c>
      <c r="L157" s="101">
        <v>80761</v>
      </c>
      <c r="M157" s="104">
        <v>12.38</v>
      </c>
      <c r="N157" s="97"/>
      <c r="O157" s="97"/>
      <c r="P157" s="97"/>
      <c r="Q157" s="97"/>
      <c r="R157" s="105">
        <v>80761</v>
      </c>
      <c r="S157" s="101" t="s">
        <v>964</v>
      </c>
      <c r="T157" s="101">
        <v>2787</v>
      </c>
      <c r="U157" s="101">
        <v>17</v>
      </c>
      <c r="V157" s="101">
        <v>235</v>
      </c>
      <c r="W157" s="101">
        <v>99</v>
      </c>
      <c r="X157" s="101">
        <v>15</v>
      </c>
      <c r="Y157" s="99"/>
      <c r="Z157" s="101" t="s">
        <v>965</v>
      </c>
      <c r="AA157" s="101" t="s">
        <v>1000</v>
      </c>
      <c r="AB157" s="106"/>
      <c r="AC157" s="106">
        <f t="shared" si="0"/>
      </c>
      <c r="AD157" s="99"/>
      <c r="AE157" s="99"/>
      <c r="AF157" s="99"/>
      <c r="AG157" s="107"/>
      <c r="AH157" s="107"/>
      <c r="AI157" s="107"/>
      <c r="AJ157" s="107"/>
    </row>
    <row customHeight="true" ht="33" r="158">
      <c r="A158" s="100" t="s">
        <v>1428</v>
      </c>
      <c r="B158" s="101" t="s">
        <v>958</v>
      </c>
      <c r="C158" s="101" t="s">
        <v>1412</v>
      </c>
      <c r="D158" s="101" t="s">
        <v>1413</v>
      </c>
      <c r="E158" s="102" t="s">
        <v>1414</v>
      </c>
      <c r="F158" s="103">
        <v>46127.74074074074</v>
      </c>
      <c r="G158" s="101" t="s">
        <v>962</v>
      </c>
      <c r="H158" s="101">
        <v>10000</v>
      </c>
      <c r="I158" s="101">
        <v>10000</v>
      </c>
      <c r="J158" s="101">
        <v>10000</v>
      </c>
      <c r="K158" s="101" t="s">
        <v>963</v>
      </c>
      <c r="L158" s="101">
        <v>656303</v>
      </c>
      <c r="M158" s="104">
        <v>15.24</v>
      </c>
      <c r="N158" s="97"/>
      <c r="O158" s="97"/>
      <c r="P158" s="97"/>
      <c r="Q158" s="97"/>
      <c r="R158" s="105">
        <v>656303</v>
      </c>
      <c r="S158" s="101" t="s">
        <v>964</v>
      </c>
      <c r="T158" s="101">
        <v>72721</v>
      </c>
      <c r="U158" s="101">
        <v>621</v>
      </c>
      <c r="V158" s="101">
        <v>42189</v>
      </c>
      <c r="W158" s="101">
        <v>5833</v>
      </c>
      <c r="X158" s="101">
        <v>105</v>
      </c>
      <c r="Y158" s="99"/>
      <c r="Z158" s="101" t="s">
        <v>965</v>
      </c>
      <c r="AA158" s="101" t="s">
        <v>1000</v>
      </c>
      <c r="AB158" s="106"/>
      <c r="AC158" s="106">
        <f t="shared" si="0"/>
      </c>
      <c r="AD158" s="99"/>
      <c r="AE158" s="99"/>
      <c r="AF158" s="99"/>
      <c r="AG158" s="107"/>
      <c r="AH158" s="107"/>
      <c r="AI158" s="107"/>
      <c r="AJ158" s="107"/>
    </row>
    <row customHeight="true" ht="33" r="159">
      <c r="A159" s="100" t="s">
        <v>1429</v>
      </c>
      <c r="B159" s="101" t="s">
        <v>958</v>
      </c>
      <c r="C159" s="101" t="s">
        <v>1430</v>
      </c>
      <c r="D159" s="101" t="s">
        <v>1431</v>
      </c>
      <c r="E159" s="102" t="s">
        <v>1432</v>
      </c>
      <c r="F159" s="103">
        <v>46127.740324074075</v>
      </c>
      <c r="G159" s="101" t="s">
        <v>962</v>
      </c>
      <c r="H159" s="101">
        <v>1000</v>
      </c>
      <c r="I159" s="101">
        <v>1000</v>
      </c>
      <c r="J159" s="101">
        <v>1000</v>
      </c>
      <c r="K159" s="101" t="s">
        <v>963</v>
      </c>
      <c r="L159" s="101">
        <v>61608</v>
      </c>
      <c r="M159" s="104">
        <v>16.23</v>
      </c>
      <c r="N159" s="97"/>
      <c r="O159" s="97"/>
      <c r="P159" s="97"/>
      <c r="Q159" s="97"/>
      <c r="R159" s="105">
        <v>61608</v>
      </c>
      <c r="S159" s="101" t="s">
        <v>964</v>
      </c>
      <c r="T159" s="101">
        <v>909</v>
      </c>
      <c r="U159" s="101">
        <v>25</v>
      </c>
      <c r="V159" s="101">
        <v>39</v>
      </c>
      <c r="W159" s="101">
        <v>108</v>
      </c>
      <c r="X159" s="101">
        <v>24</v>
      </c>
      <c r="Y159" s="99"/>
      <c r="Z159" s="101" t="s">
        <v>965</v>
      </c>
      <c r="AA159" s="101" t="s">
        <v>1000</v>
      </c>
      <c r="AB159" s="106"/>
      <c r="AC159" s="106">
        <f t="shared" si="0"/>
      </c>
      <c r="AD159" s="99"/>
      <c r="AE159" s="99"/>
      <c r="AF159" s="99"/>
      <c r="AG159" s="107"/>
      <c r="AH159" s="107"/>
      <c r="AI159" s="107"/>
      <c r="AJ159" s="107"/>
    </row>
    <row customHeight="true" ht="33" r="160">
      <c r="A160" s="100" t="s">
        <v>1433</v>
      </c>
      <c r="B160" s="101" t="s">
        <v>958</v>
      </c>
      <c r="C160" s="101" t="s">
        <v>1434</v>
      </c>
      <c r="D160" s="101" t="s">
        <v>1435</v>
      </c>
      <c r="E160" s="102" t="s">
        <v>1436</v>
      </c>
      <c r="F160" s="103">
        <v>46128.7734375</v>
      </c>
      <c r="G160" s="101" t="s">
        <v>962</v>
      </c>
      <c r="H160" s="101">
        <v>1000</v>
      </c>
      <c r="I160" s="101">
        <v>1000</v>
      </c>
      <c r="J160" s="101">
        <v>1000</v>
      </c>
      <c r="K160" s="101" t="s">
        <v>963</v>
      </c>
      <c r="L160" s="101">
        <v>77465</v>
      </c>
      <c r="M160" s="104">
        <v>12.91</v>
      </c>
      <c r="N160" s="97"/>
      <c r="O160" s="97"/>
      <c r="P160" s="97"/>
      <c r="Q160" s="97"/>
      <c r="R160" s="105">
        <v>77465</v>
      </c>
      <c r="S160" s="101" t="s">
        <v>964</v>
      </c>
      <c r="T160" s="101">
        <v>4664</v>
      </c>
      <c r="U160" s="101">
        <v>26</v>
      </c>
      <c r="V160" s="101">
        <v>22</v>
      </c>
      <c r="W160" s="101">
        <v>391</v>
      </c>
      <c r="X160" s="101">
        <v>23</v>
      </c>
      <c r="Y160" s="99"/>
      <c r="Z160" s="101" t="s">
        <v>965</v>
      </c>
      <c r="AA160" s="101" t="s">
        <v>1000</v>
      </c>
      <c r="AB160" s="106"/>
      <c r="AC160" s="106">
        <f t="shared" si="0"/>
      </c>
      <c r="AD160" s="99"/>
      <c r="AE160" s="99"/>
      <c r="AF160" s="99"/>
      <c r="AG160" s="107"/>
      <c r="AH160" s="107"/>
      <c r="AI160" s="107"/>
      <c r="AJ160" s="107"/>
    </row>
    <row customHeight="true" ht="33" r="161">
      <c r="A161" s="100" t="s">
        <v>1437</v>
      </c>
      <c r="B161" s="101" t="s">
        <v>958</v>
      </c>
      <c r="C161" s="101" t="s">
        <v>1438</v>
      </c>
      <c r="D161" s="101" t="s">
        <v>1439</v>
      </c>
      <c r="E161" s="102" t="s">
        <v>1440</v>
      </c>
      <c r="F161" s="103">
        <v>46128.772731481484</v>
      </c>
      <c r="G161" s="101" t="s">
        <v>962</v>
      </c>
      <c r="H161" s="101">
        <v>1000</v>
      </c>
      <c r="I161" s="101">
        <v>1000</v>
      </c>
      <c r="J161" s="101">
        <v>1000</v>
      </c>
      <c r="K161" s="101" t="s">
        <v>963</v>
      </c>
      <c r="L161" s="101">
        <v>80960</v>
      </c>
      <c r="M161" s="104">
        <v>12.35</v>
      </c>
      <c r="N161" s="97"/>
      <c r="O161" s="97"/>
      <c r="P161" s="97"/>
      <c r="Q161" s="97"/>
      <c r="R161" s="105">
        <v>80960</v>
      </c>
      <c r="S161" s="101" t="s">
        <v>964</v>
      </c>
      <c r="T161" s="101">
        <v>1693</v>
      </c>
      <c r="U161" s="101">
        <v>13</v>
      </c>
      <c r="V161" s="101">
        <v>32</v>
      </c>
      <c r="W161" s="101">
        <v>160</v>
      </c>
      <c r="X161" s="101">
        <v>5</v>
      </c>
      <c r="Y161" s="99"/>
      <c r="Z161" s="101" t="s">
        <v>965</v>
      </c>
      <c r="AA161" s="101" t="s">
        <v>1000</v>
      </c>
      <c r="AB161" s="106"/>
      <c r="AC161" s="106">
        <f t="shared" si="0"/>
      </c>
      <c r="AD161" s="99"/>
      <c r="AE161" s="99"/>
      <c r="AF161" s="99"/>
      <c r="AG161" s="107"/>
      <c r="AH161" s="107"/>
      <c r="AI161" s="107"/>
      <c r="AJ161" s="107"/>
    </row>
    <row customHeight="true" ht="33" r="162">
      <c r="A162" s="100" t="s">
        <v>1441</v>
      </c>
      <c r="B162" s="101" t="s">
        <v>958</v>
      </c>
      <c r="C162" s="101" t="s">
        <v>1442</v>
      </c>
      <c r="D162" s="101" t="s">
        <v>1443</v>
      </c>
      <c r="E162" s="102" t="s">
        <v>1444</v>
      </c>
      <c r="F162" s="103">
        <v>46129.77563657407</v>
      </c>
      <c r="G162" s="101" t="s">
        <v>962</v>
      </c>
      <c r="H162" s="101">
        <v>1000</v>
      </c>
      <c r="I162" s="101">
        <v>1000</v>
      </c>
      <c r="J162" s="101">
        <v>1000</v>
      </c>
      <c r="K162" s="101" t="s">
        <v>963</v>
      </c>
      <c r="L162" s="101">
        <v>57589</v>
      </c>
      <c r="M162" s="104">
        <v>17.36</v>
      </c>
      <c r="N162" s="97"/>
      <c r="O162" s="97"/>
      <c r="P162" s="97"/>
      <c r="Q162" s="97"/>
      <c r="R162" s="105">
        <v>57589</v>
      </c>
      <c r="S162" s="101" t="s">
        <v>964</v>
      </c>
      <c r="T162" s="101">
        <v>547</v>
      </c>
      <c r="U162" s="101">
        <v>12</v>
      </c>
      <c r="V162" s="101">
        <v>5</v>
      </c>
      <c r="W162" s="101">
        <v>54</v>
      </c>
      <c r="X162" s="101">
        <v>7</v>
      </c>
      <c r="Y162" s="99"/>
      <c r="Z162" s="101" t="s">
        <v>965</v>
      </c>
      <c r="AA162" s="101" t="s">
        <v>966</v>
      </c>
      <c r="AB162" s="106"/>
      <c r="AC162" s="106">
        <f t="shared" si="0"/>
      </c>
      <c r="AD162" s="99"/>
      <c r="AE162" s="99"/>
      <c r="AF162" s="99"/>
      <c r="AG162" s="107"/>
      <c r="AH162" s="107"/>
      <c r="AI162" s="107"/>
      <c r="AJ162" s="107"/>
    </row>
    <row customHeight="true" ht="33" r="163">
      <c r="A163" s="100" t="s">
        <v>1445</v>
      </c>
      <c r="B163" s="101" t="s">
        <v>958</v>
      </c>
      <c r="C163" s="101" t="s">
        <v>1434</v>
      </c>
      <c r="D163" s="101" t="s">
        <v>1435</v>
      </c>
      <c r="E163" s="102" t="s">
        <v>1436</v>
      </c>
      <c r="F163" s="103">
        <v>46129.77475694445</v>
      </c>
      <c r="G163" s="101" t="s">
        <v>962</v>
      </c>
      <c r="H163" s="101">
        <v>5000</v>
      </c>
      <c r="I163" s="101">
        <v>5000</v>
      </c>
      <c r="J163" s="101">
        <v>5000</v>
      </c>
      <c r="K163" s="101" t="s">
        <v>963</v>
      </c>
      <c r="L163" s="101">
        <v>320145</v>
      </c>
      <c r="M163" s="104">
        <v>15.62</v>
      </c>
      <c r="N163" s="97"/>
      <c r="O163" s="97"/>
      <c r="P163" s="97"/>
      <c r="Q163" s="97"/>
      <c r="R163" s="105">
        <v>320145</v>
      </c>
      <c r="S163" s="101" t="s">
        <v>964</v>
      </c>
      <c r="T163" s="101">
        <v>12642</v>
      </c>
      <c r="U163" s="101">
        <v>19</v>
      </c>
      <c r="V163" s="101">
        <v>140</v>
      </c>
      <c r="W163" s="101">
        <v>1134</v>
      </c>
      <c r="X163" s="101">
        <v>32</v>
      </c>
      <c r="Y163" s="99"/>
      <c r="Z163" s="101" t="s">
        <v>965</v>
      </c>
      <c r="AA163" s="101" t="s">
        <v>966</v>
      </c>
      <c r="AB163" s="106"/>
      <c r="AC163" s="106">
        <f t="shared" si="0"/>
      </c>
      <c r="AD163" s="99"/>
      <c r="AE163" s="99"/>
      <c r="AF163" s="99"/>
      <c r="AG163" s="107"/>
      <c r="AH163" s="107"/>
      <c r="AI163" s="107"/>
      <c r="AJ163" s="107"/>
    </row>
    <row customHeight="true" ht="33" r="164">
      <c r="A164" s="100" t="s">
        <v>1446</v>
      </c>
      <c r="B164" s="101" t="s">
        <v>958</v>
      </c>
      <c r="C164" s="101" t="s">
        <v>1447</v>
      </c>
      <c r="D164" s="101" t="s">
        <v>1448</v>
      </c>
      <c r="E164" s="102" t="s">
        <v>1449</v>
      </c>
      <c r="F164" s="103">
        <v>46132.761724537035</v>
      </c>
      <c r="G164" s="101" t="s">
        <v>962</v>
      </c>
      <c r="H164" s="101">
        <v>1000</v>
      </c>
      <c r="I164" s="101">
        <v>1000</v>
      </c>
      <c r="J164" s="101">
        <v>1000</v>
      </c>
      <c r="K164" s="101" t="s">
        <v>963</v>
      </c>
      <c r="L164" s="101">
        <v>95731</v>
      </c>
      <c r="M164" s="104">
        <v>10.45</v>
      </c>
      <c r="N164" s="97"/>
      <c r="O164" s="97"/>
      <c r="P164" s="97"/>
      <c r="Q164" s="97"/>
      <c r="R164" s="105">
        <v>95731</v>
      </c>
      <c r="S164" s="101" t="s">
        <v>964</v>
      </c>
      <c r="T164" s="101">
        <v>346</v>
      </c>
      <c r="U164" s="101">
        <v>3</v>
      </c>
      <c r="V164" s="101">
        <v>8</v>
      </c>
      <c r="W164" s="101">
        <v>113</v>
      </c>
      <c r="X164" s="101">
        <v>30</v>
      </c>
      <c r="Y164" s="99"/>
      <c r="Z164" s="101" t="s">
        <v>965</v>
      </c>
      <c r="AA164" s="101" t="s">
        <v>1000</v>
      </c>
      <c r="AB164" s="106"/>
      <c r="AC164" s="106">
        <f t="shared" si="0"/>
      </c>
      <c r="AD164" s="99"/>
      <c r="AE164" s="99"/>
      <c r="AF164" s="99"/>
      <c r="AG164" s="107"/>
      <c r="AH164" s="107"/>
      <c r="AI164" s="107"/>
      <c r="AJ164" s="107"/>
    </row>
    <row customHeight="true" ht="33" r="165">
      <c r="A165" s="100" t="s">
        <v>1450</v>
      </c>
      <c r="B165" s="101" t="s">
        <v>958</v>
      </c>
      <c r="C165" s="101" t="s">
        <v>1451</v>
      </c>
      <c r="D165" s="101" t="s">
        <v>1452</v>
      </c>
      <c r="E165" s="102" t="s">
        <v>1453</v>
      </c>
      <c r="F165" s="103">
        <v>46132.7596875</v>
      </c>
      <c r="G165" s="101" t="s">
        <v>962</v>
      </c>
      <c r="H165" s="101">
        <v>1000</v>
      </c>
      <c r="I165" s="101">
        <v>1000</v>
      </c>
      <c r="J165" s="101">
        <v>1000</v>
      </c>
      <c r="K165" s="101" t="s">
        <v>963</v>
      </c>
      <c r="L165" s="101">
        <v>77041</v>
      </c>
      <c r="M165" s="104">
        <v>12.98</v>
      </c>
      <c r="N165" s="97"/>
      <c r="O165" s="97"/>
      <c r="P165" s="97"/>
      <c r="Q165" s="97"/>
      <c r="R165" s="105">
        <v>77041</v>
      </c>
      <c r="S165" s="101" t="s">
        <v>964</v>
      </c>
      <c r="T165" s="101">
        <v>210</v>
      </c>
      <c r="U165" s="101">
        <v>4</v>
      </c>
      <c r="V165" s="101">
        <v>0</v>
      </c>
      <c r="W165" s="101">
        <v>62</v>
      </c>
      <c r="X165" s="101">
        <v>7</v>
      </c>
      <c r="Y165" s="99"/>
      <c r="Z165" s="101" t="s">
        <v>965</v>
      </c>
      <c r="AA165" s="101" t="s">
        <v>1000</v>
      </c>
      <c r="AB165" s="106"/>
      <c r="AC165" s="106">
        <f t="shared" si="0"/>
      </c>
      <c r="AD165" s="99"/>
      <c r="AE165" s="99"/>
      <c r="AF165" s="99"/>
      <c r="AG165" s="107"/>
      <c r="AH165" s="107"/>
      <c r="AI165" s="107"/>
      <c r="AJ165" s="107"/>
    </row>
    <row customHeight="true" ht="33" r="166">
      <c r="A166" s="100" t="s">
        <v>1454</v>
      </c>
      <c r="B166" s="101" t="s">
        <v>958</v>
      </c>
      <c r="C166" s="101" t="s">
        <v>1455</v>
      </c>
      <c r="D166" s="101" t="s">
        <v>1456</v>
      </c>
      <c r="E166" s="102" t="s">
        <v>1457</v>
      </c>
      <c r="F166" s="103">
        <v>46132.759618055556</v>
      </c>
      <c r="G166" s="101" t="s">
        <v>962</v>
      </c>
      <c r="H166" s="101">
        <v>1000</v>
      </c>
      <c r="I166" s="101">
        <v>1000</v>
      </c>
      <c r="J166" s="101">
        <v>1000</v>
      </c>
      <c r="K166" s="101" t="s">
        <v>963</v>
      </c>
      <c r="L166" s="101">
        <v>91510</v>
      </c>
      <c r="M166" s="104">
        <v>10.93</v>
      </c>
      <c r="N166" s="97"/>
      <c r="O166" s="97"/>
      <c r="P166" s="97"/>
      <c r="Q166" s="97"/>
      <c r="R166" s="105">
        <v>91510</v>
      </c>
      <c r="S166" s="101" t="s">
        <v>964</v>
      </c>
      <c r="T166" s="101">
        <v>861</v>
      </c>
      <c r="U166" s="101">
        <v>21</v>
      </c>
      <c r="V166" s="101">
        <v>12</v>
      </c>
      <c r="W166" s="101">
        <v>226</v>
      </c>
      <c r="X166" s="101">
        <v>9</v>
      </c>
      <c r="Y166" s="99"/>
      <c r="Z166" s="101" t="s">
        <v>965</v>
      </c>
      <c r="AA166" s="101" t="s">
        <v>1000</v>
      </c>
      <c r="AB166" s="106"/>
      <c r="AC166" s="106">
        <f t="shared" si="0"/>
      </c>
      <c r="AD166" s="99"/>
      <c r="AE166" s="99"/>
      <c r="AF166" s="99"/>
      <c r="AG166" s="107"/>
      <c r="AH166" s="107"/>
      <c r="AI166" s="107"/>
      <c r="AJ166" s="107"/>
    </row>
    <row customHeight="true" ht="33" r="167">
      <c r="A167" s="100" t="s">
        <v>1458</v>
      </c>
      <c r="B167" s="101" t="s">
        <v>958</v>
      </c>
      <c r="C167" s="101" t="s">
        <v>1459</v>
      </c>
      <c r="D167" s="101" t="s">
        <v>1460</v>
      </c>
      <c r="E167" s="102" t="s">
        <v>1461</v>
      </c>
      <c r="F167" s="103">
        <v>46132.75890046296</v>
      </c>
      <c r="G167" s="101" t="s">
        <v>962</v>
      </c>
      <c r="H167" s="101">
        <v>1000</v>
      </c>
      <c r="I167" s="101">
        <v>1000</v>
      </c>
      <c r="J167" s="101">
        <v>1000</v>
      </c>
      <c r="K167" s="101" t="s">
        <v>963</v>
      </c>
      <c r="L167" s="101">
        <v>61028</v>
      </c>
      <c r="M167" s="104">
        <v>16.39</v>
      </c>
      <c r="N167" s="97"/>
      <c r="O167" s="97"/>
      <c r="P167" s="97"/>
      <c r="Q167" s="97"/>
      <c r="R167" s="105">
        <v>61028</v>
      </c>
      <c r="S167" s="101" t="s">
        <v>964</v>
      </c>
      <c r="T167" s="101">
        <v>217</v>
      </c>
      <c r="U167" s="101">
        <v>11</v>
      </c>
      <c r="V167" s="101">
        <v>5</v>
      </c>
      <c r="W167" s="101">
        <v>106</v>
      </c>
      <c r="X167" s="101">
        <v>12</v>
      </c>
      <c r="Y167" s="99"/>
      <c r="Z167" s="101" t="s">
        <v>965</v>
      </c>
      <c r="AA167" s="101" t="s">
        <v>1000</v>
      </c>
      <c r="AB167" s="106"/>
      <c r="AC167" s="106">
        <f t="shared" si="0"/>
      </c>
      <c r="AD167" s="99"/>
      <c r="AE167" s="99"/>
      <c r="AF167" s="99"/>
      <c r="AG167" s="107"/>
      <c r="AH167" s="107"/>
      <c r="AI167" s="107"/>
      <c r="AJ167" s="107"/>
    </row>
    <row customHeight="true" ht="33" r="168">
      <c r="A168" s="100" t="s">
        <v>1462</v>
      </c>
      <c r="B168" s="101" t="s">
        <v>958</v>
      </c>
      <c r="C168" s="101" t="s">
        <v>1434</v>
      </c>
      <c r="D168" s="101" t="s">
        <v>1463</v>
      </c>
      <c r="E168" s="102" t="s">
        <v>1464</v>
      </c>
      <c r="F168" s="103">
        <v>46132.75802083333</v>
      </c>
      <c r="G168" s="101" t="s">
        <v>962</v>
      </c>
      <c r="H168" s="101">
        <v>1000</v>
      </c>
      <c r="I168" s="101">
        <v>1000</v>
      </c>
      <c r="J168" s="101">
        <v>1000</v>
      </c>
      <c r="K168" s="101" t="s">
        <v>963</v>
      </c>
      <c r="L168" s="101">
        <v>66876</v>
      </c>
      <c r="M168" s="104">
        <v>14.95</v>
      </c>
      <c r="N168" s="97"/>
      <c r="O168" s="97"/>
      <c r="P168" s="97"/>
      <c r="Q168" s="97"/>
      <c r="R168" s="105">
        <v>66876</v>
      </c>
      <c r="S168" s="101" t="s">
        <v>964</v>
      </c>
      <c r="T168" s="101">
        <v>285</v>
      </c>
      <c r="U168" s="101">
        <v>7</v>
      </c>
      <c r="V168" s="101">
        <v>2</v>
      </c>
      <c r="W168" s="101">
        <v>92</v>
      </c>
      <c r="X168" s="101">
        <v>14</v>
      </c>
      <c r="Y168" s="99"/>
      <c r="Z168" s="101" t="s">
        <v>965</v>
      </c>
      <c r="AA168" s="101" t="s">
        <v>1000</v>
      </c>
      <c r="AB168" s="106"/>
      <c r="AC168" s="106">
        <f t="shared" si="0"/>
      </c>
      <c r="AD168" s="99"/>
      <c r="AE168" s="99"/>
      <c r="AF168" s="99"/>
      <c r="AG168" s="107"/>
      <c r="AH168" s="107"/>
      <c r="AI168" s="107"/>
      <c r="AJ168" s="107"/>
    </row>
    <row customHeight="true" ht="33" r="169">
      <c r="A169" s="100" t="s">
        <v>1465</v>
      </c>
      <c r="B169" s="101" t="s">
        <v>958</v>
      </c>
      <c r="C169" s="101" t="s">
        <v>1466</v>
      </c>
      <c r="D169" s="101" t="s">
        <v>1467</v>
      </c>
      <c r="E169" s="102" t="s">
        <v>1468</v>
      </c>
      <c r="F169" s="103">
        <v>46132.757256944446</v>
      </c>
      <c r="G169" s="101" t="s">
        <v>1375</v>
      </c>
      <c r="H169" s="101">
        <v>1000</v>
      </c>
      <c r="I169" s="101">
        <v>1000</v>
      </c>
      <c r="J169" s="101">
        <v>999.99</v>
      </c>
      <c r="K169" s="101" t="s">
        <v>963</v>
      </c>
      <c r="L169" s="101">
        <v>70278</v>
      </c>
      <c r="M169" s="104">
        <v>14.23</v>
      </c>
      <c r="N169" s="97"/>
      <c r="O169" s="97"/>
      <c r="P169" s="97"/>
      <c r="Q169" s="97"/>
      <c r="R169" s="105">
        <v>70278</v>
      </c>
      <c r="S169" s="101" t="s">
        <v>964</v>
      </c>
      <c r="T169" s="101">
        <v>748</v>
      </c>
      <c r="U169" s="101">
        <v>11</v>
      </c>
      <c r="V169" s="101">
        <v>3</v>
      </c>
      <c r="W169" s="101">
        <v>159</v>
      </c>
      <c r="X169" s="101">
        <v>13</v>
      </c>
      <c r="Y169" s="99"/>
      <c r="Z169" s="101" t="s">
        <v>965</v>
      </c>
      <c r="AA169" s="101" t="s">
        <v>1000</v>
      </c>
      <c r="AB169" s="106"/>
      <c r="AC169" s="106">
        <f t="shared" si="0"/>
      </c>
      <c r="AD169" s="99"/>
      <c r="AE169" s="99"/>
      <c r="AF169" s="99"/>
      <c r="AG169" s="107"/>
      <c r="AH169" s="107"/>
      <c r="AI169" s="107"/>
      <c r="AJ169" s="107"/>
    </row>
    <row customHeight="true" ht="33" r="170">
      <c r="A170" s="100" t="s">
        <v>1469</v>
      </c>
      <c r="B170" s="101" t="s">
        <v>958</v>
      </c>
      <c r="C170" s="101" t="s">
        <v>1470</v>
      </c>
      <c r="D170" s="101" t="s">
        <v>1471</v>
      </c>
      <c r="E170" s="102" t="s">
        <v>1472</v>
      </c>
      <c r="F170" s="103">
        <v>46132.7540625</v>
      </c>
      <c r="G170" s="101" t="s">
        <v>962</v>
      </c>
      <c r="H170" s="101">
        <v>1000</v>
      </c>
      <c r="I170" s="101">
        <v>1000</v>
      </c>
      <c r="J170" s="101">
        <v>1000</v>
      </c>
      <c r="K170" s="101" t="s">
        <v>963</v>
      </c>
      <c r="L170" s="101">
        <v>58770</v>
      </c>
      <c r="M170" s="104">
        <v>17.02</v>
      </c>
      <c r="N170" s="97"/>
      <c r="O170" s="97"/>
      <c r="P170" s="97"/>
      <c r="Q170" s="97"/>
      <c r="R170" s="105">
        <v>58770</v>
      </c>
      <c r="S170" s="101" t="s">
        <v>964</v>
      </c>
      <c r="T170" s="101">
        <v>989</v>
      </c>
      <c r="U170" s="101">
        <v>7</v>
      </c>
      <c r="V170" s="101">
        <v>46</v>
      </c>
      <c r="W170" s="101">
        <v>86</v>
      </c>
      <c r="X170" s="101">
        <v>4</v>
      </c>
      <c r="Y170" s="99"/>
      <c r="Z170" s="101" t="s">
        <v>965</v>
      </c>
      <c r="AA170" s="101" t="s">
        <v>1000</v>
      </c>
      <c r="AB170" s="106"/>
      <c r="AC170" s="106">
        <f t="shared" si="0"/>
      </c>
      <c r="AD170" s="99"/>
      <c r="AE170" s="99"/>
      <c r="AF170" s="99"/>
      <c r="AG170" s="107"/>
      <c r="AH170" s="107"/>
      <c r="AI170" s="107"/>
      <c r="AJ170" s="107"/>
    </row>
    <row customHeight="true" ht="33" r="171">
      <c r="A171" s="100" t="s">
        <v>1473</v>
      </c>
      <c r="B171" s="101" t="s">
        <v>958</v>
      </c>
      <c r="C171" s="101" t="s">
        <v>1474</v>
      </c>
      <c r="D171" s="101" t="s">
        <v>1475</v>
      </c>
      <c r="E171" s="102" t="s">
        <v>1476</v>
      </c>
      <c r="F171" s="103">
        <v>46132.75319444444</v>
      </c>
      <c r="G171" s="101" t="s">
        <v>962</v>
      </c>
      <c r="H171" s="101">
        <v>1000</v>
      </c>
      <c r="I171" s="101">
        <v>1000</v>
      </c>
      <c r="J171" s="101">
        <v>1000</v>
      </c>
      <c r="K171" s="101" t="s">
        <v>963</v>
      </c>
      <c r="L171" s="101">
        <v>56702</v>
      </c>
      <c r="M171" s="104">
        <v>17.64</v>
      </c>
      <c r="N171" s="97"/>
      <c r="O171" s="97"/>
      <c r="P171" s="97"/>
      <c r="Q171" s="97"/>
      <c r="R171" s="105">
        <v>56702</v>
      </c>
      <c r="S171" s="101" t="s">
        <v>964</v>
      </c>
      <c r="T171" s="101">
        <v>2733</v>
      </c>
      <c r="U171" s="101">
        <v>11</v>
      </c>
      <c r="V171" s="101">
        <v>86</v>
      </c>
      <c r="W171" s="101">
        <v>197</v>
      </c>
      <c r="X171" s="101">
        <v>4</v>
      </c>
      <c r="Y171" s="99"/>
      <c r="Z171" s="101" t="s">
        <v>965</v>
      </c>
      <c r="AA171" s="101" t="s">
        <v>1000</v>
      </c>
      <c r="AB171" s="106"/>
      <c r="AC171" s="106">
        <f t="shared" si="0"/>
      </c>
      <c r="AD171" s="99"/>
      <c r="AE171" s="99"/>
      <c r="AF171" s="99"/>
      <c r="AG171" s="107"/>
      <c r="AH171" s="107"/>
      <c r="AI171" s="107"/>
      <c r="AJ171" s="107"/>
    </row>
    <row customHeight="true" ht="33" r="172">
      <c r="A172" s="100" t="s">
        <v>1477</v>
      </c>
      <c r="B172" s="101" t="s">
        <v>958</v>
      </c>
      <c r="C172" s="101" t="s">
        <v>1478</v>
      </c>
      <c r="D172" s="101" t="s">
        <v>1479</v>
      </c>
      <c r="E172" s="102" t="s">
        <v>1480</v>
      </c>
      <c r="F172" s="103">
        <v>46134.782534722224</v>
      </c>
      <c r="G172" s="101" t="s">
        <v>962</v>
      </c>
      <c r="H172" s="101">
        <v>1000</v>
      </c>
      <c r="I172" s="101">
        <v>1000</v>
      </c>
      <c r="J172" s="101">
        <v>1000</v>
      </c>
      <c r="K172" s="101" t="s">
        <v>963</v>
      </c>
      <c r="L172" s="101">
        <v>64357</v>
      </c>
      <c r="M172" s="104">
        <v>15.54</v>
      </c>
      <c r="N172" s="97"/>
      <c r="O172" s="97"/>
      <c r="P172" s="97"/>
      <c r="Q172" s="97"/>
      <c r="R172" s="105">
        <v>64357</v>
      </c>
      <c r="S172" s="101" t="s">
        <v>964</v>
      </c>
      <c r="T172" s="101">
        <v>577</v>
      </c>
      <c r="U172" s="101">
        <v>30</v>
      </c>
      <c r="V172" s="101">
        <v>634</v>
      </c>
      <c r="W172" s="101">
        <v>329</v>
      </c>
      <c r="X172" s="101">
        <v>16</v>
      </c>
      <c r="Y172" s="99"/>
      <c r="Z172" s="101" t="s">
        <v>965</v>
      </c>
      <c r="AA172" s="101" t="s">
        <v>1000</v>
      </c>
      <c r="AB172" s="106"/>
      <c r="AC172" s="106">
        <f t="shared" si="0"/>
      </c>
      <c r="AD172" s="99"/>
      <c r="AE172" s="99"/>
      <c r="AF172" s="99"/>
      <c r="AG172" s="107"/>
      <c r="AH172" s="107"/>
      <c r="AI172" s="107"/>
      <c r="AJ172" s="107"/>
    </row>
    <row customHeight="true" ht="33" r="173">
      <c r="A173" s="100" t="s">
        <v>1481</v>
      </c>
      <c r="B173" s="101" t="s">
        <v>958</v>
      </c>
      <c r="C173" s="101" t="s">
        <v>1482</v>
      </c>
      <c r="D173" s="101" t="s">
        <v>1483</v>
      </c>
      <c r="E173" s="102" t="s">
        <v>1484</v>
      </c>
      <c r="F173" s="103">
        <v>46134.781643518516</v>
      </c>
      <c r="G173" s="101" t="s">
        <v>962</v>
      </c>
      <c r="H173" s="101">
        <v>1000</v>
      </c>
      <c r="I173" s="101">
        <v>1000</v>
      </c>
      <c r="J173" s="101">
        <v>1000</v>
      </c>
      <c r="K173" s="101" t="s">
        <v>963</v>
      </c>
      <c r="L173" s="101">
        <v>66120</v>
      </c>
      <c r="M173" s="104">
        <v>15.12</v>
      </c>
      <c r="N173" s="97"/>
      <c r="O173" s="97"/>
      <c r="P173" s="97"/>
      <c r="Q173" s="97"/>
      <c r="R173" s="105">
        <v>66120</v>
      </c>
      <c r="S173" s="101" t="s">
        <v>964</v>
      </c>
      <c r="T173" s="101">
        <v>267</v>
      </c>
      <c r="U173" s="101">
        <v>45</v>
      </c>
      <c r="V173" s="101">
        <v>5</v>
      </c>
      <c r="W173" s="101">
        <v>111</v>
      </c>
      <c r="X173" s="101">
        <v>5</v>
      </c>
      <c r="Y173" s="99"/>
      <c r="Z173" s="101" t="s">
        <v>965</v>
      </c>
      <c r="AA173" s="101" t="s">
        <v>1000</v>
      </c>
      <c r="AB173" s="106"/>
      <c r="AC173" s="106">
        <f t="shared" si="0"/>
      </c>
      <c r="AD173" s="99"/>
      <c r="AE173" s="99"/>
      <c r="AF173" s="99"/>
      <c r="AG173" s="107"/>
      <c r="AH173" s="107"/>
      <c r="AI173" s="107"/>
      <c r="AJ173" s="107"/>
    </row>
    <row customHeight="true" ht="33" r="174">
      <c r="A174" s="100" t="s">
        <v>1485</v>
      </c>
      <c r="B174" s="101" t="s">
        <v>958</v>
      </c>
      <c r="C174" s="101" t="s">
        <v>1486</v>
      </c>
      <c r="D174" s="101" t="s">
        <v>1487</v>
      </c>
      <c r="E174" s="102" t="s">
        <v>1488</v>
      </c>
      <c r="F174" s="103">
        <v>46134.78068287037</v>
      </c>
      <c r="G174" s="101" t="s">
        <v>962</v>
      </c>
      <c r="H174" s="101">
        <v>1000</v>
      </c>
      <c r="I174" s="101">
        <v>1000</v>
      </c>
      <c r="J174" s="101">
        <v>1000</v>
      </c>
      <c r="K174" s="101" t="s">
        <v>963</v>
      </c>
      <c r="L174" s="101">
        <v>53048</v>
      </c>
      <c r="M174" s="104">
        <v>18.85</v>
      </c>
      <c r="N174" s="97"/>
      <c r="O174" s="97"/>
      <c r="P174" s="97"/>
      <c r="Q174" s="97"/>
      <c r="R174" s="105">
        <v>53048</v>
      </c>
      <c r="S174" s="101" t="s">
        <v>964</v>
      </c>
      <c r="T174" s="101">
        <v>1166</v>
      </c>
      <c r="U174" s="101">
        <v>18</v>
      </c>
      <c r="V174" s="101">
        <v>63</v>
      </c>
      <c r="W174" s="101">
        <v>80</v>
      </c>
      <c r="X174" s="101">
        <v>20</v>
      </c>
      <c r="Y174" s="99"/>
      <c r="Z174" s="101" t="s">
        <v>965</v>
      </c>
      <c r="AA174" s="101" t="s">
        <v>1000</v>
      </c>
      <c r="AB174" s="106"/>
      <c r="AC174" s="106">
        <f t="shared" si="0"/>
      </c>
      <c r="AD174" s="99"/>
      <c r="AE174" s="99"/>
      <c r="AF174" s="99"/>
      <c r="AG174" s="107"/>
      <c r="AH174" s="107"/>
      <c r="AI174" s="107"/>
      <c r="AJ174" s="107"/>
    </row>
    <row customHeight="true" ht="33" r="175">
      <c r="A175" s="100" t="s">
        <v>1489</v>
      </c>
      <c r="B175" s="101" t="s">
        <v>958</v>
      </c>
      <c r="C175" s="101" t="s">
        <v>1490</v>
      </c>
      <c r="D175" s="101" t="s">
        <v>1491</v>
      </c>
      <c r="E175" s="102" t="s">
        <v>1492</v>
      </c>
      <c r="F175" s="103">
        <v>46135.77622685185</v>
      </c>
      <c r="G175" s="101" t="s">
        <v>1375</v>
      </c>
      <c r="H175" s="101">
        <v>1000</v>
      </c>
      <c r="I175" s="101">
        <v>1000</v>
      </c>
      <c r="J175" s="101">
        <v>999.88</v>
      </c>
      <c r="K175" s="101" t="s">
        <v>963</v>
      </c>
      <c r="L175" s="101">
        <v>53604</v>
      </c>
      <c r="M175" s="104">
        <v>18.65</v>
      </c>
      <c r="N175" s="97"/>
      <c r="O175" s="97"/>
      <c r="P175" s="97"/>
      <c r="Q175" s="97"/>
      <c r="R175" s="105">
        <v>53604</v>
      </c>
      <c r="S175" s="101" t="s">
        <v>964</v>
      </c>
      <c r="T175" s="101">
        <v>965</v>
      </c>
      <c r="U175" s="101">
        <v>11</v>
      </c>
      <c r="V175" s="101">
        <v>6</v>
      </c>
      <c r="W175" s="101">
        <v>196</v>
      </c>
      <c r="X175" s="101">
        <v>5</v>
      </c>
      <c r="Y175" s="99"/>
      <c r="Z175" s="101" t="s">
        <v>965</v>
      </c>
      <c r="AA175" s="101" t="s">
        <v>1000</v>
      </c>
      <c r="AB175" s="106"/>
      <c r="AC175" s="106">
        <f t="shared" si="0"/>
      </c>
      <c r="AD175" s="99"/>
      <c r="AE175" s="99"/>
      <c r="AF175" s="99"/>
      <c r="AG175" s="107"/>
      <c r="AH175" s="107"/>
      <c r="AI175" s="107"/>
      <c r="AJ175" s="107"/>
    </row>
    <row customHeight="true" ht="33" r="176">
      <c r="A176" s="100" t="s">
        <v>1493</v>
      </c>
      <c r="B176" s="101" t="s">
        <v>958</v>
      </c>
      <c r="C176" s="101" t="s">
        <v>1494</v>
      </c>
      <c r="D176" s="101" t="s">
        <v>1495</v>
      </c>
      <c r="E176" s="102" t="s">
        <v>1496</v>
      </c>
      <c r="F176" s="103">
        <v>46135.775659722225</v>
      </c>
      <c r="G176" s="101" t="s">
        <v>962</v>
      </c>
      <c r="H176" s="101">
        <v>1000</v>
      </c>
      <c r="I176" s="101">
        <v>1000</v>
      </c>
      <c r="J176" s="101">
        <v>1000</v>
      </c>
      <c r="K176" s="101" t="s">
        <v>963</v>
      </c>
      <c r="L176" s="101">
        <v>68408</v>
      </c>
      <c r="M176" s="104">
        <v>14.62</v>
      </c>
      <c r="N176" s="97"/>
      <c r="O176" s="97"/>
      <c r="P176" s="97"/>
      <c r="Q176" s="97"/>
      <c r="R176" s="105">
        <v>68408</v>
      </c>
      <c r="S176" s="101" t="s">
        <v>964</v>
      </c>
      <c r="T176" s="101">
        <v>864</v>
      </c>
      <c r="U176" s="101">
        <v>80</v>
      </c>
      <c r="V176" s="101">
        <v>5</v>
      </c>
      <c r="W176" s="101">
        <v>123</v>
      </c>
      <c r="X176" s="101">
        <v>11</v>
      </c>
      <c r="Y176" s="99"/>
      <c r="Z176" s="101" t="s">
        <v>965</v>
      </c>
      <c r="AA176" s="101" t="s">
        <v>1000</v>
      </c>
      <c r="AB176" s="106"/>
      <c r="AC176" s="106">
        <f t="shared" si="0"/>
      </c>
      <c r="AD176" s="99"/>
      <c r="AE176" s="99"/>
      <c r="AF176" s="99"/>
      <c r="AG176" s="107"/>
      <c r="AH176" s="107"/>
      <c r="AI176" s="107"/>
      <c r="AJ176" s="107"/>
    </row>
    <row customHeight="true" ht="33" r="177">
      <c r="A177" s="100" t="s">
        <v>1497</v>
      </c>
      <c r="B177" s="101" t="s">
        <v>958</v>
      </c>
      <c r="C177" s="101" t="s">
        <v>1498</v>
      </c>
      <c r="D177" s="101" t="s">
        <v>1499</v>
      </c>
      <c r="E177" s="102" t="s">
        <v>1500</v>
      </c>
      <c r="F177" s="103">
        <v>46135.77490740741</v>
      </c>
      <c r="G177" s="101" t="s">
        <v>962</v>
      </c>
      <c r="H177" s="101">
        <v>1000</v>
      </c>
      <c r="I177" s="101">
        <v>1000</v>
      </c>
      <c r="J177" s="101">
        <v>1000</v>
      </c>
      <c r="K177" s="101" t="s">
        <v>963</v>
      </c>
      <c r="L177" s="101">
        <v>60856</v>
      </c>
      <c r="M177" s="104">
        <v>16.43</v>
      </c>
      <c r="N177" s="97"/>
      <c r="O177" s="97"/>
      <c r="P177" s="97"/>
      <c r="Q177" s="97"/>
      <c r="R177" s="105">
        <v>60856</v>
      </c>
      <c r="S177" s="101" t="s">
        <v>964</v>
      </c>
      <c r="T177" s="101">
        <v>2310</v>
      </c>
      <c r="U177" s="101">
        <v>29</v>
      </c>
      <c r="V177" s="101">
        <v>33</v>
      </c>
      <c r="W177" s="101">
        <v>154</v>
      </c>
      <c r="X177" s="101">
        <v>18</v>
      </c>
      <c r="Y177" s="99"/>
      <c r="Z177" s="101" t="s">
        <v>965</v>
      </c>
      <c r="AA177" s="101" t="s">
        <v>1000</v>
      </c>
      <c r="AB177" s="106"/>
      <c r="AC177" s="106">
        <f t="shared" si="0"/>
      </c>
      <c r="AD177" s="99"/>
      <c r="AE177" s="99"/>
      <c r="AF177" s="99"/>
      <c r="AG177" s="107"/>
      <c r="AH177" s="107"/>
      <c r="AI177" s="107"/>
      <c r="AJ177" s="107"/>
    </row>
    <row customHeight="true" ht="33" r="178">
      <c r="A178" s="100" t="s">
        <v>1501</v>
      </c>
      <c r="B178" s="101" t="s">
        <v>958</v>
      </c>
      <c r="C178" s="101" t="s">
        <v>1502</v>
      </c>
      <c r="D178" s="101" t="s">
        <v>1503</v>
      </c>
      <c r="E178" s="102" t="s">
        <v>1504</v>
      </c>
      <c r="F178" s="103">
        <v>46135.77417824074</v>
      </c>
      <c r="G178" s="101" t="s">
        <v>962</v>
      </c>
      <c r="H178" s="101">
        <v>1000</v>
      </c>
      <c r="I178" s="101">
        <v>1000</v>
      </c>
      <c r="J178" s="101">
        <v>1000</v>
      </c>
      <c r="K178" s="101" t="s">
        <v>963</v>
      </c>
      <c r="L178" s="101">
        <v>53456</v>
      </c>
      <c r="M178" s="104">
        <v>18.71</v>
      </c>
      <c r="N178" s="97"/>
      <c r="O178" s="97"/>
      <c r="P178" s="97"/>
      <c r="Q178" s="97"/>
      <c r="R178" s="105">
        <v>53456</v>
      </c>
      <c r="S178" s="101" t="s">
        <v>964</v>
      </c>
      <c r="T178" s="101">
        <v>1465</v>
      </c>
      <c r="U178" s="101">
        <v>21</v>
      </c>
      <c r="V178" s="101">
        <v>17</v>
      </c>
      <c r="W178" s="101">
        <v>68</v>
      </c>
      <c r="X178" s="101">
        <v>24</v>
      </c>
      <c r="Y178" s="99"/>
      <c r="Z178" s="101" t="s">
        <v>965</v>
      </c>
      <c r="AA178" s="101" t="s">
        <v>1000</v>
      </c>
      <c r="AB178" s="106"/>
      <c r="AC178" s="106">
        <f t="shared" si="0"/>
      </c>
      <c r="AD178" s="99"/>
      <c r="AE178" s="99"/>
      <c r="AF178" s="99"/>
      <c r="AG178" s="107"/>
      <c r="AH178" s="107"/>
      <c r="AI178" s="107"/>
      <c r="AJ178" s="107"/>
    </row>
    <row customHeight="true" ht="33" r="179">
      <c r="A179" s="100" t="s">
        <v>1505</v>
      </c>
      <c r="B179" s="101" t="s">
        <v>958</v>
      </c>
      <c r="C179" s="101" t="s">
        <v>1506</v>
      </c>
      <c r="D179" s="101" t="s">
        <v>1507</v>
      </c>
      <c r="E179" s="102" t="s">
        <v>1508</v>
      </c>
      <c r="F179" s="103">
        <v>46136.84142361111</v>
      </c>
      <c r="G179" s="101" t="s">
        <v>1229</v>
      </c>
      <c r="H179" s="101">
        <v>1000</v>
      </c>
      <c r="I179" s="101">
        <v>1000</v>
      </c>
      <c r="J179" s="101">
        <v>0</v>
      </c>
      <c r="K179" s="101" t="s">
        <v>963</v>
      </c>
      <c r="L179" s="101">
        <v>0</v>
      </c>
      <c r="M179" s="104">
        <v>0</v>
      </c>
      <c r="N179" s="97"/>
      <c r="O179" s="97"/>
      <c r="P179" s="97"/>
      <c r="Q179" s="97"/>
      <c r="R179" s="105">
        <v>0</v>
      </c>
      <c r="S179" s="101" t="s">
        <v>964</v>
      </c>
      <c r="T179" s="101">
        <v>0</v>
      </c>
      <c r="U179" s="101">
        <v>0</v>
      </c>
      <c r="V179" s="101">
        <v>0</v>
      </c>
      <c r="W179" s="101">
        <v>0</v>
      </c>
      <c r="X179" s="101">
        <v>0</v>
      </c>
      <c r="Y179" s="99"/>
      <c r="Z179" s="101" t="s">
        <v>965</v>
      </c>
      <c r="AA179" s="101" t="s">
        <v>1000</v>
      </c>
      <c r="AB179" s="106"/>
      <c r="AC179" s="106">
        <f t="shared" si="0"/>
      </c>
      <c r="AD179" s="99"/>
      <c r="AE179" s="99"/>
      <c r="AF179" s="99"/>
      <c r="AG179" s="107"/>
      <c r="AH179" s="107"/>
      <c r="AI179" s="107"/>
      <c r="AJ179" s="107"/>
    </row>
    <row customHeight="true" ht="33" r="180">
      <c r="A180" s="100" t="s">
        <v>1509</v>
      </c>
      <c r="B180" s="101" t="s">
        <v>958</v>
      </c>
      <c r="C180" s="101" t="s">
        <v>1510</v>
      </c>
      <c r="D180" s="101" t="s">
        <v>1511</v>
      </c>
      <c r="E180" s="102" t="s">
        <v>1512</v>
      </c>
      <c r="F180" s="103">
        <v>46136.83991898148</v>
      </c>
      <c r="G180" s="101" t="s">
        <v>962</v>
      </c>
      <c r="H180" s="101">
        <v>1000</v>
      </c>
      <c r="I180" s="101">
        <v>1000</v>
      </c>
      <c r="J180" s="101">
        <v>1000</v>
      </c>
      <c r="K180" s="101" t="s">
        <v>963</v>
      </c>
      <c r="L180" s="101">
        <v>64192</v>
      </c>
      <c r="M180" s="104">
        <v>15.58</v>
      </c>
      <c r="N180" s="97"/>
      <c r="O180" s="97"/>
      <c r="P180" s="97"/>
      <c r="Q180" s="97"/>
      <c r="R180" s="105">
        <v>64192</v>
      </c>
      <c r="S180" s="101" t="s">
        <v>964</v>
      </c>
      <c r="T180" s="101">
        <v>110</v>
      </c>
      <c r="U180" s="101">
        <v>2</v>
      </c>
      <c r="V180" s="101">
        <v>0</v>
      </c>
      <c r="W180" s="101">
        <v>93</v>
      </c>
      <c r="X180" s="101">
        <v>3</v>
      </c>
      <c r="Y180" s="99"/>
      <c r="Z180" s="101" t="s">
        <v>965</v>
      </c>
      <c r="AA180" s="101" t="s">
        <v>1000</v>
      </c>
      <c r="AB180" s="106"/>
      <c r="AC180" s="106">
        <f t="shared" si="0"/>
      </c>
      <c r="AD180" s="99"/>
      <c r="AE180" s="99"/>
      <c r="AF180" s="99"/>
      <c r="AG180" s="107"/>
      <c r="AH180" s="107"/>
      <c r="AI180" s="107"/>
      <c r="AJ180" s="107"/>
    </row>
    <row customHeight="true" ht="33" r="181">
      <c r="A181" s="100" t="s">
        <v>1513</v>
      </c>
      <c r="B181" s="101" t="s">
        <v>958</v>
      </c>
      <c r="C181" s="101" t="s">
        <v>1514</v>
      </c>
      <c r="D181" s="101" t="s">
        <v>1515</v>
      </c>
      <c r="E181" s="102" t="s">
        <v>1516</v>
      </c>
      <c r="F181" s="103">
        <v>46139.819016203706</v>
      </c>
      <c r="G181" s="101" t="s">
        <v>962</v>
      </c>
      <c r="H181" s="101">
        <v>1000</v>
      </c>
      <c r="I181" s="101">
        <v>1000</v>
      </c>
      <c r="J181" s="101">
        <v>1000</v>
      </c>
      <c r="K181" s="101" t="s">
        <v>963</v>
      </c>
      <c r="L181" s="101">
        <v>54554</v>
      </c>
      <c r="M181" s="104">
        <v>18.33</v>
      </c>
      <c r="N181" s="97"/>
      <c r="O181" s="97"/>
      <c r="P181" s="97"/>
      <c r="Q181" s="97"/>
      <c r="R181" s="105">
        <v>54554</v>
      </c>
      <c r="S181" s="101" t="s">
        <v>964</v>
      </c>
      <c r="T181" s="101">
        <v>1360</v>
      </c>
      <c r="U181" s="101">
        <v>8</v>
      </c>
      <c r="V181" s="101">
        <v>96</v>
      </c>
      <c r="W181" s="101">
        <v>54</v>
      </c>
      <c r="X181" s="101">
        <v>4</v>
      </c>
      <c r="Y181" s="99"/>
      <c r="Z181" s="101" t="s">
        <v>965</v>
      </c>
      <c r="AA181" s="101" t="s">
        <v>1000</v>
      </c>
      <c r="AB181" s="106"/>
      <c r="AC181" s="106">
        <f t="shared" si="0"/>
      </c>
      <c r="AD181" s="99"/>
      <c r="AE181" s="99"/>
      <c r="AF181" s="99"/>
      <c r="AG181" s="107"/>
      <c r="AH181" s="107"/>
      <c r="AI181" s="107"/>
      <c r="AJ181" s="107"/>
    </row>
    <row customHeight="true" ht="33" r="182">
      <c r="A182" s="100" t="s">
        <v>1517</v>
      </c>
      <c r="B182" s="101" t="s">
        <v>958</v>
      </c>
      <c r="C182" s="101" t="s">
        <v>1518</v>
      </c>
      <c r="D182" s="101" t="s">
        <v>1519</v>
      </c>
      <c r="E182" s="102" t="s">
        <v>1520</v>
      </c>
      <c r="F182" s="103">
        <v>46139.81854166667</v>
      </c>
      <c r="G182" s="101" t="s">
        <v>962</v>
      </c>
      <c r="H182" s="101">
        <v>1000</v>
      </c>
      <c r="I182" s="101">
        <v>1000</v>
      </c>
      <c r="J182" s="101">
        <v>1000</v>
      </c>
      <c r="K182" s="101" t="s">
        <v>963</v>
      </c>
      <c r="L182" s="101">
        <v>65524</v>
      </c>
      <c r="M182" s="104">
        <v>15.26</v>
      </c>
      <c r="N182" s="97"/>
      <c r="O182" s="97"/>
      <c r="P182" s="97"/>
      <c r="Q182" s="97"/>
      <c r="R182" s="105">
        <v>65524</v>
      </c>
      <c r="S182" s="101" t="s">
        <v>964</v>
      </c>
      <c r="T182" s="101">
        <v>631</v>
      </c>
      <c r="U182" s="101">
        <v>19</v>
      </c>
      <c r="V182" s="101">
        <v>78</v>
      </c>
      <c r="W182" s="101">
        <v>84</v>
      </c>
      <c r="X182" s="101">
        <v>8</v>
      </c>
      <c r="Y182" s="99"/>
      <c r="Z182" s="101" t="s">
        <v>965</v>
      </c>
      <c r="AA182" s="101" t="s">
        <v>1000</v>
      </c>
      <c r="AB182" s="106"/>
      <c r="AC182" s="106">
        <f t="shared" si="0"/>
      </c>
      <c r="AD182" s="99"/>
      <c r="AE182" s="99"/>
      <c r="AF182" s="99"/>
      <c r="AG182" s="107"/>
      <c r="AH182" s="107"/>
      <c r="AI182" s="107"/>
      <c r="AJ182" s="107"/>
    </row>
    <row customHeight="true" ht="33" r="183">
      <c r="A183" s="100" t="s">
        <v>1521</v>
      </c>
      <c r="B183" s="101" t="s">
        <v>958</v>
      </c>
      <c r="C183" s="101" t="s">
        <v>1522</v>
      </c>
      <c r="D183" s="101" t="s">
        <v>1523</v>
      </c>
      <c r="E183" s="102" t="s">
        <v>1524</v>
      </c>
      <c r="F183" s="103">
        <v>46139.81815972222</v>
      </c>
      <c r="G183" s="101" t="s">
        <v>962</v>
      </c>
      <c r="H183" s="101">
        <v>1000</v>
      </c>
      <c r="I183" s="101">
        <v>1000</v>
      </c>
      <c r="J183" s="101">
        <v>1000</v>
      </c>
      <c r="K183" s="101" t="s">
        <v>963</v>
      </c>
      <c r="L183" s="101">
        <v>74535</v>
      </c>
      <c r="M183" s="104">
        <v>13.42</v>
      </c>
      <c r="N183" s="97"/>
      <c r="O183" s="97"/>
      <c r="P183" s="97"/>
      <c r="Q183" s="97"/>
      <c r="R183" s="105">
        <v>74535</v>
      </c>
      <c r="S183" s="101" t="s">
        <v>964</v>
      </c>
      <c r="T183" s="101">
        <v>1126</v>
      </c>
      <c r="U183" s="101">
        <v>19</v>
      </c>
      <c r="V183" s="101">
        <v>1</v>
      </c>
      <c r="W183" s="101">
        <v>597</v>
      </c>
      <c r="X183" s="101">
        <v>23</v>
      </c>
      <c r="Y183" s="99"/>
      <c r="Z183" s="101" t="s">
        <v>965</v>
      </c>
      <c r="AA183" s="101" t="s">
        <v>1000</v>
      </c>
      <c r="AB183" s="106"/>
      <c r="AC183" s="106">
        <f t="shared" si="0"/>
      </c>
      <c r="AD183" s="99"/>
      <c r="AE183" s="99"/>
      <c r="AF183" s="99"/>
      <c r="AG183" s="107"/>
      <c r="AH183" s="107"/>
      <c r="AI183" s="107"/>
      <c r="AJ183" s="107"/>
    </row>
    <row customHeight="true" ht="33" r="184">
      <c r="A184" s="100" t="s">
        <v>1525</v>
      </c>
      <c r="B184" s="101" t="s">
        <v>958</v>
      </c>
      <c r="C184" s="101" t="s">
        <v>1526</v>
      </c>
      <c r="D184" s="101" t="s">
        <v>1527</v>
      </c>
      <c r="E184" s="102" t="s">
        <v>1528</v>
      </c>
      <c r="F184" s="103">
        <v>46139.81675925926</v>
      </c>
      <c r="G184" s="101" t="s">
        <v>962</v>
      </c>
      <c r="H184" s="101">
        <v>1000</v>
      </c>
      <c r="I184" s="101">
        <v>1000</v>
      </c>
      <c r="J184" s="101">
        <v>1000</v>
      </c>
      <c r="K184" s="101" t="s">
        <v>963</v>
      </c>
      <c r="L184" s="101">
        <v>86617</v>
      </c>
      <c r="M184" s="104">
        <v>11.55</v>
      </c>
      <c r="N184" s="97"/>
      <c r="O184" s="97"/>
      <c r="P184" s="97"/>
      <c r="Q184" s="97"/>
      <c r="R184" s="105">
        <v>86617</v>
      </c>
      <c r="S184" s="101" t="s">
        <v>964</v>
      </c>
      <c r="T184" s="101">
        <v>679</v>
      </c>
      <c r="U184" s="101">
        <v>12</v>
      </c>
      <c r="V184" s="101">
        <v>8</v>
      </c>
      <c r="W184" s="101">
        <v>79</v>
      </c>
      <c r="X184" s="101">
        <v>15</v>
      </c>
      <c r="Y184" s="99"/>
      <c r="Z184" s="101" t="s">
        <v>965</v>
      </c>
      <c r="AA184" s="101" t="s">
        <v>1000</v>
      </c>
      <c r="AB184" s="106"/>
      <c r="AC184" s="106">
        <f t="shared" si="0"/>
      </c>
      <c r="AD184" s="99"/>
      <c r="AE184" s="99"/>
      <c r="AF184" s="99"/>
      <c r="AG184" s="107"/>
      <c r="AH184" s="107"/>
      <c r="AI184" s="107"/>
      <c r="AJ184" s="107"/>
    </row>
    <row customHeight="true" ht="33" r="185">
      <c r="A185" s="100" t="s">
        <v>1529</v>
      </c>
      <c r="B185" s="101" t="s">
        <v>958</v>
      </c>
      <c r="C185" s="101" t="s">
        <v>1530</v>
      </c>
      <c r="D185" s="101" t="s">
        <v>1531</v>
      </c>
      <c r="E185" s="102" t="s">
        <v>1532</v>
      </c>
      <c r="F185" s="103">
        <v>46139.81637731481</v>
      </c>
      <c r="G185" s="101" t="s">
        <v>962</v>
      </c>
      <c r="H185" s="101">
        <v>1000</v>
      </c>
      <c r="I185" s="101">
        <v>1000</v>
      </c>
      <c r="J185" s="101">
        <v>1000</v>
      </c>
      <c r="K185" s="101" t="s">
        <v>963</v>
      </c>
      <c r="L185" s="101">
        <v>57981</v>
      </c>
      <c r="M185" s="104">
        <v>17.25</v>
      </c>
      <c r="N185" s="97"/>
      <c r="O185" s="97"/>
      <c r="P185" s="97"/>
      <c r="Q185" s="97"/>
      <c r="R185" s="105">
        <v>57981</v>
      </c>
      <c r="S185" s="101" t="s">
        <v>964</v>
      </c>
      <c r="T185" s="101">
        <v>6988</v>
      </c>
      <c r="U185" s="101">
        <v>26</v>
      </c>
      <c r="V185" s="101">
        <v>102</v>
      </c>
      <c r="W185" s="101">
        <v>125</v>
      </c>
      <c r="X185" s="101">
        <v>7</v>
      </c>
      <c r="Y185" s="99"/>
      <c r="Z185" s="101" t="s">
        <v>965</v>
      </c>
      <c r="AA185" s="101" t="s">
        <v>1000</v>
      </c>
      <c r="AB185" s="106"/>
      <c r="AC185" s="106">
        <f t="shared" si="0"/>
      </c>
      <c r="AD185" s="99"/>
      <c r="AE185" s="99"/>
      <c r="AF185" s="99"/>
      <c r="AG185" s="107"/>
      <c r="AH185" s="107"/>
      <c r="AI185" s="107"/>
      <c r="AJ185" s="107"/>
    </row>
    <row customHeight="true" ht="33" r="186">
      <c r="A186" s="100" t="s">
        <v>1533</v>
      </c>
      <c r="B186" s="101" t="s">
        <v>958</v>
      </c>
      <c r="C186" s="101" t="s">
        <v>1534</v>
      </c>
      <c r="D186" s="101" t="s">
        <v>1535</v>
      </c>
      <c r="E186" s="102" t="s">
        <v>1536</v>
      </c>
      <c r="F186" s="103">
        <v>46139.81513888889</v>
      </c>
      <c r="G186" s="101" t="s">
        <v>962</v>
      </c>
      <c r="H186" s="101">
        <v>1000</v>
      </c>
      <c r="I186" s="101">
        <v>1000</v>
      </c>
      <c r="J186" s="101">
        <v>1000</v>
      </c>
      <c r="K186" s="101" t="s">
        <v>963</v>
      </c>
      <c r="L186" s="101">
        <v>55133</v>
      </c>
      <c r="M186" s="104">
        <v>18.14</v>
      </c>
      <c r="N186" s="97"/>
      <c r="O186" s="97"/>
      <c r="P186" s="97"/>
      <c r="Q186" s="97"/>
      <c r="R186" s="105">
        <v>55133</v>
      </c>
      <c r="S186" s="101" t="s">
        <v>964</v>
      </c>
      <c r="T186" s="101">
        <v>1989</v>
      </c>
      <c r="U186" s="101">
        <v>16</v>
      </c>
      <c r="V186" s="101">
        <v>14</v>
      </c>
      <c r="W186" s="101">
        <v>240</v>
      </c>
      <c r="X186" s="101">
        <v>14</v>
      </c>
      <c r="Y186" s="99"/>
      <c r="Z186" s="101" t="s">
        <v>965</v>
      </c>
      <c r="AA186" s="101" t="s">
        <v>1000</v>
      </c>
      <c r="AB186" s="106"/>
      <c r="AC186" s="106">
        <f t="shared" si="0"/>
      </c>
      <c r="AD186" s="99"/>
      <c r="AE186" s="99"/>
      <c r="AF186" s="99"/>
      <c r="AG186" s="107"/>
      <c r="AH186" s="107"/>
      <c r="AI186" s="107"/>
      <c r="AJ186" s="107"/>
    </row>
    <row customHeight="true" ht="33" r="187">
      <c r="A187" s="100" t="s">
        <v>1537</v>
      </c>
      <c r="B187" s="101" t="s">
        <v>958</v>
      </c>
      <c r="C187" s="101" t="s">
        <v>1530</v>
      </c>
      <c r="D187" s="101" t="s">
        <v>1531</v>
      </c>
      <c r="E187" s="102" t="s">
        <v>1532</v>
      </c>
      <c r="F187" s="103">
        <v>46140.788136574076</v>
      </c>
      <c r="G187" s="101" t="s">
        <v>1094</v>
      </c>
      <c r="H187" s="101">
        <v>5000</v>
      </c>
      <c r="I187" s="101">
        <v>5000</v>
      </c>
      <c r="J187" s="101">
        <v>509.78</v>
      </c>
      <c r="K187" s="101" t="s">
        <v>963</v>
      </c>
      <c r="L187" s="101">
        <v>30514</v>
      </c>
      <c r="M187" s="104">
        <v>16.71</v>
      </c>
      <c r="N187" s="97"/>
      <c r="O187" s="97"/>
      <c r="P187" s="97"/>
      <c r="Q187" s="97"/>
      <c r="R187" s="105">
        <v>30514</v>
      </c>
      <c r="S187" s="101" t="s">
        <v>964</v>
      </c>
      <c r="T187" s="101">
        <v>6460</v>
      </c>
      <c r="U187" s="101">
        <v>30</v>
      </c>
      <c r="V187" s="101">
        <v>232</v>
      </c>
      <c r="W187" s="101">
        <v>81</v>
      </c>
      <c r="X187" s="101">
        <v>3</v>
      </c>
      <c r="Y187" s="99"/>
      <c r="Z187" s="101" t="s">
        <v>965</v>
      </c>
      <c r="AA187" s="101" t="s">
        <v>1000</v>
      </c>
      <c r="AB187" s="106"/>
      <c r="AC187" s="106">
        <f t="shared" si="0"/>
      </c>
      <c r="AD187" s="99"/>
      <c r="AE187" s="99"/>
      <c r="AF187" s="99"/>
      <c r="AG187" s="107"/>
      <c r="AH187" s="107"/>
      <c r="AI187" s="107"/>
      <c r="AJ187" s="107"/>
    </row>
    <row customHeight="true" ht="33" r="188">
      <c r="A188" s="100" t="s">
        <v>1538</v>
      </c>
      <c r="B188" s="101" t="s">
        <v>958</v>
      </c>
      <c r="C188" s="101" t="s">
        <v>1539</v>
      </c>
      <c r="D188" s="101" t="s">
        <v>1540</v>
      </c>
      <c r="E188" s="102" t="s">
        <v>1541</v>
      </c>
      <c r="F188" s="103">
        <v>46140.78700231481</v>
      </c>
      <c r="G188" s="101" t="s">
        <v>1094</v>
      </c>
      <c r="H188" s="101">
        <v>1000</v>
      </c>
      <c r="I188" s="101">
        <v>1000</v>
      </c>
      <c r="J188" s="101">
        <v>108.64</v>
      </c>
      <c r="K188" s="101" t="s">
        <v>963</v>
      </c>
      <c r="L188" s="101">
        <v>6303</v>
      </c>
      <c r="M188" s="104">
        <v>17.45</v>
      </c>
      <c r="N188" s="97"/>
      <c r="O188" s="97"/>
      <c r="P188" s="97"/>
      <c r="Q188" s="97"/>
      <c r="R188" s="105">
        <v>6303</v>
      </c>
      <c r="S188" s="101" t="s">
        <v>964</v>
      </c>
      <c r="T188" s="101">
        <v>384</v>
      </c>
      <c r="U188" s="101">
        <v>5</v>
      </c>
      <c r="V188" s="101">
        <v>9</v>
      </c>
      <c r="W188" s="101">
        <v>13</v>
      </c>
      <c r="X188" s="101">
        <v>6</v>
      </c>
      <c r="Y188" s="99"/>
      <c r="Z188" s="101" t="s">
        <v>965</v>
      </c>
      <c r="AA188" s="101" t="s">
        <v>1000</v>
      </c>
      <c r="AB188" s="106"/>
      <c r="AC188" s="106">
        <f t="shared" si="0"/>
      </c>
      <c r="AD188" s="99"/>
      <c r="AE188" s="99"/>
      <c r="AF188" s="99"/>
      <c r="AG188" s="107"/>
      <c r="AH188" s="107"/>
      <c r="AI188" s="107"/>
      <c r="AJ188" s="107"/>
    </row>
    <row customHeight="true" ht="33" r="189">
      <c r="A189" s="100" t="s">
        <v>1542</v>
      </c>
      <c r="B189" s="101" t="s">
        <v>958</v>
      </c>
      <c r="C189" s="101" t="s">
        <v>1543</v>
      </c>
      <c r="D189" s="101" t="s">
        <v>1544</v>
      </c>
      <c r="E189" s="102" t="s">
        <v>1545</v>
      </c>
      <c r="F189" s="103">
        <v>46141.89019675926</v>
      </c>
      <c r="G189" s="101" t="s">
        <v>1094</v>
      </c>
      <c r="H189" s="101">
        <v>1000</v>
      </c>
      <c r="I189" s="101">
        <v>1000</v>
      </c>
      <c r="J189" s="101">
        <v>116.67</v>
      </c>
      <c r="K189" s="101" t="s">
        <v>963</v>
      </c>
      <c r="L189" s="101">
        <v>6428</v>
      </c>
      <c r="M189" s="104">
        <v>18.15</v>
      </c>
      <c r="N189" s="97"/>
      <c r="O189" s="97"/>
      <c r="P189" s="97"/>
      <c r="Q189" s="97"/>
      <c r="R189" s="105">
        <v>6428</v>
      </c>
      <c r="S189" s="101" t="s">
        <v>964</v>
      </c>
      <c r="T189" s="101">
        <v>418</v>
      </c>
      <c r="U189" s="101">
        <v>6</v>
      </c>
      <c r="V189" s="101">
        <v>0</v>
      </c>
      <c r="W189" s="101">
        <v>13</v>
      </c>
      <c r="X189" s="101">
        <v>1</v>
      </c>
      <c r="Y189" s="99"/>
      <c r="Z189" s="101" t="s">
        <v>965</v>
      </c>
      <c r="AA189" s="101" t="s">
        <v>1000</v>
      </c>
      <c r="AB189" s="106"/>
      <c r="AC189" s="106">
        <f t="shared" si="0"/>
      </c>
      <c r="AD189" s="99"/>
      <c r="AE189" s="99"/>
      <c r="AF189" s="99"/>
      <c r="AG189" s="107"/>
      <c r="AH189" s="107"/>
      <c r="AI189" s="107"/>
      <c r="AJ189" s="107"/>
    </row>
    <row customHeight="true" ht="33" r="190">
      <c r="A190" s="100" t="s">
        <v>1546</v>
      </c>
      <c r="B190" s="101" t="s">
        <v>958</v>
      </c>
      <c r="C190" s="101" t="s">
        <v>1547</v>
      </c>
      <c r="D190" s="101" t="s">
        <v>1548</v>
      </c>
      <c r="E190" s="102" t="s">
        <v>1549</v>
      </c>
      <c r="F190" s="103">
        <v>46141.88851851852</v>
      </c>
      <c r="G190" s="101" t="s">
        <v>1094</v>
      </c>
      <c r="H190" s="101">
        <v>1000</v>
      </c>
      <c r="I190" s="101">
        <v>1000</v>
      </c>
      <c r="J190" s="101">
        <v>117.24</v>
      </c>
      <c r="K190" s="101" t="s">
        <v>963</v>
      </c>
      <c r="L190" s="101">
        <v>6326</v>
      </c>
      <c r="M190" s="104">
        <v>18.53</v>
      </c>
      <c r="N190" s="97"/>
      <c r="O190" s="97"/>
      <c r="P190" s="97"/>
      <c r="Q190" s="97"/>
      <c r="R190" s="105">
        <v>6326</v>
      </c>
      <c r="S190" s="101" t="s">
        <v>964</v>
      </c>
      <c r="T190" s="101">
        <v>395</v>
      </c>
      <c r="U190" s="101">
        <v>70</v>
      </c>
      <c r="V190" s="101">
        <v>0</v>
      </c>
      <c r="W190" s="101">
        <v>13</v>
      </c>
      <c r="X190" s="101">
        <v>3</v>
      </c>
      <c r="Y190" s="99"/>
      <c r="Z190" s="101" t="s">
        <v>965</v>
      </c>
      <c r="AA190" s="101" t="s">
        <v>1000</v>
      </c>
      <c r="AB190" s="106"/>
      <c r="AC190" s="106">
        <f t="shared" si="0"/>
      </c>
      <c r="AD190" s="99"/>
      <c r="AE190" s="99"/>
      <c r="AF190" s="99"/>
      <c r="AG190" s="107"/>
      <c r="AH190" s="107"/>
      <c r="AI190" s="107"/>
      <c r="AJ190" s="107"/>
    </row>
    <row customHeight="true" ht="33" r="191">
      <c r="A191" s="100" t="s">
        <v>1550</v>
      </c>
      <c r="B191" s="101" t="s">
        <v>958</v>
      </c>
      <c r="C191" s="101" t="s">
        <v>1551</v>
      </c>
      <c r="D191" s="101" t="s">
        <v>1552</v>
      </c>
      <c r="E191" s="102" t="s">
        <v>1553</v>
      </c>
      <c r="F191" s="103">
        <v>46141.88762731481</v>
      </c>
      <c r="G191" s="101" t="s">
        <v>1094</v>
      </c>
      <c r="H191" s="101">
        <v>1000</v>
      </c>
      <c r="I191" s="101">
        <v>1000</v>
      </c>
      <c r="J191" s="101">
        <v>112.4</v>
      </c>
      <c r="K191" s="101" t="s">
        <v>963</v>
      </c>
      <c r="L191" s="101">
        <v>8510</v>
      </c>
      <c r="M191" s="104">
        <v>13.21</v>
      </c>
      <c r="N191" s="97"/>
      <c r="O191" s="97"/>
      <c r="P191" s="97"/>
      <c r="Q191" s="97"/>
      <c r="R191" s="105">
        <v>8510</v>
      </c>
      <c r="S191" s="101" t="s">
        <v>964</v>
      </c>
      <c r="T191" s="101">
        <v>737</v>
      </c>
      <c r="U191" s="101">
        <v>35</v>
      </c>
      <c r="V191" s="101">
        <v>6</v>
      </c>
      <c r="W191" s="101">
        <v>21</v>
      </c>
      <c r="X191" s="101">
        <v>4</v>
      </c>
      <c r="Y191" s="99"/>
      <c r="Z191" s="101" t="s">
        <v>965</v>
      </c>
      <c r="AA191" s="101" t="s">
        <v>1000</v>
      </c>
      <c r="AB191" s="106"/>
      <c r="AC191" s="106">
        <f t="shared" si="0"/>
      </c>
      <c r="AD191" s="99"/>
      <c r="AE191" s="99"/>
      <c r="AF191" s="99"/>
      <c r="AG191" s="107"/>
      <c r="AH191" s="107"/>
      <c r="AI191" s="107"/>
      <c r="AJ191" s="107"/>
    </row>
    <row customHeight="true" ht="33" r="192">
      <c r="A192" s="100" t="s">
        <v>1554</v>
      </c>
      <c r="B192" s="101" t="s">
        <v>958</v>
      </c>
      <c r="C192" s="101" t="s">
        <v>1555</v>
      </c>
      <c r="D192" s="101" t="s">
        <v>1556</v>
      </c>
      <c r="E192" s="102" t="s">
        <v>1557</v>
      </c>
      <c r="F192" s="103">
        <v>46141.88631944444</v>
      </c>
      <c r="G192" s="101" t="s">
        <v>1094</v>
      </c>
      <c r="H192" s="101">
        <v>1000</v>
      </c>
      <c r="I192" s="101">
        <v>1000</v>
      </c>
      <c r="J192" s="101">
        <v>115.43</v>
      </c>
      <c r="K192" s="101" t="s">
        <v>963</v>
      </c>
      <c r="L192" s="101">
        <v>8216</v>
      </c>
      <c r="M192" s="104">
        <v>14.05</v>
      </c>
      <c r="N192" s="97"/>
      <c r="O192" s="97"/>
      <c r="P192" s="97"/>
      <c r="Q192" s="97"/>
      <c r="R192" s="105">
        <v>8216</v>
      </c>
      <c r="S192" s="101" t="s">
        <v>964</v>
      </c>
      <c r="T192" s="101">
        <v>562</v>
      </c>
      <c r="U192" s="101">
        <v>73</v>
      </c>
      <c r="V192" s="101">
        <v>39</v>
      </c>
      <c r="W192" s="101">
        <v>277</v>
      </c>
      <c r="X192" s="101">
        <v>12</v>
      </c>
      <c r="Y192" s="99"/>
      <c r="Z192" s="101" t="s">
        <v>965</v>
      </c>
      <c r="AA192" s="101" t="s">
        <v>1000</v>
      </c>
      <c r="AB192" s="106"/>
      <c r="AC192" s="106">
        <f t="shared" si="0"/>
      </c>
      <c r="AD192" s="99"/>
      <c r="AE192" s="99"/>
      <c r="AF192" s="99"/>
      <c r="AG192" s="107"/>
      <c r="AH192" s="107"/>
      <c r="AI192" s="107"/>
      <c r="AJ192" s="107"/>
    </row>
    <row customHeight="true" ht="33" r="193">
      <c r="A193" s="100" t="s">
        <v>1558</v>
      </c>
      <c r="B193" s="101" t="s">
        <v>958</v>
      </c>
      <c r="C193" s="101" t="s">
        <v>1559</v>
      </c>
      <c r="D193" s="101" t="s">
        <v>1560</v>
      </c>
      <c r="E193" s="102" t="s">
        <v>1561</v>
      </c>
      <c r="F193" s="103">
        <v>46142.79987268519</v>
      </c>
      <c r="G193" s="101" t="s">
        <v>962</v>
      </c>
      <c r="H193" s="101">
        <v>1000</v>
      </c>
      <c r="I193" s="101">
        <v>1000</v>
      </c>
      <c r="J193" s="101">
        <v>1000</v>
      </c>
      <c r="K193" s="101" t="s">
        <v>963</v>
      </c>
      <c r="L193" s="101">
        <v>56425</v>
      </c>
      <c r="M193" s="104">
        <v>17.72</v>
      </c>
      <c r="N193" s="97"/>
      <c r="O193" s="97"/>
      <c r="P193" s="97"/>
      <c r="Q193" s="97"/>
      <c r="R193" s="105">
        <v>56425</v>
      </c>
      <c r="S193" s="101" t="s">
        <v>964</v>
      </c>
      <c r="T193" s="101">
        <v>1118</v>
      </c>
      <c r="U193" s="101">
        <v>3</v>
      </c>
      <c r="V193" s="101">
        <v>21</v>
      </c>
      <c r="W193" s="101">
        <v>90</v>
      </c>
      <c r="X193" s="101">
        <v>6</v>
      </c>
      <c r="Y193" s="99"/>
      <c r="Z193" s="101" t="s">
        <v>965</v>
      </c>
      <c r="AA193" s="101" t="s">
        <v>1000</v>
      </c>
      <c r="AB193" s="106"/>
      <c r="AC193" s="106">
        <f t="shared" si="0"/>
      </c>
      <c r="AD193" s="99"/>
      <c r="AE193" s="99"/>
      <c r="AF193" s="99"/>
      <c r="AG193" s="107"/>
      <c r="AH193" s="107"/>
      <c r="AI193" s="107"/>
      <c r="AJ193" s="107"/>
    </row>
    <row customHeight="true" ht="33" r="194">
      <c r="A194" s="100" t="s">
        <v>1562</v>
      </c>
      <c r="B194" s="101" t="s">
        <v>958</v>
      </c>
      <c r="C194" s="101" t="s">
        <v>1563</v>
      </c>
      <c r="D194" s="101" t="s">
        <v>1564</v>
      </c>
      <c r="E194" s="102" t="s">
        <v>1565</v>
      </c>
      <c r="F194" s="103">
        <v>46142.798483796294</v>
      </c>
      <c r="G194" s="101" t="s">
        <v>962</v>
      </c>
      <c r="H194" s="101">
        <v>1000</v>
      </c>
      <c r="I194" s="101">
        <v>1000</v>
      </c>
      <c r="J194" s="101">
        <v>1000</v>
      </c>
      <c r="K194" s="101" t="s">
        <v>963</v>
      </c>
      <c r="L194" s="101">
        <v>86882</v>
      </c>
      <c r="M194" s="104">
        <v>11.51</v>
      </c>
      <c r="N194" s="97"/>
      <c r="O194" s="97"/>
      <c r="P194" s="97"/>
      <c r="Q194" s="97"/>
      <c r="R194" s="105">
        <v>86882</v>
      </c>
      <c r="S194" s="101" t="s">
        <v>964</v>
      </c>
      <c r="T194" s="101">
        <v>1959</v>
      </c>
      <c r="U194" s="101">
        <v>14</v>
      </c>
      <c r="V194" s="101">
        <v>7</v>
      </c>
      <c r="W194" s="101">
        <v>131</v>
      </c>
      <c r="X194" s="101">
        <v>11</v>
      </c>
      <c r="Y194" s="99"/>
      <c r="Z194" s="101" t="s">
        <v>965</v>
      </c>
      <c r="AA194" s="101" t="s">
        <v>1000</v>
      </c>
      <c r="AB194" s="106"/>
      <c r="AC194" s="106">
        <f t="shared" si="0"/>
      </c>
      <c r="AD194" s="99"/>
      <c r="AE194" s="99"/>
      <c r="AF194" s="99"/>
      <c r="AG194" s="107"/>
      <c r="AH194" s="107"/>
      <c r="AI194" s="107"/>
      <c r="AJ194" s="107"/>
    </row>
    <row customHeight="true" ht="33" r="195">
      <c r="A195" s="100" t="s">
        <v>1566</v>
      </c>
      <c r="B195" s="101" t="s">
        <v>958</v>
      </c>
      <c r="C195" s="101" t="s">
        <v>1567</v>
      </c>
      <c r="D195" s="101" t="s">
        <v>1568</v>
      </c>
      <c r="E195" s="102" t="s">
        <v>1569</v>
      </c>
      <c r="F195" s="103">
        <v>46142.79798611111</v>
      </c>
      <c r="G195" s="101" t="s">
        <v>962</v>
      </c>
      <c r="H195" s="101">
        <v>1000</v>
      </c>
      <c r="I195" s="101">
        <v>1000</v>
      </c>
      <c r="J195" s="101">
        <v>1000</v>
      </c>
      <c r="K195" s="101" t="s">
        <v>963</v>
      </c>
      <c r="L195" s="101">
        <v>133157</v>
      </c>
      <c r="M195" s="104">
        <v>7.51</v>
      </c>
      <c r="N195" s="97"/>
      <c r="O195" s="97"/>
      <c r="P195" s="97"/>
      <c r="Q195" s="97"/>
      <c r="R195" s="105">
        <v>133157</v>
      </c>
      <c r="S195" s="101" t="s">
        <v>964</v>
      </c>
      <c r="T195" s="101">
        <v>5375</v>
      </c>
      <c r="U195" s="101">
        <v>13</v>
      </c>
      <c r="V195" s="101">
        <v>90</v>
      </c>
      <c r="W195" s="101">
        <v>7527</v>
      </c>
      <c r="X195" s="101">
        <v>10</v>
      </c>
      <c r="Y195" s="99"/>
      <c r="Z195" s="101" t="s">
        <v>965</v>
      </c>
      <c r="AA195" s="101" t="s">
        <v>1000</v>
      </c>
      <c r="AB195" s="106"/>
      <c r="AC195" s="106">
        <f t="shared" si="0"/>
      </c>
      <c r="AD195" s="99"/>
      <c r="AE195" s="99"/>
      <c r="AF195" s="99"/>
      <c r="AG195" s="107"/>
      <c r="AH195" s="107"/>
      <c r="AI195" s="107"/>
      <c r="AJ195" s="107"/>
    </row>
    <row customHeight="true" ht="33" r="196">
      <c r="A196" s="100" t="s">
        <v>1570</v>
      </c>
      <c r="B196" s="101" t="s">
        <v>958</v>
      </c>
      <c r="C196" s="101" t="s">
        <v>1571</v>
      </c>
      <c r="D196" s="101" t="s">
        <v>1572</v>
      </c>
      <c r="E196" s="102" t="s">
        <v>1573</v>
      </c>
      <c r="F196" s="103">
        <v>46142.79765046296</v>
      </c>
      <c r="G196" s="101" t="s">
        <v>962</v>
      </c>
      <c r="H196" s="101">
        <v>1000</v>
      </c>
      <c r="I196" s="101">
        <v>1000</v>
      </c>
      <c r="J196" s="101">
        <v>1000</v>
      </c>
      <c r="K196" s="101" t="s">
        <v>963</v>
      </c>
      <c r="L196" s="101">
        <v>54375</v>
      </c>
      <c r="M196" s="104">
        <v>18.39</v>
      </c>
      <c r="N196" s="97"/>
      <c r="O196" s="97"/>
      <c r="P196" s="97"/>
      <c r="Q196" s="97"/>
      <c r="R196" s="105">
        <v>54375</v>
      </c>
      <c r="S196" s="101" t="s">
        <v>964</v>
      </c>
      <c r="T196" s="101">
        <v>1358</v>
      </c>
      <c r="U196" s="101">
        <v>4</v>
      </c>
      <c r="V196" s="101">
        <v>89</v>
      </c>
      <c r="W196" s="101">
        <v>78</v>
      </c>
      <c r="X196" s="101">
        <v>10</v>
      </c>
      <c r="Y196" s="99"/>
      <c r="Z196" s="101" t="s">
        <v>965</v>
      </c>
      <c r="AA196" s="101" t="s">
        <v>1000</v>
      </c>
      <c r="AB196" s="106"/>
      <c r="AC196" s="106">
        <f t="shared" si="0"/>
      </c>
      <c r="AD196" s="99"/>
      <c r="AE196" s="99"/>
      <c r="AF196" s="99"/>
      <c r="AG196" s="107"/>
      <c r="AH196" s="107"/>
      <c r="AI196" s="107"/>
      <c r="AJ196" s="107"/>
    </row>
    <row customHeight="true" ht="33" r="197">
      <c r="A197" s="100" t="s">
        <v>1574</v>
      </c>
      <c r="B197" s="101" t="s">
        <v>958</v>
      </c>
      <c r="C197" s="101" t="s">
        <v>1575</v>
      </c>
      <c r="D197" s="101" t="s">
        <v>1576</v>
      </c>
      <c r="E197" s="102" t="s">
        <v>1577</v>
      </c>
      <c r="F197" s="103">
        <v>46142.79725694445</v>
      </c>
      <c r="G197" s="101" t="s">
        <v>962</v>
      </c>
      <c r="H197" s="101">
        <v>1000</v>
      </c>
      <c r="I197" s="101">
        <v>1000</v>
      </c>
      <c r="J197" s="101">
        <v>1000</v>
      </c>
      <c r="K197" s="101" t="s">
        <v>963</v>
      </c>
      <c r="L197" s="101">
        <v>56683</v>
      </c>
      <c r="M197" s="104">
        <v>17.64</v>
      </c>
      <c r="N197" s="97"/>
      <c r="O197" s="97"/>
      <c r="P197" s="97"/>
      <c r="Q197" s="97"/>
      <c r="R197" s="105">
        <v>56683</v>
      </c>
      <c r="S197" s="101" t="s">
        <v>964</v>
      </c>
      <c r="T197" s="101">
        <v>2529</v>
      </c>
      <c r="U197" s="101">
        <v>4</v>
      </c>
      <c r="V197" s="101">
        <v>32</v>
      </c>
      <c r="W197" s="101">
        <v>776</v>
      </c>
      <c r="X197" s="101">
        <v>7</v>
      </c>
      <c r="Y197" s="99"/>
      <c r="Z197" s="101" t="s">
        <v>965</v>
      </c>
      <c r="AA197" s="101" t="s">
        <v>1000</v>
      </c>
      <c r="AB197" s="106"/>
      <c r="AC197" s="106">
        <f t="shared" si="0"/>
      </c>
      <c r="AD197" s="99"/>
      <c r="AE197" s="99"/>
      <c r="AF197" s="99"/>
      <c r="AG197" s="107"/>
      <c r="AH197" s="107"/>
      <c r="AI197" s="107"/>
      <c r="AJ197" s="107"/>
    </row>
    <row customHeight="true" ht="33" r="198">
      <c r="A198" s="100" t="s">
        <v>1578</v>
      </c>
      <c r="B198" s="101" t="s">
        <v>958</v>
      </c>
      <c r="C198" s="101" t="s">
        <v>1579</v>
      </c>
      <c r="D198" s="101" t="s">
        <v>1580</v>
      </c>
      <c r="E198" s="102" t="s">
        <v>1581</v>
      </c>
      <c r="F198" s="103">
        <v>46148.85627314815</v>
      </c>
      <c r="G198" s="101" t="s">
        <v>962</v>
      </c>
      <c r="H198" s="101">
        <v>1000</v>
      </c>
      <c r="I198" s="101">
        <v>1000</v>
      </c>
      <c r="J198" s="101">
        <v>1000</v>
      </c>
      <c r="K198" s="101" t="s">
        <v>963</v>
      </c>
      <c r="L198" s="101">
        <v>57278</v>
      </c>
      <c r="M198" s="104">
        <v>17.46</v>
      </c>
      <c r="N198" s="97"/>
      <c r="O198" s="97"/>
      <c r="P198" s="97"/>
      <c r="Q198" s="97"/>
      <c r="R198" s="105">
        <v>57278</v>
      </c>
      <c r="S198" s="101" t="s">
        <v>964</v>
      </c>
      <c r="T198" s="101">
        <v>1141</v>
      </c>
      <c r="U198" s="101">
        <v>19</v>
      </c>
      <c r="V198" s="101">
        <v>166</v>
      </c>
      <c r="W198" s="101">
        <v>228</v>
      </c>
      <c r="X198" s="101">
        <v>11</v>
      </c>
      <c r="Y198" s="99"/>
      <c r="Z198" s="101" t="s">
        <v>965</v>
      </c>
      <c r="AA198" s="101" t="s">
        <v>966</v>
      </c>
      <c r="AB198" s="106"/>
      <c r="AC198" s="106">
        <f t="shared" si="0"/>
      </c>
      <c r="AD198" s="99"/>
      <c r="AE198" s="99"/>
      <c r="AF198" s="99"/>
      <c r="AG198" s="107"/>
      <c r="AH198" s="107"/>
      <c r="AI198" s="107"/>
      <c r="AJ198" s="107"/>
    </row>
    <row customHeight="true" ht="33" r="199">
      <c r="A199" s="100" t="s">
        <v>1582</v>
      </c>
      <c r="B199" s="101" t="s">
        <v>958</v>
      </c>
      <c r="C199" s="101" t="s">
        <v>1583</v>
      </c>
      <c r="D199" s="101" t="s">
        <v>1584</v>
      </c>
      <c r="E199" s="102" t="s">
        <v>1585</v>
      </c>
      <c r="F199" s="103">
        <v>46148.854421296295</v>
      </c>
      <c r="G199" s="101" t="s">
        <v>962</v>
      </c>
      <c r="H199" s="101">
        <v>1000</v>
      </c>
      <c r="I199" s="101">
        <v>1000</v>
      </c>
      <c r="J199" s="101">
        <v>1000</v>
      </c>
      <c r="K199" s="101" t="s">
        <v>963</v>
      </c>
      <c r="L199" s="101">
        <v>55828</v>
      </c>
      <c r="M199" s="104">
        <v>17.91</v>
      </c>
      <c r="N199" s="97"/>
      <c r="O199" s="97"/>
      <c r="P199" s="97"/>
      <c r="Q199" s="97"/>
      <c r="R199" s="105">
        <v>55828</v>
      </c>
      <c r="S199" s="101" t="s">
        <v>964</v>
      </c>
      <c r="T199" s="101">
        <v>1989</v>
      </c>
      <c r="U199" s="101">
        <v>154</v>
      </c>
      <c r="V199" s="101">
        <v>25</v>
      </c>
      <c r="W199" s="101">
        <v>66</v>
      </c>
      <c r="X199" s="101">
        <v>6</v>
      </c>
      <c r="Y199" s="99"/>
      <c r="Z199" s="101" t="s">
        <v>965</v>
      </c>
      <c r="AA199" s="101" t="s">
        <v>966</v>
      </c>
      <c r="AB199" s="106"/>
      <c r="AC199" s="106">
        <f t="shared" si="0"/>
      </c>
      <c r="AD199" s="99"/>
      <c r="AE199" s="99"/>
      <c r="AF199" s="99"/>
      <c r="AG199" s="107"/>
      <c r="AH199" s="107"/>
      <c r="AI199" s="107"/>
      <c r="AJ199" s="107"/>
    </row>
    <row customHeight="true" ht="33" r="200">
      <c r="A200" s="100" t="s">
        <v>1586</v>
      </c>
      <c r="B200" s="101" t="s">
        <v>958</v>
      </c>
      <c r="C200" s="101" t="s">
        <v>1587</v>
      </c>
      <c r="D200" s="101" t="s">
        <v>1588</v>
      </c>
      <c r="E200" s="102" t="s">
        <v>1589</v>
      </c>
      <c r="F200" s="103">
        <v>46148.853530092594</v>
      </c>
      <c r="G200" s="101" t="s">
        <v>962</v>
      </c>
      <c r="H200" s="101">
        <v>1000</v>
      </c>
      <c r="I200" s="101">
        <v>1000</v>
      </c>
      <c r="J200" s="101">
        <v>1000</v>
      </c>
      <c r="K200" s="101" t="s">
        <v>963</v>
      </c>
      <c r="L200" s="101">
        <v>77500</v>
      </c>
      <c r="M200" s="104">
        <v>12.9</v>
      </c>
      <c r="N200" s="97"/>
      <c r="O200" s="97"/>
      <c r="P200" s="97"/>
      <c r="Q200" s="97"/>
      <c r="R200" s="105">
        <v>77500</v>
      </c>
      <c r="S200" s="101" t="s">
        <v>964</v>
      </c>
      <c r="T200" s="101">
        <v>1427</v>
      </c>
      <c r="U200" s="101">
        <v>60</v>
      </c>
      <c r="V200" s="101">
        <v>14</v>
      </c>
      <c r="W200" s="101">
        <v>309</v>
      </c>
      <c r="X200" s="101">
        <v>5</v>
      </c>
      <c r="Y200" s="99"/>
      <c r="Z200" s="101" t="s">
        <v>965</v>
      </c>
      <c r="AA200" s="101" t="s">
        <v>966</v>
      </c>
      <c r="AB200" s="106"/>
      <c r="AC200" s="106">
        <f t="shared" si="0"/>
      </c>
      <c r="AD200" s="99"/>
      <c r="AE200" s="99"/>
      <c r="AF200" s="99"/>
      <c r="AG200" s="107"/>
      <c r="AH200" s="107"/>
      <c r="AI200" s="107"/>
      <c r="AJ200" s="107"/>
    </row>
    <row customHeight="true" ht="33" r="201">
      <c r="A201" s="100" t="s">
        <v>1590</v>
      </c>
      <c r="B201" s="101" t="s">
        <v>958</v>
      </c>
      <c r="C201" s="101" t="s">
        <v>1591</v>
      </c>
      <c r="D201" s="101" t="s">
        <v>1592</v>
      </c>
      <c r="E201" s="102" t="s">
        <v>1593</v>
      </c>
      <c r="F201" s="103">
        <v>46148.85258101852</v>
      </c>
      <c r="G201" s="101" t="s">
        <v>962</v>
      </c>
      <c r="H201" s="101">
        <v>1000</v>
      </c>
      <c r="I201" s="101">
        <v>1000</v>
      </c>
      <c r="J201" s="101">
        <v>1000</v>
      </c>
      <c r="K201" s="101" t="s">
        <v>963</v>
      </c>
      <c r="L201" s="101">
        <v>52606</v>
      </c>
      <c r="M201" s="104">
        <v>19.01</v>
      </c>
      <c r="N201" s="97"/>
      <c r="O201" s="97"/>
      <c r="P201" s="97"/>
      <c r="Q201" s="97"/>
      <c r="R201" s="105">
        <v>52606</v>
      </c>
      <c r="S201" s="101" t="s">
        <v>964</v>
      </c>
      <c r="T201" s="101">
        <v>2767</v>
      </c>
      <c r="U201" s="101">
        <v>8</v>
      </c>
      <c r="V201" s="101">
        <v>104</v>
      </c>
      <c r="W201" s="101">
        <v>292</v>
      </c>
      <c r="X201" s="101">
        <v>6</v>
      </c>
      <c r="Y201" s="99"/>
      <c r="Z201" s="101" t="s">
        <v>965</v>
      </c>
      <c r="AA201" s="101" t="s">
        <v>966</v>
      </c>
      <c r="AB201" s="106"/>
      <c r="AC201" s="106">
        <f t="shared" si="0"/>
      </c>
      <c r="AD201" s="99"/>
      <c r="AE201" s="99"/>
      <c r="AF201" s="99"/>
      <c r="AG201" s="107"/>
      <c r="AH201" s="107"/>
      <c r="AI201" s="107"/>
      <c r="AJ201" s="107"/>
    </row>
    <row customHeight="true" ht="33" r="202">
      <c r="A202" s="100" t="s">
        <v>1594</v>
      </c>
      <c r="B202" s="101" t="s">
        <v>958</v>
      </c>
      <c r="C202" s="101" t="s">
        <v>1595</v>
      </c>
      <c r="D202" s="101" t="s">
        <v>1596</v>
      </c>
      <c r="E202" s="102" t="s">
        <v>1597</v>
      </c>
      <c r="F202" s="103">
        <v>46148.85181712963</v>
      </c>
      <c r="G202" s="101" t="s">
        <v>1094</v>
      </c>
      <c r="H202" s="101">
        <v>1000</v>
      </c>
      <c r="I202" s="101">
        <v>1000</v>
      </c>
      <c r="J202" s="101">
        <v>939.11</v>
      </c>
      <c r="K202" s="101" t="s">
        <v>963</v>
      </c>
      <c r="L202" s="101">
        <v>70655</v>
      </c>
      <c r="M202" s="104">
        <v>13.29</v>
      </c>
      <c r="N202" s="97"/>
      <c r="O202" s="97"/>
      <c r="P202" s="97"/>
      <c r="Q202" s="97"/>
      <c r="R202" s="105">
        <v>70655</v>
      </c>
      <c r="S202" s="101" t="s">
        <v>964</v>
      </c>
      <c r="T202" s="101">
        <v>8780</v>
      </c>
      <c r="U202" s="101">
        <v>466</v>
      </c>
      <c r="V202" s="101">
        <v>1708</v>
      </c>
      <c r="W202" s="101">
        <v>2478</v>
      </c>
      <c r="X202" s="101">
        <v>134</v>
      </c>
      <c r="Y202" s="99"/>
      <c r="Z202" s="101" t="s">
        <v>965</v>
      </c>
      <c r="AA202" s="101" t="s">
        <v>966</v>
      </c>
      <c r="AB202" s="106"/>
      <c r="AC202" s="106">
        <f t="shared" si="0"/>
      </c>
      <c r="AD202" s="99"/>
      <c r="AE202" s="99"/>
      <c r="AF202" s="99"/>
      <c r="AG202" s="107"/>
      <c r="AH202" s="107"/>
      <c r="AI202" s="107"/>
      <c r="AJ202" s="107"/>
    </row>
    <row customHeight="true" ht="33" r="203">
      <c r="A203" s="100" t="s">
        <v>1598</v>
      </c>
      <c r="B203" s="101" t="s">
        <v>958</v>
      </c>
      <c r="C203" s="101" t="s">
        <v>1599</v>
      </c>
      <c r="D203" s="101" t="s">
        <v>1600</v>
      </c>
      <c r="E203" s="102" t="s">
        <v>1601</v>
      </c>
      <c r="F203" s="103">
        <v>46148.851122685184</v>
      </c>
      <c r="G203" s="101" t="s">
        <v>962</v>
      </c>
      <c r="H203" s="101">
        <v>1000</v>
      </c>
      <c r="I203" s="101">
        <v>1000</v>
      </c>
      <c r="J203" s="101">
        <v>1000</v>
      </c>
      <c r="K203" s="101" t="s">
        <v>963</v>
      </c>
      <c r="L203" s="101">
        <v>54243</v>
      </c>
      <c r="M203" s="104">
        <v>18.44</v>
      </c>
      <c r="N203" s="97"/>
      <c r="O203" s="97"/>
      <c r="P203" s="97"/>
      <c r="Q203" s="97"/>
      <c r="R203" s="105">
        <v>54243</v>
      </c>
      <c r="S203" s="101" t="s">
        <v>964</v>
      </c>
      <c r="T203" s="101">
        <v>4237</v>
      </c>
      <c r="U203" s="101">
        <v>292</v>
      </c>
      <c r="V203" s="101">
        <v>34</v>
      </c>
      <c r="W203" s="101">
        <v>76</v>
      </c>
      <c r="X203" s="101">
        <v>5</v>
      </c>
      <c r="Y203" s="99"/>
      <c r="Z203" s="101" t="s">
        <v>965</v>
      </c>
      <c r="AA203" s="101" t="s">
        <v>966</v>
      </c>
      <c r="AB203" s="106"/>
      <c r="AC203" s="106">
        <f t="shared" si="0"/>
      </c>
      <c r="AD203" s="99"/>
      <c r="AE203" s="99"/>
      <c r="AF203" s="99"/>
      <c r="AG203" s="107"/>
      <c r="AH203" s="107"/>
      <c r="AI203" s="107"/>
      <c r="AJ203" s="107"/>
    </row>
    <row customHeight="true" ht="33" r="204">
      <c r="A204" s="100" t="s">
        <v>1602</v>
      </c>
      <c r="B204" s="101" t="s">
        <v>958</v>
      </c>
      <c r="C204" s="101" t="s">
        <v>1603</v>
      </c>
      <c r="D204" s="101" t="s">
        <v>1604</v>
      </c>
      <c r="E204" s="102" t="s">
        <v>1605</v>
      </c>
      <c r="F204" s="103">
        <v>46148.85013888889</v>
      </c>
      <c r="G204" s="101" t="s">
        <v>962</v>
      </c>
      <c r="H204" s="101">
        <v>1000</v>
      </c>
      <c r="I204" s="101">
        <v>1000</v>
      </c>
      <c r="J204" s="101">
        <v>1000</v>
      </c>
      <c r="K204" s="101" t="s">
        <v>963</v>
      </c>
      <c r="L204" s="101">
        <v>10546</v>
      </c>
      <c r="M204" s="104">
        <v>0.09</v>
      </c>
      <c r="N204" s="97"/>
      <c r="O204" s="97"/>
      <c r="P204" s="97"/>
      <c r="Q204" s="97"/>
      <c r="R204" s="105">
        <v>1623280</v>
      </c>
      <c r="S204" s="101">
        <v>0.183</v>
      </c>
      <c r="T204" s="101">
        <v>9869</v>
      </c>
      <c r="U204" s="101">
        <v>462</v>
      </c>
      <c r="V204" s="101">
        <v>215</v>
      </c>
      <c r="W204" s="101">
        <v>8167</v>
      </c>
      <c r="X204" s="101">
        <v>1428</v>
      </c>
      <c r="Y204" s="99"/>
      <c r="Z204" s="101" t="s">
        <v>965</v>
      </c>
      <c r="AA204" s="101" t="s">
        <v>966</v>
      </c>
      <c r="AB204" s="106"/>
      <c r="AC204" s="106">
        <f t="shared" si="0"/>
      </c>
      <c r="AD204" s="99"/>
      <c r="AE204" s="99"/>
      <c r="AF204" s="99"/>
      <c r="AG204" s="107"/>
      <c r="AH204" s="107"/>
      <c r="AI204" s="107"/>
      <c r="AJ204" s="107"/>
    </row>
    <row customHeight="true" ht="33" r="205">
      <c r="A205" s="100" t="s">
        <v>1606</v>
      </c>
      <c r="B205" s="101" t="s">
        <v>958</v>
      </c>
      <c r="C205" s="101" t="s">
        <v>1595</v>
      </c>
      <c r="D205" s="101" t="s">
        <v>1596</v>
      </c>
      <c r="E205" s="102" t="s">
        <v>1597</v>
      </c>
      <c r="F205" s="103">
        <v>46149.84706018519</v>
      </c>
      <c r="G205" s="101" t="s">
        <v>962</v>
      </c>
      <c r="H205" s="101">
        <v>5000</v>
      </c>
      <c r="I205" s="101">
        <v>5000</v>
      </c>
      <c r="J205" s="101">
        <v>5000</v>
      </c>
      <c r="K205" s="101" t="s">
        <v>963</v>
      </c>
      <c r="L205" s="101">
        <v>283764</v>
      </c>
      <c r="M205" s="104">
        <v>17.62</v>
      </c>
      <c r="N205" s="97"/>
      <c r="O205" s="97"/>
      <c r="P205" s="97"/>
      <c r="Q205" s="97"/>
      <c r="R205" s="105">
        <v>283764</v>
      </c>
      <c r="S205" s="101" t="s">
        <v>964</v>
      </c>
      <c r="T205" s="101">
        <v>18755</v>
      </c>
      <c r="U205" s="101">
        <v>443</v>
      </c>
      <c r="V205" s="101">
        <v>3364</v>
      </c>
      <c r="W205" s="101">
        <v>3800</v>
      </c>
      <c r="X205" s="101">
        <v>200</v>
      </c>
      <c r="Y205" s="99"/>
      <c r="Z205" s="101" t="s">
        <v>965</v>
      </c>
      <c r="AA205" s="101" t="s">
        <v>966</v>
      </c>
      <c r="AB205" s="106"/>
      <c r="AC205" s="106">
        <f t="shared" si="0"/>
      </c>
      <c r="AD205" s="99"/>
      <c r="AE205" s="99"/>
      <c r="AF205" s="99"/>
      <c r="AG205" s="107"/>
      <c r="AH205" s="107"/>
      <c r="AI205" s="107"/>
      <c r="AJ205" s="107"/>
    </row>
    <row customHeight="true" ht="33" r="206">
      <c r="A206" s="100" t="s">
        <v>1607</v>
      </c>
      <c r="B206" s="101" t="s">
        <v>958</v>
      </c>
      <c r="C206" s="101" t="s">
        <v>1603</v>
      </c>
      <c r="D206" s="101" t="s">
        <v>1604</v>
      </c>
      <c r="E206" s="102" t="s">
        <v>1605</v>
      </c>
      <c r="F206" s="103">
        <v>46149.84527777778</v>
      </c>
      <c r="G206" s="101" t="s">
        <v>962</v>
      </c>
      <c r="H206" s="101">
        <v>5000</v>
      </c>
      <c r="I206" s="101">
        <v>5000</v>
      </c>
      <c r="J206" s="101">
        <v>5000</v>
      </c>
      <c r="K206" s="101" t="s">
        <v>963</v>
      </c>
      <c r="L206" s="101">
        <v>21630</v>
      </c>
      <c r="M206" s="104">
        <v>0.23</v>
      </c>
      <c r="N206" s="97"/>
      <c r="O206" s="97"/>
      <c r="P206" s="97"/>
      <c r="Q206" s="97"/>
      <c r="R206" s="105">
        <v>4099537</v>
      </c>
      <c r="S206" s="101">
        <v>0.186</v>
      </c>
      <c r="T206" s="101">
        <v>20259</v>
      </c>
      <c r="U206" s="101">
        <v>721</v>
      </c>
      <c r="V206" s="101">
        <v>650</v>
      </c>
      <c r="W206" s="101">
        <v>16779</v>
      </c>
      <c r="X206" s="101">
        <v>1742</v>
      </c>
      <c r="Y206" s="99"/>
      <c r="Z206" s="101" t="s">
        <v>965</v>
      </c>
      <c r="AA206" s="101" t="s">
        <v>1000</v>
      </c>
      <c r="AB206" s="106"/>
      <c r="AC206" s="106">
        <f t="shared" si="0"/>
      </c>
      <c r="AD206" s="99"/>
      <c r="AE206" s="99"/>
      <c r="AF206" s="99"/>
      <c r="AG206" s="107"/>
      <c r="AH206" s="107"/>
      <c r="AI206" s="107"/>
      <c r="AJ206" s="107"/>
    </row>
    <row customHeight="true" ht="33" r="207">
      <c r="A207" s="100" t="s">
        <v>1608</v>
      </c>
      <c r="B207" s="101" t="s">
        <v>958</v>
      </c>
      <c r="C207" s="101" t="s">
        <v>1609</v>
      </c>
      <c r="D207" s="101" t="s">
        <v>1610</v>
      </c>
      <c r="E207" s="102" t="s">
        <v>1611</v>
      </c>
      <c r="F207" s="103">
        <v>46149.843773148146</v>
      </c>
      <c r="G207" s="101" t="s">
        <v>962</v>
      </c>
      <c r="H207" s="101">
        <v>1000</v>
      </c>
      <c r="I207" s="101">
        <v>1000</v>
      </c>
      <c r="J207" s="101">
        <v>1000</v>
      </c>
      <c r="K207" s="101" t="s">
        <v>963</v>
      </c>
      <c r="L207" s="101">
        <v>54251</v>
      </c>
      <c r="M207" s="104">
        <v>18.43</v>
      </c>
      <c r="N207" s="97"/>
      <c r="O207" s="97"/>
      <c r="P207" s="97"/>
      <c r="Q207" s="97"/>
      <c r="R207" s="105">
        <v>54251</v>
      </c>
      <c r="S207" s="101" t="s">
        <v>964</v>
      </c>
      <c r="T207" s="101">
        <v>780</v>
      </c>
      <c r="U207" s="101">
        <v>10</v>
      </c>
      <c r="V207" s="101">
        <v>22</v>
      </c>
      <c r="W207" s="101">
        <v>85</v>
      </c>
      <c r="X207" s="101">
        <v>5</v>
      </c>
      <c r="Y207" s="99"/>
      <c r="Z207" s="101" t="s">
        <v>965</v>
      </c>
      <c r="AA207" s="101" t="s">
        <v>1000</v>
      </c>
      <c r="AB207" s="106"/>
      <c r="AC207" s="106">
        <f t="shared" si="0"/>
      </c>
      <c r="AD207" s="99"/>
      <c r="AE207" s="99"/>
      <c r="AF207" s="99"/>
      <c r="AG207" s="107"/>
      <c r="AH207" s="107"/>
      <c r="AI207" s="107"/>
      <c r="AJ207" s="107"/>
    </row>
    <row customHeight="true" ht="33" r="208">
      <c r="A208" s="100" t="s">
        <v>1612</v>
      </c>
      <c r="B208" s="101" t="s">
        <v>958</v>
      </c>
      <c r="C208" s="101" t="s">
        <v>1613</v>
      </c>
      <c r="D208" s="101" t="s">
        <v>1614</v>
      </c>
      <c r="E208" s="102" t="s">
        <v>1615</v>
      </c>
      <c r="F208" s="103">
        <v>46149.84034722222</v>
      </c>
      <c r="G208" s="101" t="s">
        <v>962</v>
      </c>
      <c r="H208" s="101">
        <v>1000</v>
      </c>
      <c r="I208" s="101">
        <v>1000</v>
      </c>
      <c r="J208" s="101">
        <v>1000</v>
      </c>
      <c r="K208" s="101" t="s">
        <v>963</v>
      </c>
      <c r="L208" s="101">
        <v>55416</v>
      </c>
      <c r="M208" s="104">
        <v>18.05</v>
      </c>
      <c r="N208" s="97"/>
      <c r="O208" s="97"/>
      <c r="P208" s="97"/>
      <c r="Q208" s="97"/>
      <c r="R208" s="105">
        <v>55416</v>
      </c>
      <c r="S208" s="101" t="s">
        <v>964</v>
      </c>
      <c r="T208" s="101">
        <v>82</v>
      </c>
      <c r="U208" s="101">
        <v>2</v>
      </c>
      <c r="V208" s="101">
        <v>40</v>
      </c>
      <c r="W208" s="101">
        <v>272</v>
      </c>
      <c r="X208" s="101">
        <v>4</v>
      </c>
      <c r="Y208" s="99"/>
      <c r="Z208" s="101" t="s">
        <v>965</v>
      </c>
      <c r="AA208" s="101" t="s">
        <v>1000</v>
      </c>
      <c r="AB208" s="106"/>
      <c r="AC208" s="106">
        <f t="shared" si="0"/>
      </c>
      <c r="AD208" s="99"/>
      <c r="AE208" s="99"/>
      <c r="AF208" s="99"/>
      <c r="AG208" s="107"/>
      <c r="AH208" s="107"/>
      <c r="AI208" s="107"/>
      <c r="AJ208" s="107"/>
    </row>
    <row customHeight="true" ht="33" r="209">
      <c r="A209" s="100" t="s">
        <v>1616</v>
      </c>
      <c r="B209" s="101" t="s">
        <v>958</v>
      </c>
      <c r="C209" s="101" t="s">
        <v>1595</v>
      </c>
      <c r="D209" s="101" t="s">
        <v>1596</v>
      </c>
      <c r="E209" s="102" t="s">
        <v>1597</v>
      </c>
      <c r="F209" s="103">
        <v>46150.899305555555</v>
      </c>
      <c r="G209" s="101" t="s">
        <v>962</v>
      </c>
      <c r="H209" s="101">
        <v>5000</v>
      </c>
      <c r="I209" s="101">
        <v>5000</v>
      </c>
      <c r="J209" s="101">
        <v>5000</v>
      </c>
      <c r="K209" s="101" t="s">
        <v>963</v>
      </c>
      <c r="L209" s="101">
        <v>273724</v>
      </c>
      <c r="M209" s="104">
        <v>18.27</v>
      </c>
      <c r="N209" s="97"/>
      <c r="O209" s="97"/>
      <c r="P209" s="97"/>
      <c r="Q209" s="97"/>
      <c r="R209" s="105">
        <v>273724</v>
      </c>
      <c r="S209" s="101" t="s">
        <v>964</v>
      </c>
      <c r="T209" s="101">
        <v>18654</v>
      </c>
      <c r="U209" s="101">
        <v>284</v>
      </c>
      <c r="V209" s="101">
        <v>3463</v>
      </c>
      <c r="W209" s="101">
        <v>4310</v>
      </c>
      <c r="X209" s="101">
        <v>167</v>
      </c>
      <c r="Y209" s="99"/>
      <c r="Z209" s="101" t="s">
        <v>965</v>
      </c>
      <c r="AA209" s="101" t="s">
        <v>1000</v>
      </c>
      <c r="AB209" s="106"/>
      <c r="AC209" s="106">
        <f t="shared" si="0"/>
      </c>
      <c r="AD209" s="99"/>
      <c r="AE209" s="99"/>
      <c r="AF209" s="99"/>
      <c r="AG209" s="107"/>
      <c r="AH209" s="107"/>
      <c r="AI209" s="107"/>
      <c r="AJ209" s="107"/>
    </row>
    <row customHeight="true" ht="33" r="210">
      <c r="A210" s="100" t="s">
        <v>1617</v>
      </c>
      <c r="B210" s="101" t="s">
        <v>958</v>
      </c>
      <c r="C210" s="101" t="s">
        <v>1618</v>
      </c>
      <c r="D210" s="101" t="s">
        <v>1619</v>
      </c>
      <c r="E210" s="102" t="s">
        <v>1620</v>
      </c>
      <c r="F210" s="103">
        <v>46150.89834490741</v>
      </c>
      <c r="G210" s="101" t="s">
        <v>962</v>
      </c>
      <c r="H210" s="101">
        <v>1000</v>
      </c>
      <c r="I210" s="101">
        <v>1000</v>
      </c>
      <c r="J210" s="101">
        <v>1000</v>
      </c>
      <c r="K210" s="101" t="s">
        <v>963</v>
      </c>
      <c r="L210" s="101">
        <v>55634</v>
      </c>
      <c r="M210" s="104">
        <v>17.97</v>
      </c>
      <c r="N210" s="97"/>
      <c r="O210" s="97"/>
      <c r="P210" s="97"/>
      <c r="Q210" s="97"/>
      <c r="R210" s="105">
        <v>55634</v>
      </c>
      <c r="S210" s="101" t="s">
        <v>964</v>
      </c>
      <c r="T210" s="101">
        <v>737</v>
      </c>
      <c r="U210" s="101">
        <v>13</v>
      </c>
      <c r="V210" s="101">
        <v>4</v>
      </c>
      <c r="W210" s="101">
        <v>91</v>
      </c>
      <c r="X210" s="101">
        <v>5</v>
      </c>
      <c r="Y210" s="99"/>
      <c r="Z210" s="101" t="s">
        <v>965</v>
      </c>
      <c r="AA210" s="101" t="s">
        <v>1000</v>
      </c>
      <c r="AB210" s="106"/>
      <c r="AC210" s="106">
        <f t="shared" si="0"/>
      </c>
      <c r="AD210" s="99"/>
      <c r="AE210" s="99"/>
      <c r="AF210" s="99"/>
      <c r="AG210" s="107"/>
      <c r="AH210" s="107"/>
      <c r="AI210" s="107"/>
      <c r="AJ210" s="107"/>
    </row>
    <row customHeight="true" ht="33" r="211">
      <c r="A211" s="100" t="s">
        <v>1621</v>
      </c>
      <c r="B211" s="101" t="s">
        <v>958</v>
      </c>
      <c r="C211" s="101" t="s">
        <v>1622</v>
      </c>
      <c r="D211" s="101" t="s">
        <v>1623</v>
      </c>
      <c r="E211" s="102" t="s">
        <v>1624</v>
      </c>
      <c r="F211" s="103">
        <v>46151.822604166664</v>
      </c>
      <c r="G211" s="101" t="s">
        <v>962</v>
      </c>
      <c r="H211" s="101">
        <v>1000</v>
      </c>
      <c r="I211" s="101">
        <v>1000</v>
      </c>
      <c r="J211" s="101">
        <v>1000</v>
      </c>
      <c r="K211" s="101" t="s">
        <v>1625</v>
      </c>
      <c r="L211" s="101">
        <v>60844</v>
      </c>
      <c r="M211" s="104">
        <v>16.44</v>
      </c>
      <c r="N211" s="97"/>
      <c r="O211" s="97"/>
      <c r="P211" s="97"/>
      <c r="Q211" s="97"/>
      <c r="R211" s="105">
        <v>60844</v>
      </c>
      <c r="S211" s="101" t="s">
        <v>964</v>
      </c>
      <c r="T211" s="101">
        <v>382</v>
      </c>
      <c r="U211" s="101">
        <v>33</v>
      </c>
      <c r="V211" s="101">
        <v>41</v>
      </c>
      <c r="W211" s="101">
        <v>152</v>
      </c>
      <c r="X211" s="101">
        <v>6</v>
      </c>
      <c r="Y211" s="99"/>
      <c r="Z211" s="101" t="s">
        <v>965</v>
      </c>
      <c r="AA211" s="101" t="s">
        <v>1000</v>
      </c>
      <c r="AB211" s="106"/>
      <c r="AC211" s="106">
        <f t="shared" si="0"/>
      </c>
      <c r="AD211" s="99"/>
      <c r="AE211" s="99"/>
      <c r="AF211" s="99"/>
      <c r="AG211" s="107"/>
      <c r="AH211" s="107"/>
      <c r="AI211" s="107"/>
      <c r="AJ211" s="107"/>
    </row>
    <row customHeight="true" ht="33" r="212">
      <c r="A212" s="100" t="s">
        <v>1626</v>
      </c>
      <c r="B212" s="101" t="s">
        <v>958</v>
      </c>
      <c r="C212" s="101" t="s">
        <v>1627</v>
      </c>
      <c r="D212" s="101" t="s">
        <v>1628</v>
      </c>
      <c r="E212" s="102" t="s">
        <v>1629</v>
      </c>
      <c r="F212" s="103">
        <v>46153.795</v>
      </c>
      <c r="G212" s="101" t="s">
        <v>962</v>
      </c>
      <c r="H212" s="101">
        <v>1000</v>
      </c>
      <c r="I212" s="101">
        <v>1000</v>
      </c>
      <c r="J212" s="101">
        <v>1000</v>
      </c>
      <c r="K212" s="101" t="s">
        <v>963</v>
      </c>
      <c r="L212" s="101">
        <v>53472</v>
      </c>
      <c r="M212" s="104">
        <v>18.7</v>
      </c>
      <c r="N212" s="97"/>
      <c r="O212" s="97"/>
      <c r="P212" s="97"/>
      <c r="Q212" s="97"/>
      <c r="R212" s="105">
        <v>53472</v>
      </c>
      <c r="S212" s="101" t="s">
        <v>964</v>
      </c>
      <c r="T212" s="101">
        <v>2678</v>
      </c>
      <c r="U212" s="101">
        <v>13</v>
      </c>
      <c r="V212" s="101">
        <v>80</v>
      </c>
      <c r="W212" s="101">
        <v>115</v>
      </c>
      <c r="X212" s="101">
        <v>14</v>
      </c>
      <c r="Y212" s="99"/>
      <c r="Z212" s="101" t="s">
        <v>965</v>
      </c>
      <c r="AA212" s="101" t="s">
        <v>1000</v>
      </c>
      <c r="AB212" s="106"/>
      <c r="AC212" s="106">
        <f t="shared" si="0"/>
      </c>
      <c r="AD212" s="99"/>
      <c r="AE212" s="99"/>
      <c r="AF212" s="99"/>
      <c r="AG212" s="107"/>
      <c r="AH212" s="107"/>
      <c r="AI212" s="107"/>
      <c r="AJ212" s="107"/>
    </row>
    <row customHeight="true" ht="33" r="213">
      <c r="A213" s="100" t="s">
        <v>1630</v>
      </c>
      <c r="B213" s="101" t="s">
        <v>958</v>
      </c>
      <c r="C213" s="101" t="s">
        <v>1631</v>
      </c>
      <c r="D213" s="101" t="s">
        <v>1632</v>
      </c>
      <c r="E213" s="102" t="s">
        <v>1633</v>
      </c>
      <c r="F213" s="103">
        <v>46155.76699074074</v>
      </c>
      <c r="G213" s="101" t="s">
        <v>962</v>
      </c>
      <c r="H213" s="101">
        <v>1000</v>
      </c>
      <c r="I213" s="101">
        <v>1000</v>
      </c>
      <c r="J213" s="101">
        <v>1000</v>
      </c>
      <c r="K213" s="101" t="s">
        <v>1625</v>
      </c>
      <c r="L213" s="101">
        <v>95313</v>
      </c>
      <c r="M213" s="104">
        <v>10.49</v>
      </c>
      <c r="N213" s="97"/>
      <c r="O213" s="97"/>
      <c r="P213" s="97"/>
      <c r="Q213" s="97"/>
      <c r="R213" s="105">
        <v>95313</v>
      </c>
      <c r="S213" s="101" t="s">
        <v>964</v>
      </c>
      <c r="T213" s="101">
        <v>35</v>
      </c>
      <c r="U213" s="101">
        <v>0</v>
      </c>
      <c r="V213" s="101">
        <v>5</v>
      </c>
      <c r="W213" s="101">
        <v>595</v>
      </c>
      <c r="X213" s="101">
        <v>2</v>
      </c>
      <c r="Y213" s="99"/>
      <c r="Z213" s="101" t="s">
        <v>965</v>
      </c>
      <c r="AA213" s="101" t="s">
        <v>1000</v>
      </c>
      <c r="AB213" s="106"/>
      <c r="AC213" s="106">
        <f t="shared" si="0"/>
      </c>
      <c r="AD213" s="99"/>
      <c r="AE213" s="99"/>
      <c r="AF213" s="99"/>
      <c r="AG213" s="107"/>
      <c r="AH213" s="107"/>
      <c r="AI213" s="107"/>
      <c r="AJ213" s="107"/>
    </row>
    <row customHeight="true" ht="33" r="214">
      <c r="A214" s="100" t="s">
        <v>1634</v>
      </c>
      <c r="B214" s="101" t="s">
        <v>958</v>
      </c>
      <c r="C214" s="101" t="s">
        <v>1635</v>
      </c>
      <c r="D214" s="101" t="s">
        <v>1636</v>
      </c>
      <c r="E214" s="102" t="s">
        <v>1637</v>
      </c>
      <c r="F214" s="103">
        <v>46155.766122685185</v>
      </c>
      <c r="G214" s="101" t="s">
        <v>1229</v>
      </c>
      <c r="H214" s="101">
        <v>1000</v>
      </c>
      <c r="I214" s="101">
        <v>1000</v>
      </c>
      <c r="J214" s="101">
        <v>0</v>
      </c>
      <c r="K214" s="101" t="s">
        <v>1625</v>
      </c>
      <c r="L214" s="101">
        <v>0</v>
      </c>
      <c r="M214" s="104">
        <v>0</v>
      </c>
      <c r="N214" s="97"/>
      <c r="O214" s="97"/>
      <c r="P214" s="97"/>
      <c r="Q214" s="97"/>
      <c r="R214" s="105">
        <v>0</v>
      </c>
      <c r="S214" s="101" t="s">
        <v>964</v>
      </c>
      <c r="T214" s="101">
        <v>0</v>
      </c>
      <c r="U214" s="101">
        <v>0</v>
      </c>
      <c r="V214" s="101">
        <v>0</v>
      </c>
      <c r="W214" s="101">
        <v>0</v>
      </c>
      <c r="X214" s="101">
        <v>0</v>
      </c>
      <c r="Y214" s="99"/>
      <c r="Z214" s="101" t="s">
        <v>965</v>
      </c>
      <c r="AA214" s="101" t="s">
        <v>1000</v>
      </c>
      <c r="AB214" s="106"/>
      <c r="AC214" s="106">
        <f t="shared" si="0"/>
      </c>
      <c r="AD214" s="99"/>
      <c r="AE214" s="99"/>
      <c r="AF214" s="99"/>
      <c r="AG214" s="107"/>
      <c r="AH214" s="107"/>
      <c r="AI214" s="107"/>
      <c r="AJ214" s="107"/>
    </row>
    <row customHeight="true" ht="33" r="215">
      <c r="A215" s="100" t="s">
        <v>1638</v>
      </c>
      <c r="B215" s="101" t="s">
        <v>958</v>
      </c>
      <c r="C215" s="101" t="s">
        <v>1639</v>
      </c>
      <c r="D215" s="101" t="s">
        <v>1640</v>
      </c>
      <c r="E215" s="102" t="s">
        <v>1641</v>
      </c>
      <c r="F215" s="103">
        <v>46157.768587962964</v>
      </c>
      <c r="G215" s="101" t="s">
        <v>962</v>
      </c>
      <c r="H215" s="101">
        <v>1000</v>
      </c>
      <c r="I215" s="101">
        <v>1000</v>
      </c>
      <c r="J215" s="101">
        <v>1000</v>
      </c>
      <c r="K215" s="101" t="s">
        <v>963</v>
      </c>
      <c r="L215" s="101">
        <v>78253</v>
      </c>
      <c r="M215" s="104">
        <v>12.78</v>
      </c>
      <c r="N215" s="97"/>
      <c r="O215" s="97"/>
      <c r="P215" s="97"/>
      <c r="Q215" s="97"/>
      <c r="R215" s="105">
        <v>78253</v>
      </c>
      <c r="S215" s="101" t="s">
        <v>964</v>
      </c>
      <c r="T215" s="101">
        <v>815</v>
      </c>
      <c r="U215" s="101">
        <v>5</v>
      </c>
      <c r="V215" s="101">
        <v>0</v>
      </c>
      <c r="W215" s="101">
        <v>1347</v>
      </c>
      <c r="X215" s="101">
        <v>2</v>
      </c>
      <c r="Y215" s="99"/>
      <c r="Z215" s="101" t="s">
        <v>965</v>
      </c>
      <c r="AA215" s="101" t="s">
        <v>1000</v>
      </c>
      <c r="AB215" s="106"/>
      <c r="AC215" s="106">
        <f t="shared" si="0"/>
      </c>
      <c r="AD215" s="99"/>
      <c r="AE215" s="99"/>
      <c r="AF215" s="99"/>
      <c r="AG215" s="107"/>
      <c r="AH215" s="107"/>
      <c r="AI215" s="107"/>
      <c r="AJ215" s="107"/>
    </row>
    <row customHeight="true" ht="33" r="216">
      <c r="A216" s="100" t="s">
        <v>1642</v>
      </c>
      <c r="B216" s="101" t="s">
        <v>958</v>
      </c>
      <c r="C216" s="101" t="s">
        <v>1643</v>
      </c>
      <c r="D216" s="101" t="s">
        <v>1644</v>
      </c>
      <c r="E216" s="102" t="s">
        <v>1645</v>
      </c>
      <c r="F216" s="103">
        <v>46157.76645833333</v>
      </c>
      <c r="G216" s="101" t="s">
        <v>962</v>
      </c>
      <c r="H216" s="101">
        <v>1000</v>
      </c>
      <c r="I216" s="101">
        <v>1000</v>
      </c>
      <c r="J216" s="101">
        <v>1000</v>
      </c>
      <c r="K216" s="101" t="s">
        <v>963</v>
      </c>
      <c r="L216" s="101">
        <v>60167</v>
      </c>
      <c r="M216" s="104">
        <v>16.62</v>
      </c>
      <c r="N216" s="97"/>
      <c r="O216" s="97"/>
      <c r="P216" s="97"/>
      <c r="Q216" s="97"/>
      <c r="R216" s="105">
        <v>60167</v>
      </c>
      <c r="S216" s="101" t="s">
        <v>964</v>
      </c>
      <c r="T216" s="101">
        <v>3773</v>
      </c>
      <c r="U216" s="101">
        <v>21</v>
      </c>
      <c r="V216" s="101">
        <v>51</v>
      </c>
      <c r="W216" s="101">
        <v>86</v>
      </c>
      <c r="X216" s="101">
        <v>6</v>
      </c>
      <c r="Y216" s="99"/>
      <c r="Z216" s="101" t="s">
        <v>965</v>
      </c>
      <c r="AA216" s="101" t="s">
        <v>1000</v>
      </c>
      <c r="AB216" s="106"/>
      <c r="AC216" s="106">
        <f t="shared" si="0"/>
      </c>
      <c r="AD216" s="99"/>
      <c r="AE216" s="99"/>
      <c r="AF216" s="99"/>
      <c r="AG216" s="107"/>
      <c r="AH216" s="107"/>
      <c r="AI216" s="107"/>
      <c r="AJ216" s="107"/>
    </row>
    <row customHeight="true" ht="33" r="217">
      <c r="A217" s="100" t="s">
        <v>1646</v>
      </c>
      <c r="B217" s="101" t="s">
        <v>958</v>
      </c>
      <c r="C217" s="101" t="s">
        <v>1647</v>
      </c>
      <c r="D217" s="101" t="s">
        <v>1648</v>
      </c>
      <c r="E217" s="102" t="s">
        <v>1649</v>
      </c>
      <c r="F217" s="103">
        <v>46157.76584490741</v>
      </c>
      <c r="G217" s="101" t="s">
        <v>962</v>
      </c>
      <c r="H217" s="101">
        <v>1000</v>
      </c>
      <c r="I217" s="101">
        <v>1000</v>
      </c>
      <c r="J217" s="101">
        <v>1000</v>
      </c>
      <c r="K217" s="101" t="s">
        <v>963</v>
      </c>
      <c r="L217" s="101">
        <v>52567</v>
      </c>
      <c r="M217" s="104">
        <v>19.02</v>
      </c>
      <c r="N217" s="97"/>
      <c r="O217" s="97"/>
      <c r="P217" s="97"/>
      <c r="Q217" s="97"/>
      <c r="R217" s="105">
        <v>52567</v>
      </c>
      <c r="S217" s="101" t="s">
        <v>964</v>
      </c>
      <c r="T217" s="101">
        <v>326</v>
      </c>
      <c r="U217" s="101">
        <v>0</v>
      </c>
      <c r="V217" s="101">
        <v>21</v>
      </c>
      <c r="W217" s="101">
        <v>106</v>
      </c>
      <c r="X217" s="101">
        <v>0</v>
      </c>
      <c r="Y217" s="99"/>
      <c r="Z217" s="101" t="s">
        <v>965</v>
      </c>
      <c r="AA217" s="101" t="s">
        <v>1000</v>
      </c>
      <c r="AB217" s="106"/>
      <c r="AC217" s="106">
        <f t="shared" si="0"/>
      </c>
      <c r="AD217" s="99"/>
      <c r="AE217" s="99"/>
      <c r="AF217" s="99"/>
      <c r="AG217" s="107"/>
      <c r="AH217" s="107"/>
      <c r="AI217" s="107"/>
      <c r="AJ217" s="107"/>
    </row>
    <row customHeight="true" ht="33" r="218">
      <c r="A218" s="100" t="s">
        <v>1650</v>
      </c>
      <c r="B218" s="101" t="s">
        <v>958</v>
      </c>
      <c r="C218" s="101" t="s">
        <v>1651</v>
      </c>
      <c r="D218" s="101" t="s">
        <v>1652</v>
      </c>
      <c r="E218" s="102" t="s">
        <v>1653</v>
      </c>
      <c r="F218" s="103">
        <v>46157.76525462963</v>
      </c>
      <c r="G218" s="101" t="s">
        <v>962</v>
      </c>
      <c r="H218" s="101">
        <v>1000</v>
      </c>
      <c r="I218" s="101">
        <v>1000</v>
      </c>
      <c r="J218" s="101">
        <v>1000</v>
      </c>
      <c r="K218" s="101" t="s">
        <v>963</v>
      </c>
      <c r="L218" s="101">
        <v>72074</v>
      </c>
      <c r="M218" s="104">
        <v>13.87</v>
      </c>
      <c r="N218" s="97"/>
      <c r="O218" s="97"/>
      <c r="P218" s="97"/>
      <c r="Q218" s="97"/>
      <c r="R218" s="105">
        <v>72074</v>
      </c>
      <c r="S218" s="101" t="s">
        <v>964</v>
      </c>
      <c r="T218" s="101">
        <v>188</v>
      </c>
      <c r="U218" s="101">
        <v>4</v>
      </c>
      <c r="V218" s="101">
        <v>15</v>
      </c>
      <c r="W218" s="101">
        <v>1416</v>
      </c>
      <c r="X218" s="101">
        <v>6</v>
      </c>
      <c r="Y218" s="99"/>
      <c r="Z218" s="101" t="s">
        <v>965</v>
      </c>
      <c r="AA218" s="101" t="s">
        <v>1000</v>
      </c>
      <c r="AB218" s="106"/>
      <c r="AC218" s="106">
        <f t="shared" si="0"/>
      </c>
      <c r="AD218" s="99"/>
      <c r="AE218" s="99"/>
      <c r="AF218" s="99"/>
      <c r="AG218" s="107"/>
      <c r="AH218" s="107"/>
      <c r="AI218" s="107"/>
      <c r="AJ218" s="107"/>
    </row>
    <row customHeight="true" ht="33" r="219">
      <c r="A219" s="100" t="s">
        <v>1654</v>
      </c>
      <c r="B219" s="101" t="s">
        <v>958</v>
      </c>
      <c r="C219" s="101" t="s">
        <v>1655</v>
      </c>
      <c r="D219" s="101" t="s">
        <v>1656</v>
      </c>
      <c r="E219" s="102" t="s">
        <v>1657</v>
      </c>
      <c r="F219" s="103">
        <v>46157.7646875</v>
      </c>
      <c r="G219" s="101" t="s">
        <v>1094</v>
      </c>
      <c r="H219" s="101">
        <v>1000</v>
      </c>
      <c r="I219" s="101">
        <v>1000</v>
      </c>
      <c r="J219" s="101">
        <v>999.93</v>
      </c>
      <c r="K219" s="101" t="s">
        <v>963</v>
      </c>
      <c r="L219" s="101">
        <v>74766</v>
      </c>
      <c r="M219" s="104">
        <v>13.37</v>
      </c>
      <c r="N219" s="97"/>
      <c r="O219" s="97"/>
      <c r="P219" s="97"/>
      <c r="Q219" s="97"/>
      <c r="R219" s="105">
        <v>74766</v>
      </c>
      <c r="S219" s="101" t="s">
        <v>964</v>
      </c>
      <c r="T219" s="101">
        <v>210</v>
      </c>
      <c r="U219" s="101">
        <v>4</v>
      </c>
      <c r="V219" s="101">
        <v>7</v>
      </c>
      <c r="W219" s="101">
        <v>586</v>
      </c>
      <c r="X219" s="101">
        <v>6</v>
      </c>
      <c r="Y219" s="99"/>
      <c r="Z219" s="101" t="s">
        <v>965</v>
      </c>
      <c r="AA219" s="101" t="s">
        <v>1000</v>
      </c>
      <c r="AB219" s="106"/>
      <c r="AC219" s="106">
        <f t="shared" si="0"/>
      </c>
      <c r="AD219" s="99"/>
      <c r="AE219" s="99"/>
      <c r="AF219" s="99"/>
      <c r="AG219" s="107"/>
      <c r="AH219" s="107"/>
      <c r="AI219" s="107"/>
      <c r="AJ219" s="107"/>
    </row>
    <row customHeight="true" ht="33" r="220">
      <c r="A220" s="100" t="s">
        <v>1658</v>
      </c>
      <c r="B220" s="101" t="s">
        <v>958</v>
      </c>
      <c r="C220" s="101" t="s">
        <v>1659</v>
      </c>
      <c r="D220" s="101" t="s">
        <v>1660</v>
      </c>
      <c r="E220" s="102" t="s">
        <v>1661</v>
      </c>
      <c r="F220" s="103">
        <v>46157.764074074075</v>
      </c>
      <c r="G220" s="101" t="s">
        <v>962</v>
      </c>
      <c r="H220" s="101">
        <v>1000</v>
      </c>
      <c r="I220" s="101">
        <v>1000</v>
      </c>
      <c r="J220" s="101">
        <v>1000</v>
      </c>
      <c r="K220" s="101" t="s">
        <v>963</v>
      </c>
      <c r="L220" s="101">
        <v>57096</v>
      </c>
      <c r="M220" s="104">
        <v>17.51</v>
      </c>
      <c r="N220" s="97"/>
      <c r="O220" s="97"/>
      <c r="P220" s="97"/>
      <c r="Q220" s="97"/>
      <c r="R220" s="105">
        <v>57096</v>
      </c>
      <c r="S220" s="101" t="s">
        <v>964</v>
      </c>
      <c r="T220" s="101">
        <v>630</v>
      </c>
      <c r="U220" s="101">
        <v>197</v>
      </c>
      <c r="V220" s="101">
        <v>106</v>
      </c>
      <c r="W220" s="101">
        <v>372</v>
      </c>
      <c r="X220" s="101">
        <v>3</v>
      </c>
      <c r="Y220" s="99"/>
      <c r="Z220" s="101" t="s">
        <v>965</v>
      </c>
      <c r="AA220" s="101" t="s">
        <v>1000</v>
      </c>
      <c r="AB220" s="106"/>
      <c r="AC220" s="106">
        <f t="shared" si="0"/>
      </c>
      <c r="AD220" s="99"/>
      <c r="AE220" s="99"/>
      <c r="AF220" s="99"/>
      <c r="AG220" s="107"/>
      <c r="AH220" s="107"/>
      <c r="AI220" s="107"/>
      <c r="AJ220" s="107"/>
    </row>
    <row customHeight="true" ht="33" r="221">
      <c r="A221" s="100" t="s">
        <v>1662</v>
      </c>
      <c r="B221" s="101" t="s">
        <v>958</v>
      </c>
      <c r="C221" s="101" t="s">
        <v>1663</v>
      </c>
      <c r="D221" s="101" t="s">
        <v>1664</v>
      </c>
      <c r="E221" s="102" t="s">
        <v>1665</v>
      </c>
      <c r="F221" s="103">
        <v>46157.76305555556</v>
      </c>
      <c r="G221" s="101" t="s">
        <v>962</v>
      </c>
      <c r="H221" s="101">
        <v>1000</v>
      </c>
      <c r="I221" s="101">
        <v>1000</v>
      </c>
      <c r="J221" s="101">
        <v>1000</v>
      </c>
      <c r="K221" s="101" t="s">
        <v>963</v>
      </c>
      <c r="L221" s="101">
        <v>67658</v>
      </c>
      <c r="M221" s="104">
        <v>14.78</v>
      </c>
      <c r="N221" s="97"/>
      <c r="O221" s="97"/>
      <c r="P221" s="97"/>
      <c r="Q221" s="97"/>
      <c r="R221" s="105">
        <v>67658</v>
      </c>
      <c r="S221" s="101" t="s">
        <v>964</v>
      </c>
      <c r="T221" s="101">
        <v>915</v>
      </c>
      <c r="U221" s="101">
        <v>12</v>
      </c>
      <c r="V221" s="101">
        <v>2</v>
      </c>
      <c r="W221" s="101">
        <v>517</v>
      </c>
      <c r="X221" s="101">
        <v>5</v>
      </c>
      <c r="Y221" s="99"/>
      <c r="Z221" s="101" t="s">
        <v>965</v>
      </c>
      <c r="AA221" s="101" t="s">
        <v>1000</v>
      </c>
      <c r="AB221" s="106"/>
      <c r="AC221" s="106">
        <f t="shared" si="0"/>
      </c>
      <c r="AD221" s="99"/>
      <c r="AE221" s="99"/>
      <c r="AF221" s="99"/>
      <c r="AG221" s="107"/>
      <c r="AH221" s="107"/>
      <c r="AI221" s="107"/>
      <c r="AJ221" s="107"/>
    </row>
    <row customHeight="true" ht="33" r="222">
      <c r="A222" s="100" t="s">
        <v>1666</v>
      </c>
      <c r="B222" s="101" t="s">
        <v>958</v>
      </c>
      <c r="C222" s="101" t="s">
        <v>1667</v>
      </c>
      <c r="D222" s="101" t="s">
        <v>1668</v>
      </c>
      <c r="E222" s="102" t="s">
        <v>1669</v>
      </c>
      <c r="F222" s="103">
        <v>46160.77731481481</v>
      </c>
      <c r="G222" s="101" t="s">
        <v>962</v>
      </c>
      <c r="H222" s="101">
        <v>1000</v>
      </c>
      <c r="I222" s="101">
        <v>1000</v>
      </c>
      <c r="J222" s="101">
        <v>1000</v>
      </c>
      <c r="K222" s="101" t="s">
        <v>963</v>
      </c>
      <c r="L222" s="101">
        <v>62296</v>
      </c>
      <c r="M222" s="104">
        <v>16.05</v>
      </c>
      <c r="N222" s="97"/>
      <c r="O222" s="97"/>
      <c r="P222" s="97"/>
      <c r="Q222" s="97"/>
      <c r="R222" s="105">
        <v>62296</v>
      </c>
      <c r="S222" s="101" t="s">
        <v>964</v>
      </c>
      <c r="T222" s="101">
        <v>1020</v>
      </c>
      <c r="U222" s="101">
        <v>17</v>
      </c>
      <c r="V222" s="101">
        <v>115</v>
      </c>
      <c r="W222" s="101">
        <v>113</v>
      </c>
      <c r="X222" s="101">
        <v>17</v>
      </c>
      <c r="Y222" s="99"/>
      <c r="Z222" s="101" t="s">
        <v>965</v>
      </c>
      <c r="AA222" s="101" t="s">
        <v>1000</v>
      </c>
      <c r="AB222" s="106"/>
      <c r="AC222" s="106">
        <f t="shared" si="0"/>
      </c>
      <c r="AD222" s="99"/>
      <c r="AE222" s="99"/>
      <c r="AF222" s="99"/>
      <c r="AG222" s="107"/>
      <c r="AH222" s="107"/>
      <c r="AI222" s="107"/>
      <c r="AJ222" s="107"/>
    </row>
    <row customHeight="true" ht="33" r="223">
      <c r="A223" s="100" t="s">
        <v>1670</v>
      </c>
      <c r="B223" s="101" t="s">
        <v>958</v>
      </c>
      <c r="C223" s="101" t="s">
        <v>1671</v>
      </c>
      <c r="D223" s="101" t="s">
        <v>1672</v>
      </c>
      <c r="E223" s="102" t="s">
        <v>1673</v>
      </c>
      <c r="F223" s="103">
        <v>46160.77663194444</v>
      </c>
      <c r="G223" s="101" t="s">
        <v>962</v>
      </c>
      <c r="H223" s="101">
        <v>1000</v>
      </c>
      <c r="I223" s="101">
        <v>1000</v>
      </c>
      <c r="J223" s="101">
        <v>1000</v>
      </c>
      <c r="K223" s="101" t="s">
        <v>963</v>
      </c>
      <c r="L223" s="101">
        <v>63681</v>
      </c>
      <c r="M223" s="104">
        <v>15.7</v>
      </c>
      <c r="N223" s="97"/>
      <c r="O223" s="97"/>
      <c r="P223" s="97"/>
      <c r="Q223" s="97"/>
      <c r="R223" s="105">
        <v>63681</v>
      </c>
      <c r="S223" s="101" t="s">
        <v>964</v>
      </c>
      <c r="T223" s="101">
        <v>736</v>
      </c>
      <c r="U223" s="101">
        <v>29</v>
      </c>
      <c r="V223" s="101">
        <v>132</v>
      </c>
      <c r="W223" s="101">
        <v>222</v>
      </c>
      <c r="X223" s="101">
        <v>8</v>
      </c>
      <c r="Y223" s="99"/>
      <c r="Z223" s="101" t="s">
        <v>965</v>
      </c>
      <c r="AA223" s="101" t="s">
        <v>1000</v>
      </c>
      <c r="AB223" s="106"/>
      <c r="AC223" s="106">
        <f t="shared" si="0"/>
      </c>
      <c r="AD223" s="99"/>
      <c r="AE223" s="99"/>
      <c r="AF223" s="99"/>
      <c r="AG223" s="107"/>
      <c r="AH223" s="107"/>
      <c r="AI223" s="107"/>
      <c r="AJ223" s="107"/>
    </row>
    <row customHeight="true" ht="33" r="224">
      <c r="A224" s="100" t="s">
        <v>1674</v>
      </c>
      <c r="B224" s="101" t="s">
        <v>958</v>
      </c>
      <c r="C224" s="101" t="s">
        <v>1675</v>
      </c>
      <c r="D224" s="101" t="s">
        <v>1676</v>
      </c>
      <c r="E224" s="102" t="s">
        <v>1677</v>
      </c>
      <c r="F224" s="103">
        <v>46160.775972222225</v>
      </c>
      <c r="G224" s="101" t="s">
        <v>962</v>
      </c>
      <c r="H224" s="101">
        <v>1000</v>
      </c>
      <c r="I224" s="101">
        <v>1000</v>
      </c>
      <c r="J224" s="101">
        <v>1000</v>
      </c>
      <c r="K224" s="101" t="s">
        <v>963</v>
      </c>
      <c r="L224" s="101">
        <v>63836</v>
      </c>
      <c r="M224" s="104">
        <v>15.67</v>
      </c>
      <c r="N224" s="97"/>
      <c r="O224" s="97"/>
      <c r="P224" s="97"/>
      <c r="Q224" s="97"/>
      <c r="R224" s="105">
        <v>63836</v>
      </c>
      <c r="S224" s="101" t="s">
        <v>964</v>
      </c>
      <c r="T224" s="101">
        <v>737</v>
      </c>
      <c r="U224" s="101">
        <v>14</v>
      </c>
      <c r="V224" s="101">
        <v>177</v>
      </c>
      <c r="W224" s="101">
        <v>78</v>
      </c>
      <c r="X224" s="101">
        <v>4</v>
      </c>
      <c r="Y224" s="99"/>
      <c r="Z224" s="101" t="s">
        <v>965</v>
      </c>
      <c r="AA224" s="101" t="s">
        <v>1000</v>
      </c>
      <c r="AB224" s="106"/>
      <c r="AC224" s="106">
        <f t="shared" si="0"/>
      </c>
      <c r="AD224" s="99"/>
      <c r="AE224" s="99"/>
      <c r="AF224" s="99"/>
      <c r="AG224" s="107"/>
      <c r="AH224" s="107"/>
      <c r="AI224" s="107"/>
      <c r="AJ224" s="107"/>
    </row>
    <row customHeight="true" ht="33" r="225">
      <c r="A225" s="100" t="s">
        <v>1678</v>
      </c>
      <c r="B225" s="101" t="s">
        <v>958</v>
      </c>
      <c r="C225" s="101" t="s">
        <v>1679</v>
      </c>
      <c r="D225" s="101" t="s">
        <v>1680</v>
      </c>
      <c r="E225" s="102" t="s">
        <v>1681</v>
      </c>
      <c r="F225" s="103">
        <v>46160.775046296294</v>
      </c>
      <c r="G225" s="101" t="s">
        <v>962</v>
      </c>
      <c r="H225" s="101">
        <v>1000</v>
      </c>
      <c r="I225" s="101">
        <v>1000</v>
      </c>
      <c r="J225" s="101">
        <v>1000</v>
      </c>
      <c r="K225" s="101" t="s">
        <v>963</v>
      </c>
      <c r="L225" s="101">
        <v>58241</v>
      </c>
      <c r="M225" s="104">
        <v>17.17</v>
      </c>
      <c r="N225" s="97"/>
      <c r="O225" s="97"/>
      <c r="P225" s="97"/>
      <c r="Q225" s="97"/>
      <c r="R225" s="105">
        <v>58241</v>
      </c>
      <c r="S225" s="101" t="s">
        <v>964</v>
      </c>
      <c r="T225" s="101">
        <v>4035</v>
      </c>
      <c r="U225" s="101">
        <v>161</v>
      </c>
      <c r="V225" s="101">
        <v>111</v>
      </c>
      <c r="W225" s="101">
        <v>740</v>
      </c>
      <c r="X225" s="101">
        <v>14</v>
      </c>
      <c r="Y225" s="99"/>
      <c r="Z225" s="101" t="s">
        <v>965</v>
      </c>
      <c r="AA225" s="101" t="s">
        <v>1000</v>
      </c>
      <c r="AB225" s="106"/>
      <c r="AC225" s="106">
        <f t="shared" si="0"/>
      </c>
      <c r="AD225" s="99"/>
      <c r="AE225" s="99"/>
      <c r="AF225" s="99"/>
      <c r="AG225" s="107"/>
      <c r="AH225" s="107"/>
      <c r="AI225" s="107"/>
      <c r="AJ225" s="107"/>
    </row>
    <row customHeight="true" ht="33" r="226">
      <c r="A226" s="100" t="s">
        <v>1682</v>
      </c>
      <c r="B226" s="101" t="s">
        <v>958</v>
      </c>
      <c r="C226" s="101" t="s">
        <v>1683</v>
      </c>
      <c r="D226" s="101" t="s">
        <v>1684</v>
      </c>
      <c r="E226" s="102" t="s">
        <v>1685</v>
      </c>
      <c r="F226" s="103">
        <v>46160.77390046296</v>
      </c>
      <c r="G226" s="101" t="s">
        <v>962</v>
      </c>
      <c r="H226" s="101">
        <v>1000</v>
      </c>
      <c r="I226" s="101">
        <v>1000</v>
      </c>
      <c r="J226" s="101">
        <v>1000</v>
      </c>
      <c r="K226" s="101" t="s">
        <v>963</v>
      </c>
      <c r="L226" s="101">
        <v>59578</v>
      </c>
      <c r="M226" s="104">
        <v>16.78</v>
      </c>
      <c r="N226" s="97"/>
      <c r="O226" s="97"/>
      <c r="P226" s="97"/>
      <c r="Q226" s="97"/>
      <c r="R226" s="105">
        <v>59578</v>
      </c>
      <c r="S226" s="101" t="s">
        <v>964</v>
      </c>
      <c r="T226" s="101">
        <v>570</v>
      </c>
      <c r="U226" s="101">
        <v>22</v>
      </c>
      <c r="V226" s="101">
        <v>53</v>
      </c>
      <c r="W226" s="101">
        <v>1574</v>
      </c>
      <c r="X226" s="101">
        <v>6</v>
      </c>
      <c r="Y226" s="99"/>
      <c r="Z226" s="101" t="s">
        <v>965</v>
      </c>
      <c r="AA226" s="101" t="s">
        <v>1000</v>
      </c>
      <c r="AB226" s="106"/>
      <c r="AC226" s="106">
        <f t="shared" si="0"/>
      </c>
      <c r="AD226" s="99"/>
      <c r="AE226" s="99"/>
      <c r="AF226" s="99"/>
      <c r="AG226" s="107"/>
      <c r="AH226" s="107"/>
      <c r="AI226" s="107"/>
      <c r="AJ226" s="107"/>
    </row>
    <row customHeight="true" ht="33" r="227">
      <c r="A227" s="100" t="s">
        <v>1686</v>
      </c>
      <c r="B227" s="101" t="s">
        <v>958</v>
      </c>
      <c r="C227" s="101" t="s">
        <v>1679</v>
      </c>
      <c r="D227" s="101" t="s">
        <v>1680</v>
      </c>
      <c r="E227" s="102" t="s">
        <v>1681</v>
      </c>
      <c r="F227" s="103">
        <v>46161.784317129626</v>
      </c>
      <c r="G227" s="101" t="s">
        <v>1094</v>
      </c>
      <c r="H227" s="101">
        <v>5000</v>
      </c>
      <c r="I227" s="101">
        <v>5000</v>
      </c>
      <c r="J227" s="101">
        <v>4999.9</v>
      </c>
      <c r="K227" s="101" t="s">
        <v>963</v>
      </c>
      <c r="L227" s="101">
        <v>287796</v>
      </c>
      <c r="M227" s="104">
        <v>17.37</v>
      </c>
      <c r="N227" s="97"/>
      <c r="O227" s="97"/>
      <c r="P227" s="97"/>
      <c r="Q227" s="97"/>
      <c r="R227" s="105">
        <v>287796</v>
      </c>
      <c r="S227" s="101" t="s">
        <v>964</v>
      </c>
      <c r="T227" s="101">
        <v>12307</v>
      </c>
      <c r="U227" s="101">
        <v>262</v>
      </c>
      <c r="V227" s="101">
        <v>669</v>
      </c>
      <c r="W227" s="101">
        <v>2739</v>
      </c>
      <c r="X227" s="101">
        <v>16</v>
      </c>
      <c r="Y227" s="99"/>
      <c r="Z227" s="101" t="s">
        <v>965</v>
      </c>
      <c r="AA227" s="101" t="s">
        <v>1000</v>
      </c>
      <c r="AB227" s="106"/>
      <c r="AC227" s="106">
        <f t="shared" si="0"/>
      </c>
      <c r="AD227" s="99"/>
      <c r="AE227" s="99"/>
      <c r="AF227" s="99"/>
      <c r="AG227" s="107"/>
      <c r="AH227" s="107"/>
      <c r="AI227" s="107"/>
      <c r="AJ227" s="107"/>
    </row>
    <row customHeight="true" ht="33" r="228">
      <c r="A228" s="100" t="s">
        <v>1687</v>
      </c>
      <c r="B228" s="101" t="s">
        <v>958</v>
      </c>
      <c r="C228" s="101" t="s">
        <v>1688</v>
      </c>
      <c r="D228" s="101" t="s">
        <v>1689</v>
      </c>
      <c r="E228" s="102" t="s">
        <v>1690</v>
      </c>
      <c r="F228" s="103">
        <v>46161.7834375</v>
      </c>
      <c r="G228" s="101" t="s">
        <v>962</v>
      </c>
      <c r="H228" s="101">
        <v>1000</v>
      </c>
      <c r="I228" s="101">
        <v>1000</v>
      </c>
      <c r="J228" s="101">
        <v>1000</v>
      </c>
      <c r="K228" s="101" t="s">
        <v>963</v>
      </c>
      <c r="L228" s="101">
        <v>42611</v>
      </c>
      <c r="M228" s="104">
        <v>23.47</v>
      </c>
      <c r="N228" s="97"/>
      <c r="O228" s="97"/>
      <c r="P228" s="97"/>
      <c r="Q228" s="97"/>
      <c r="R228" s="105">
        <v>42611</v>
      </c>
      <c r="S228" s="101" t="s">
        <v>964</v>
      </c>
      <c r="T228" s="101">
        <v>1410</v>
      </c>
      <c r="U228" s="101">
        <v>3</v>
      </c>
      <c r="V228" s="101">
        <v>40</v>
      </c>
      <c r="W228" s="101">
        <v>89</v>
      </c>
      <c r="X228" s="101">
        <v>7</v>
      </c>
      <c r="Y228" s="99"/>
      <c r="Z228" s="101" t="s">
        <v>965</v>
      </c>
      <c r="AA228" s="101" t="s">
        <v>1000</v>
      </c>
      <c r="AB228" s="106"/>
      <c r="AC228" s="106">
        <f t="shared" si="0"/>
      </c>
      <c r="AD228" s="99"/>
      <c r="AE228" s="99"/>
      <c r="AF228" s="99"/>
      <c r="AG228" s="107"/>
      <c r="AH228" s="107"/>
      <c r="AI228" s="107"/>
      <c r="AJ228" s="107"/>
    </row>
    <row customHeight="true" ht="33" r="229">
      <c r="A229" s="100" t="s">
        <v>1691</v>
      </c>
      <c r="B229" s="101" t="s">
        <v>958</v>
      </c>
      <c r="C229" s="101" t="s">
        <v>1292</v>
      </c>
      <c r="D229" s="101" t="s">
        <v>1692</v>
      </c>
      <c r="E229" s="102" t="s">
        <v>1693</v>
      </c>
      <c r="F229" s="103">
        <v>46161.78289351852</v>
      </c>
      <c r="G229" s="101" t="s">
        <v>962</v>
      </c>
      <c r="H229" s="101">
        <v>1000</v>
      </c>
      <c r="I229" s="101">
        <v>1000</v>
      </c>
      <c r="J229" s="101">
        <v>1000</v>
      </c>
      <c r="K229" s="101" t="s">
        <v>963</v>
      </c>
      <c r="L229" s="101">
        <v>59039</v>
      </c>
      <c r="M229" s="104">
        <v>16.94</v>
      </c>
      <c r="N229" s="97"/>
      <c r="O229" s="97"/>
      <c r="P229" s="97"/>
      <c r="Q229" s="97"/>
      <c r="R229" s="105">
        <v>59039</v>
      </c>
      <c r="S229" s="101" t="s">
        <v>964</v>
      </c>
      <c r="T229" s="101">
        <v>1164</v>
      </c>
      <c r="U229" s="101">
        <v>16</v>
      </c>
      <c r="V229" s="101">
        <v>17</v>
      </c>
      <c r="W229" s="101">
        <v>1091</v>
      </c>
      <c r="X229" s="101">
        <v>8</v>
      </c>
      <c r="Y229" s="99"/>
      <c r="Z229" s="101" t="s">
        <v>965</v>
      </c>
      <c r="AA229" s="101" t="s">
        <v>1000</v>
      </c>
      <c r="AB229" s="106"/>
      <c r="AC229" s="106">
        <f t="shared" si="0"/>
      </c>
      <c r="AD229" s="99"/>
      <c r="AE229" s="99"/>
      <c r="AF229" s="99"/>
      <c r="AG229" s="107"/>
      <c r="AH229" s="107"/>
      <c r="AI229" s="107"/>
      <c r="AJ229" s="107"/>
    </row>
    <row customHeight="true" ht="33" r="230">
      <c r="A230" s="100" t="s">
        <v>1694</v>
      </c>
      <c r="B230" s="101" t="s">
        <v>958</v>
      </c>
      <c r="C230" s="101" t="s">
        <v>1695</v>
      </c>
      <c r="D230" s="101" t="s">
        <v>1696</v>
      </c>
      <c r="E230" s="102" t="s">
        <v>1697</v>
      </c>
      <c r="F230" s="103">
        <v>46161.782222222224</v>
      </c>
      <c r="G230" s="101" t="s">
        <v>1094</v>
      </c>
      <c r="H230" s="101">
        <v>1000</v>
      </c>
      <c r="I230" s="101">
        <v>1000</v>
      </c>
      <c r="J230" s="101">
        <v>999.87</v>
      </c>
      <c r="K230" s="101" t="s">
        <v>963</v>
      </c>
      <c r="L230" s="101">
        <v>58745</v>
      </c>
      <c r="M230" s="104">
        <v>17.02</v>
      </c>
      <c r="N230" s="97"/>
      <c r="O230" s="97"/>
      <c r="P230" s="97"/>
      <c r="Q230" s="97"/>
      <c r="R230" s="105">
        <v>58745</v>
      </c>
      <c r="S230" s="101" t="s">
        <v>964</v>
      </c>
      <c r="T230" s="101">
        <v>112</v>
      </c>
      <c r="U230" s="101">
        <v>25</v>
      </c>
      <c r="V230" s="101">
        <v>1</v>
      </c>
      <c r="W230" s="101">
        <v>76</v>
      </c>
      <c r="X230" s="101">
        <v>5</v>
      </c>
      <c r="Y230" s="99"/>
      <c r="Z230" s="101" t="s">
        <v>965</v>
      </c>
      <c r="AA230" s="101" t="s">
        <v>1000</v>
      </c>
      <c r="AB230" s="106"/>
      <c r="AC230" s="106">
        <f t="shared" si="0"/>
      </c>
      <c r="AD230" s="99"/>
      <c r="AE230" s="99"/>
      <c r="AF230" s="99"/>
      <c r="AG230" s="107"/>
      <c r="AH230" s="107"/>
      <c r="AI230" s="107"/>
      <c r="AJ230" s="107"/>
    </row>
    <row customHeight="true" ht="33" r="231">
      <c r="A231" s="100" t="s">
        <v>1698</v>
      </c>
      <c r="B231" s="101" t="s">
        <v>958</v>
      </c>
      <c r="C231" s="101" t="s">
        <v>1699</v>
      </c>
      <c r="D231" s="101" t="s">
        <v>1700</v>
      </c>
      <c r="E231" s="102" t="s">
        <v>1701</v>
      </c>
      <c r="F231" s="103">
        <v>46161.78159722222</v>
      </c>
      <c r="G231" s="101" t="s">
        <v>962</v>
      </c>
      <c r="H231" s="101">
        <v>1000</v>
      </c>
      <c r="I231" s="101">
        <v>1000</v>
      </c>
      <c r="J231" s="101">
        <v>1000</v>
      </c>
      <c r="K231" s="101" t="s">
        <v>963</v>
      </c>
      <c r="L231" s="101">
        <v>51103</v>
      </c>
      <c r="M231" s="104">
        <v>19.57</v>
      </c>
      <c r="N231" s="97"/>
      <c r="O231" s="97"/>
      <c r="P231" s="97"/>
      <c r="Q231" s="97"/>
      <c r="R231" s="105">
        <v>51103</v>
      </c>
      <c r="S231" s="101" t="s">
        <v>964</v>
      </c>
      <c r="T231" s="101">
        <v>1563</v>
      </c>
      <c r="U231" s="101">
        <v>39</v>
      </c>
      <c r="V231" s="101">
        <v>107</v>
      </c>
      <c r="W231" s="101">
        <v>479</v>
      </c>
      <c r="X231" s="101">
        <v>11</v>
      </c>
      <c r="Y231" s="99"/>
      <c r="Z231" s="101" t="s">
        <v>965</v>
      </c>
      <c r="AA231" s="101" t="s">
        <v>1000</v>
      </c>
      <c r="AB231" s="106"/>
      <c r="AC231" s="106">
        <f t="shared" si="0"/>
      </c>
      <c r="AD231" s="99"/>
      <c r="AE231" s="99"/>
      <c r="AF231" s="99"/>
      <c r="AG231" s="107"/>
      <c r="AH231" s="107"/>
      <c r="AI231" s="107"/>
      <c r="AJ231" s="107"/>
    </row>
    <row customHeight="true" ht="33" r="232">
      <c r="A232" s="100" t="s">
        <v>1702</v>
      </c>
      <c r="B232" s="101" t="s">
        <v>958</v>
      </c>
      <c r="C232" s="101" t="s">
        <v>1703</v>
      </c>
      <c r="D232" s="101" t="s">
        <v>1704</v>
      </c>
      <c r="E232" s="102" t="s">
        <v>1705</v>
      </c>
      <c r="F232" s="103">
        <v>46161.78099537037</v>
      </c>
      <c r="G232" s="101" t="s">
        <v>1094</v>
      </c>
      <c r="H232" s="101">
        <v>1000</v>
      </c>
      <c r="I232" s="101">
        <v>1000</v>
      </c>
      <c r="J232" s="101">
        <v>999.95</v>
      </c>
      <c r="K232" s="101" t="s">
        <v>963</v>
      </c>
      <c r="L232" s="101">
        <v>52447</v>
      </c>
      <c r="M232" s="104">
        <v>19.07</v>
      </c>
      <c r="N232" s="97"/>
      <c r="O232" s="97"/>
      <c r="P232" s="97"/>
      <c r="Q232" s="97"/>
      <c r="R232" s="105">
        <v>52447</v>
      </c>
      <c r="S232" s="101" t="s">
        <v>964</v>
      </c>
      <c r="T232" s="101">
        <v>1189</v>
      </c>
      <c r="U232" s="101">
        <v>19</v>
      </c>
      <c r="V232" s="101">
        <v>20</v>
      </c>
      <c r="W232" s="101">
        <v>166</v>
      </c>
      <c r="X232" s="101">
        <v>6</v>
      </c>
      <c r="Y232" s="99"/>
      <c r="Z232" s="101" t="s">
        <v>965</v>
      </c>
      <c r="AA232" s="101" t="s">
        <v>1000</v>
      </c>
      <c r="AB232" s="106"/>
      <c r="AC232" s="106">
        <f t="shared" si="0"/>
      </c>
      <c r="AD232" s="99"/>
      <c r="AE232" s="99"/>
      <c r="AF232" s="99"/>
      <c r="AG232" s="107"/>
      <c r="AH232" s="107"/>
      <c r="AI232" s="107"/>
      <c r="AJ232" s="107"/>
    </row>
    <row customHeight="true" ht="33" r="233">
      <c r="A233" s="100" t="s">
        <v>1706</v>
      </c>
      <c r="B233" s="101" t="s">
        <v>958</v>
      </c>
      <c r="C233" s="101" t="s">
        <v>1707</v>
      </c>
      <c r="D233" s="101" t="s">
        <v>1708</v>
      </c>
      <c r="E233" s="102" t="s">
        <v>1709</v>
      </c>
      <c r="F233" s="103">
        <v>46164.74159722222</v>
      </c>
      <c r="G233" s="101" t="s">
        <v>1094</v>
      </c>
      <c r="H233" s="101">
        <v>1000</v>
      </c>
      <c r="I233" s="101">
        <v>1000</v>
      </c>
      <c r="J233" s="101">
        <v>999.79</v>
      </c>
      <c r="K233" s="101" t="s">
        <v>963</v>
      </c>
      <c r="L233" s="101">
        <v>53589</v>
      </c>
      <c r="M233" s="104">
        <v>18.66</v>
      </c>
      <c r="N233" s="97"/>
      <c r="O233" s="97"/>
      <c r="P233" s="97"/>
      <c r="Q233" s="97"/>
      <c r="R233" s="105">
        <v>53589</v>
      </c>
      <c r="S233" s="101" t="s">
        <v>964</v>
      </c>
      <c r="T233" s="101">
        <v>803</v>
      </c>
      <c r="U233" s="101">
        <v>53</v>
      </c>
      <c r="V233" s="101">
        <v>21</v>
      </c>
      <c r="W233" s="101">
        <v>651</v>
      </c>
      <c r="X233" s="101">
        <v>10</v>
      </c>
      <c r="Y233" s="99"/>
      <c r="Z233" s="101" t="s">
        <v>965</v>
      </c>
      <c r="AA233" s="101" t="s">
        <v>1000</v>
      </c>
      <c r="AB233" s="106"/>
      <c r="AC233" s="106">
        <f t="shared" si="0"/>
      </c>
      <c r="AD233" s="99"/>
      <c r="AE233" s="99"/>
      <c r="AF233" s="99"/>
      <c r="AG233" s="107"/>
      <c r="AH233" s="107"/>
      <c r="AI233" s="107"/>
      <c r="AJ233" s="107"/>
    </row>
    <row customHeight="true" ht="33" r="234">
      <c r="A234" s="100" t="s">
        <v>1710</v>
      </c>
      <c r="B234" s="101" t="s">
        <v>958</v>
      </c>
      <c r="C234" s="101" t="s">
        <v>1711</v>
      </c>
      <c r="D234" s="101" t="s">
        <v>1712</v>
      </c>
      <c r="E234" s="102" t="s">
        <v>1713</v>
      </c>
      <c r="F234" s="103">
        <v>46164.7409837963</v>
      </c>
      <c r="G234" s="101" t="s">
        <v>962</v>
      </c>
      <c r="H234" s="101">
        <v>1000</v>
      </c>
      <c r="I234" s="101">
        <v>1000</v>
      </c>
      <c r="J234" s="101">
        <v>1000</v>
      </c>
      <c r="K234" s="101" t="s">
        <v>963</v>
      </c>
      <c r="L234" s="101">
        <v>63419</v>
      </c>
      <c r="M234" s="104">
        <v>15.77</v>
      </c>
      <c r="N234" s="97"/>
      <c r="O234" s="97"/>
      <c r="P234" s="97"/>
      <c r="Q234" s="97"/>
      <c r="R234" s="105">
        <v>63419</v>
      </c>
      <c r="S234" s="101" t="s">
        <v>964</v>
      </c>
      <c r="T234" s="101">
        <v>574</v>
      </c>
      <c r="U234" s="101">
        <v>3</v>
      </c>
      <c r="V234" s="101">
        <v>19</v>
      </c>
      <c r="W234" s="101">
        <v>126</v>
      </c>
      <c r="X234" s="101">
        <v>4</v>
      </c>
      <c r="Y234" s="99"/>
      <c r="Z234" s="101" t="s">
        <v>965</v>
      </c>
      <c r="AA234" s="101" t="s">
        <v>1000</v>
      </c>
      <c r="AB234" s="106"/>
      <c r="AC234" s="106">
        <f t="shared" si="0"/>
      </c>
      <c r="AD234" s="99"/>
      <c r="AE234" s="99"/>
      <c r="AF234" s="99"/>
      <c r="AG234" s="107"/>
      <c r="AH234" s="107"/>
      <c r="AI234" s="107"/>
      <c r="AJ234" s="107"/>
    </row>
    <row customHeight="true" ht="33" r="235">
      <c r="A235" s="100" t="s">
        <v>1714</v>
      </c>
      <c r="B235" s="101" t="s">
        <v>958</v>
      </c>
      <c r="C235" s="101" t="s">
        <v>1715</v>
      </c>
      <c r="D235" s="101" t="s">
        <v>1716</v>
      </c>
      <c r="E235" s="102" t="s">
        <v>1717</v>
      </c>
      <c r="F235" s="103">
        <v>46164.74045138889</v>
      </c>
      <c r="G235" s="101" t="s">
        <v>962</v>
      </c>
      <c r="H235" s="101">
        <v>1000</v>
      </c>
      <c r="I235" s="101">
        <v>1000</v>
      </c>
      <c r="J235" s="101">
        <v>1000</v>
      </c>
      <c r="K235" s="101" t="s">
        <v>963</v>
      </c>
      <c r="L235" s="101">
        <v>66620</v>
      </c>
      <c r="M235" s="104">
        <v>15.01</v>
      </c>
      <c r="N235" s="97"/>
      <c r="O235" s="97"/>
      <c r="P235" s="97"/>
      <c r="Q235" s="97"/>
      <c r="R235" s="105">
        <v>66620</v>
      </c>
      <c r="S235" s="101" t="s">
        <v>964</v>
      </c>
      <c r="T235" s="101">
        <v>13580</v>
      </c>
      <c r="U235" s="101">
        <v>150</v>
      </c>
      <c r="V235" s="101">
        <v>773</v>
      </c>
      <c r="W235" s="101">
        <v>1027</v>
      </c>
      <c r="X235" s="101">
        <v>60</v>
      </c>
      <c r="Y235" s="99"/>
      <c r="Z235" s="101" t="s">
        <v>965</v>
      </c>
      <c r="AA235" s="101" t="s">
        <v>1000</v>
      </c>
      <c r="AB235" s="106"/>
      <c r="AC235" s="106">
        <f t="shared" si="0"/>
      </c>
      <c r="AD235" s="99"/>
      <c r="AE235" s="99"/>
      <c r="AF235" s="99"/>
      <c r="AG235" s="107"/>
      <c r="AH235" s="107"/>
      <c r="AI235" s="107"/>
      <c r="AJ235" s="107"/>
    </row>
    <row customHeight="true" ht="33" r="236">
      <c r="A236" s="100" t="s">
        <v>1718</v>
      </c>
      <c r="B236" s="101" t="s">
        <v>958</v>
      </c>
      <c r="C236" s="101" t="s">
        <v>1719</v>
      </c>
      <c r="D236" s="101" t="s">
        <v>1720</v>
      </c>
      <c r="E236" s="102" t="s">
        <v>1721</v>
      </c>
      <c r="F236" s="103">
        <v>46164.73991898148</v>
      </c>
      <c r="G236" s="101" t="s">
        <v>962</v>
      </c>
      <c r="H236" s="101">
        <v>1000</v>
      </c>
      <c r="I236" s="101">
        <v>1000</v>
      </c>
      <c r="J236" s="101">
        <v>1000</v>
      </c>
      <c r="K236" s="101" t="s">
        <v>963</v>
      </c>
      <c r="L236" s="101">
        <v>63931</v>
      </c>
      <c r="M236" s="104">
        <v>15.64</v>
      </c>
      <c r="N236" s="97"/>
      <c r="O236" s="97"/>
      <c r="P236" s="97"/>
      <c r="Q236" s="97"/>
      <c r="R236" s="105">
        <v>63931</v>
      </c>
      <c r="S236" s="101" t="s">
        <v>964</v>
      </c>
      <c r="T236" s="101">
        <v>169</v>
      </c>
      <c r="U236" s="101">
        <v>5</v>
      </c>
      <c r="V236" s="101">
        <v>28</v>
      </c>
      <c r="W236" s="101">
        <v>204</v>
      </c>
      <c r="X236" s="101">
        <v>2</v>
      </c>
      <c r="Y236" s="99"/>
      <c r="Z236" s="101" t="s">
        <v>965</v>
      </c>
      <c r="AA236" s="101" t="s">
        <v>1000</v>
      </c>
      <c r="AB236" s="106"/>
      <c r="AC236" s="106">
        <f t="shared" si="0"/>
      </c>
      <c r="AD236" s="99"/>
      <c r="AE236" s="99"/>
      <c r="AF236" s="99"/>
      <c r="AG236" s="107"/>
      <c r="AH236" s="107"/>
      <c r="AI236" s="107"/>
      <c r="AJ236" s="107"/>
    </row>
    <row customHeight="true" ht="33" r="237">
      <c r="A237" s="100" t="s">
        <v>1722</v>
      </c>
      <c r="B237" s="101" t="s">
        <v>958</v>
      </c>
      <c r="C237" s="101" t="s">
        <v>1723</v>
      </c>
      <c r="D237" s="101" t="s">
        <v>1724</v>
      </c>
      <c r="E237" s="102" t="s">
        <v>1725</v>
      </c>
      <c r="F237" s="103">
        <v>46164.73924768518</v>
      </c>
      <c r="G237" s="101" t="s">
        <v>962</v>
      </c>
      <c r="H237" s="101">
        <v>1000</v>
      </c>
      <c r="I237" s="101">
        <v>1000</v>
      </c>
      <c r="J237" s="101">
        <v>1000</v>
      </c>
      <c r="K237" s="101" t="s">
        <v>963</v>
      </c>
      <c r="L237" s="101">
        <v>59717</v>
      </c>
      <c r="M237" s="104">
        <v>16.75</v>
      </c>
      <c r="N237" s="97"/>
      <c r="O237" s="97"/>
      <c r="P237" s="97"/>
      <c r="Q237" s="97"/>
      <c r="R237" s="105">
        <v>59717</v>
      </c>
      <c r="S237" s="101" t="s">
        <v>964</v>
      </c>
      <c r="T237" s="101">
        <v>674</v>
      </c>
      <c r="U237" s="101">
        <v>18</v>
      </c>
      <c r="V237" s="101">
        <v>22</v>
      </c>
      <c r="W237" s="101">
        <v>2079</v>
      </c>
      <c r="X237" s="101">
        <v>10</v>
      </c>
      <c r="Y237" s="99"/>
      <c r="Z237" s="101" t="s">
        <v>965</v>
      </c>
      <c r="AA237" s="101" t="s">
        <v>1000</v>
      </c>
      <c r="AB237" s="106"/>
      <c r="AC237" s="106">
        <f t="shared" si="0"/>
      </c>
      <c r="AD237" s="99"/>
      <c r="AE237" s="99"/>
      <c r="AF237" s="99"/>
      <c r="AG237" s="107"/>
      <c r="AH237" s="107"/>
      <c r="AI237" s="107"/>
      <c r="AJ237" s="107"/>
    </row>
    <row customHeight="true" ht="33" r="238">
      <c r="A238" s="100" t="s">
        <v>1726</v>
      </c>
      <c r="B238" s="101" t="s">
        <v>958</v>
      </c>
      <c r="C238" s="101" t="s">
        <v>1727</v>
      </c>
      <c r="D238" s="101" t="s">
        <v>1728</v>
      </c>
      <c r="E238" s="102" t="s">
        <v>1729</v>
      </c>
      <c r="F238" s="103">
        <v>46164.738599537035</v>
      </c>
      <c r="G238" s="101" t="s">
        <v>1094</v>
      </c>
      <c r="H238" s="101">
        <v>1000</v>
      </c>
      <c r="I238" s="101">
        <v>1000</v>
      </c>
      <c r="J238" s="101">
        <v>999.9</v>
      </c>
      <c r="K238" s="101" t="s">
        <v>963</v>
      </c>
      <c r="L238" s="101">
        <v>54908</v>
      </c>
      <c r="M238" s="104">
        <v>18.21</v>
      </c>
      <c r="N238" s="97"/>
      <c r="O238" s="97"/>
      <c r="P238" s="97"/>
      <c r="Q238" s="97"/>
      <c r="R238" s="105">
        <v>54908</v>
      </c>
      <c r="S238" s="101" t="s">
        <v>964</v>
      </c>
      <c r="T238" s="101">
        <v>358</v>
      </c>
      <c r="U238" s="101">
        <v>16</v>
      </c>
      <c r="V238" s="101">
        <v>1</v>
      </c>
      <c r="W238" s="101">
        <v>435</v>
      </c>
      <c r="X238" s="101">
        <v>4</v>
      </c>
      <c r="Y238" s="99"/>
      <c r="Z238" s="101" t="s">
        <v>965</v>
      </c>
      <c r="AA238" s="101" t="s">
        <v>1000</v>
      </c>
      <c r="AB238" s="106"/>
      <c r="AC238" s="106">
        <f t="shared" si="0"/>
      </c>
      <c r="AD238" s="99"/>
      <c r="AE238" s="99"/>
      <c r="AF238" s="99"/>
      <c r="AG238" s="107"/>
      <c r="AH238" s="107"/>
      <c r="AI238" s="107"/>
      <c r="AJ238" s="107"/>
    </row>
    <row customHeight="true" ht="33" r="239">
      <c r="A239" s="100" t="s">
        <v>1730</v>
      </c>
      <c r="B239" s="101" t="s">
        <v>958</v>
      </c>
      <c r="C239" s="101" t="s">
        <v>1292</v>
      </c>
      <c r="D239" s="101" t="s">
        <v>1731</v>
      </c>
      <c r="E239" s="102" t="s">
        <v>1732</v>
      </c>
      <c r="F239" s="103">
        <v>46164.737916666665</v>
      </c>
      <c r="G239" s="101" t="s">
        <v>1094</v>
      </c>
      <c r="H239" s="101">
        <v>1000</v>
      </c>
      <c r="I239" s="101">
        <v>1000</v>
      </c>
      <c r="J239" s="101">
        <v>999.97</v>
      </c>
      <c r="K239" s="101" t="s">
        <v>963</v>
      </c>
      <c r="L239" s="101">
        <v>58542</v>
      </c>
      <c r="M239" s="104">
        <v>17.08</v>
      </c>
      <c r="N239" s="97"/>
      <c r="O239" s="97"/>
      <c r="P239" s="97"/>
      <c r="Q239" s="97"/>
      <c r="R239" s="105">
        <v>58542</v>
      </c>
      <c r="S239" s="101" t="s">
        <v>964</v>
      </c>
      <c r="T239" s="101">
        <v>108</v>
      </c>
      <c r="U239" s="101">
        <v>3</v>
      </c>
      <c r="V239" s="101">
        <v>2</v>
      </c>
      <c r="W239" s="101">
        <v>1176</v>
      </c>
      <c r="X239" s="101">
        <v>2</v>
      </c>
      <c r="Y239" s="99"/>
      <c r="Z239" s="101" t="s">
        <v>965</v>
      </c>
      <c r="AA239" s="101" t="s">
        <v>1000</v>
      </c>
      <c r="AB239" s="106"/>
      <c r="AC239" s="106">
        <f t="shared" si="0"/>
      </c>
      <c r="AD239" s="99"/>
      <c r="AE239" s="99"/>
      <c r="AF239" s="99"/>
      <c r="AG239" s="107"/>
      <c r="AH239" s="107"/>
      <c r="AI239" s="107"/>
      <c r="AJ239" s="107"/>
    </row>
    <row customHeight="true" ht="33" r="240">
      <c r="A240" s="100" t="s">
        <v>1733</v>
      </c>
      <c r="B240" s="101" t="s">
        <v>958</v>
      </c>
      <c r="C240" s="101" t="s">
        <v>1734</v>
      </c>
      <c r="D240" s="101" t="s">
        <v>1735</v>
      </c>
      <c r="E240" s="102" t="s">
        <v>1736</v>
      </c>
      <c r="F240" s="103">
        <v>46167.7659375</v>
      </c>
      <c r="G240" s="101" t="s">
        <v>1094</v>
      </c>
      <c r="H240" s="101">
        <v>1000</v>
      </c>
      <c r="I240" s="101">
        <v>1000</v>
      </c>
      <c r="J240" s="101">
        <v>999.97</v>
      </c>
      <c r="K240" s="101" t="s">
        <v>963</v>
      </c>
      <c r="L240" s="101">
        <v>58278</v>
      </c>
      <c r="M240" s="104">
        <v>17.16</v>
      </c>
      <c r="N240" s="97"/>
      <c r="O240" s="97"/>
      <c r="P240" s="97"/>
      <c r="Q240" s="97"/>
      <c r="R240" s="105">
        <v>58278</v>
      </c>
      <c r="S240" s="101" t="s">
        <v>964</v>
      </c>
      <c r="T240" s="101">
        <v>237</v>
      </c>
      <c r="U240" s="101">
        <v>209</v>
      </c>
      <c r="V240" s="101">
        <v>10</v>
      </c>
      <c r="W240" s="101">
        <v>358</v>
      </c>
      <c r="X240" s="101">
        <v>7</v>
      </c>
      <c r="Y240" s="99"/>
      <c r="Z240" s="101" t="s">
        <v>965</v>
      </c>
      <c r="AA240" s="101" t="s">
        <v>1000</v>
      </c>
      <c r="AB240" s="106"/>
      <c r="AC240" s="106">
        <f t="shared" si="0"/>
      </c>
      <c r="AD240" s="99"/>
      <c r="AE240" s="99"/>
      <c r="AF240" s="99"/>
      <c r="AG240" s="107"/>
      <c r="AH240" s="107"/>
      <c r="AI240" s="107"/>
      <c r="AJ240" s="107"/>
    </row>
    <row customHeight="true" ht="33" r="241">
      <c r="A241" s="100" t="s">
        <v>1737</v>
      </c>
      <c r="B241" s="101" t="s">
        <v>958</v>
      </c>
      <c r="C241" s="101" t="s">
        <v>1738</v>
      </c>
      <c r="D241" s="101" t="s">
        <v>1739</v>
      </c>
      <c r="E241" s="102" t="s">
        <v>1740</v>
      </c>
      <c r="F241" s="103">
        <v>46167.764872685184</v>
      </c>
      <c r="G241" s="101" t="s">
        <v>1094</v>
      </c>
      <c r="H241" s="101">
        <v>1000</v>
      </c>
      <c r="I241" s="101">
        <v>1000</v>
      </c>
      <c r="J241" s="101">
        <v>999.51</v>
      </c>
      <c r="K241" s="101" t="s">
        <v>963</v>
      </c>
      <c r="L241" s="101">
        <v>68379</v>
      </c>
      <c r="M241" s="104">
        <v>14.62</v>
      </c>
      <c r="N241" s="97"/>
      <c r="O241" s="97"/>
      <c r="P241" s="97"/>
      <c r="Q241" s="97"/>
      <c r="R241" s="105">
        <v>68379</v>
      </c>
      <c r="S241" s="101" t="s">
        <v>964</v>
      </c>
      <c r="T241" s="101">
        <v>224</v>
      </c>
      <c r="U241" s="101">
        <v>4</v>
      </c>
      <c r="V241" s="101">
        <v>203</v>
      </c>
      <c r="W241" s="101">
        <v>105</v>
      </c>
      <c r="X241" s="101">
        <v>4</v>
      </c>
      <c r="Y241" s="99"/>
      <c r="Z241" s="101" t="s">
        <v>965</v>
      </c>
      <c r="AA241" s="101" t="s">
        <v>1000</v>
      </c>
      <c r="AB241" s="106"/>
      <c r="AC241" s="106">
        <f t="shared" si="0"/>
      </c>
      <c r="AD241" s="99"/>
      <c r="AE241" s="99"/>
      <c r="AF241" s="99"/>
      <c r="AG241" s="107"/>
      <c r="AH241" s="107"/>
      <c r="AI241" s="107"/>
      <c r="AJ241" s="107"/>
    </row>
    <row customHeight="true" ht="33" r="242">
      <c r="A242" s="100" t="s">
        <v>1741</v>
      </c>
      <c r="B242" s="101" t="s">
        <v>958</v>
      </c>
      <c r="C242" s="101" t="s">
        <v>1715</v>
      </c>
      <c r="D242" s="101" t="s">
        <v>1716</v>
      </c>
      <c r="E242" s="102" t="s">
        <v>1717</v>
      </c>
      <c r="F242" s="103">
        <v>46167.82069444445</v>
      </c>
      <c r="G242" s="101" t="s">
        <v>962</v>
      </c>
      <c r="H242" s="101">
        <v>30000</v>
      </c>
      <c r="I242" s="101">
        <v>30000</v>
      </c>
      <c r="J242" s="101">
        <v>30000</v>
      </c>
      <c r="K242" s="101" t="s">
        <v>963</v>
      </c>
      <c r="L242" s="101">
        <v>1678709</v>
      </c>
      <c r="M242" s="104">
        <v>17.87</v>
      </c>
      <c r="N242" s="97"/>
      <c r="O242" s="97"/>
      <c r="P242" s="97"/>
      <c r="Q242" s="97"/>
      <c r="R242" s="105">
        <v>1678709</v>
      </c>
      <c r="S242" s="101" t="s">
        <v>964</v>
      </c>
      <c r="T242" s="101">
        <v>42354</v>
      </c>
      <c r="U242" s="101">
        <v>473</v>
      </c>
      <c r="V242" s="101">
        <v>6160</v>
      </c>
      <c r="W242" s="101">
        <v>10182</v>
      </c>
      <c r="X242" s="101">
        <v>287</v>
      </c>
      <c r="Y242" s="99"/>
      <c r="Z242" s="101" t="s">
        <v>965</v>
      </c>
      <c r="AA242" s="101" t="s">
        <v>1000</v>
      </c>
      <c r="AB242" s="106"/>
      <c r="AC242" s="106">
        <f t="shared" si="0"/>
      </c>
      <c r="AD242" s="99"/>
      <c r="AE242" s="99"/>
      <c r="AF242" s="99"/>
      <c r="AG242" s="107"/>
      <c r="AH242" s="107"/>
      <c r="AI242" s="107"/>
      <c r="AJ242" s="107"/>
    </row>
    <row customHeight="true" ht="33" r="243">
      <c r="A243" s="100" t="s">
        <v>1742</v>
      </c>
      <c r="B243" s="101" t="s">
        <v>958</v>
      </c>
      <c r="C243" s="101" t="s">
        <v>1743</v>
      </c>
      <c r="D243" s="101" t="s">
        <v>1744</v>
      </c>
      <c r="E243" s="102" t="s">
        <v>1745</v>
      </c>
      <c r="F243" s="103">
        <v>46168.78184027778</v>
      </c>
      <c r="G243" s="101" t="s">
        <v>962</v>
      </c>
      <c r="H243" s="101">
        <v>1000</v>
      </c>
      <c r="I243" s="101">
        <v>1000</v>
      </c>
      <c r="J243" s="101">
        <v>1000</v>
      </c>
      <c r="K243" s="101" t="s">
        <v>963</v>
      </c>
      <c r="L243" s="101">
        <v>60337</v>
      </c>
      <c r="M243" s="104">
        <v>16.57</v>
      </c>
      <c r="N243" s="97"/>
      <c r="O243" s="97"/>
      <c r="P243" s="97"/>
      <c r="Q243" s="97"/>
      <c r="R243" s="105">
        <v>60337</v>
      </c>
      <c r="S243" s="101" t="s">
        <v>964</v>
      </c>
      <c r="T243" s="101">
        <v>195</v>
      </c>
      <c r="U243" s="101">
        <v>51</v>
      </c>
      <c r="V243" s="101">
        <v>4</v>
      </c>
      <c r="W243" s="101">
        <v>990</v>
      </c>
      <c r="X243" s="101">
        <v>7</v>
      </c>
      <c r="Y243" s="99"/>
      <c r="Z243" s="101" t="s">
        <v>965</v>
      </c>
      <c r="AA243" s="101" t="s">
        <v>1000</v>
      </c>
      <c r="AB243" s="106"/>
      <c r="AC243" s="106">
        <f t="shared" si="0"/>
      </c>
      <c r="AD243" s="99"/>
      <c r="AE243" s="99"/>
      <c r="AF243" s="99"/>
      <c r="AG243" s="107"/>
      <c r="AH243" s="107"/>
      <c r="AI243" s="107"/>
      <c r="AJ243" s="107"/>
    </row>
    <row customHeight="true" ht="33" r="244">
      <c r="A244" s="100" t="s">
        <v>1746</v>
      </c>
      <c r="B244" s="101" t="s">
        <v>958</v>
      </c>
      <c r="C244" s="101" t="s">
        <v>1747</v>
      </c>
      <c r="D244" s="101" t="s">
        <v>1748</v>
      </c>
      <c r="E244" s="102" t="s">
        <v>1749</v>
      </c>
      <c r="F244" s="103">
        <v>46171.757048611114</v>
      </c>
      <c r="G244" s="101" t="s">
        <v>962</v>
      </c>
      <c r="H244" s="101">
        <v>1000</v>
      </c>
      <c r="I244" s="101">
        <v>1000</v>
      </c>
      <c r="J244" s="101">
        <v>1000</v>
      </c>
      <c r="K244" s="101" t="s">
        <v>963</v>
      </c>
      <c r="L244" s="101">
        <v>57375</v>
      </c>
      <c r="M244" s="104">
        <v>17.43</v>
      </c>
      <c r="N244" s="97"/>
      <c r="O244" s="97"/>
      <c r="P244" s="97"/>
      <c r="Q244" s="97"/>
      <c r="R244" s="105">
        <v>57375</v>
      </c>
      <c r="S244" s="101" t="s">
        <v>964</v>
      </c>
      <c r="T244" s="101">
        <v>1940</v>
      </c>
      <c r="U244" s="101">
        <v>9</v>
      </c>
      <c r="V244" s="101">
        <v>114</v>
      </c>
      <c r="W244" s="101">
        <v>160</v>
      </c>
      <c r="X244" s="101">
        <v>7</v>
      </c>
      <c r="Y244" s="99"/>
      <c r="Z244" s="101" t="s">
        <v>965</v>
      </c>
      <c r="AA244" s="101" t="s">
        <v>1000</v>
      </c>
      <c r="AB244" s="106"/>
      <c r="AC244" s="106">
        <f t="shared" si="0"/>
      </c>
      <c r="AD244" s="99"/>
      <c r="AE244" s="99"/>
      <c r="AF244" s="99"/>
      <c r="AG244" s="107"/>
      <c r="AH244" s="107"/>
      <c r="AI244" s="107"/>
      <c r="AJ244" s="107"/>
    </row>
    <row customHeight="true" ht="33" r="245">
      <c r="A245" s="100" t="s">
        <v>1750</v>
      </c>
      <c r="B245" s="101" t="s">
        <v>958</v>
      </c>
      <c r="C245" s="101" t="s">
        <v>1751</v>
      </c>
      <c r="D245" s="101" t="s">
        <v>1752</v>
      </c>
      <c r="E245" s="102" t="s">
        <v>1753</v>
      </c>
      <c r="F245" s="103">
        <v>46171.75623842593</v>
      </c>
      <c r="G245" s="101" t="s">
        <v>962</v>
      </c>
      <c r="H245" s="101">
        <v>1000</v>
      </c>
      <c r="I245" s="101">
        <v>1000</v>
      </c>
      <c r="J245" s="101">
        <v>1000</v>
      </c>
      <c r="K245" s="101" t="s">
        <v>963</v>
      </c>
      <c r="L245" s="101">
        <v>63775</v>
      </c>
      <c r="M245" s="104">
        <v>15.68</v>
      </c>
      <c r="N245" s="97"/>
      <c r="O245" s="97"/>
      <c r="P245" s="97"/>
      <c r="Q245" s="97"/>
      <c r="R245" s="105">
        <v>63775</v>
      </c>
      <c r="S245" s="101" t="s">
        <v>964</v>
      </c>
      <c r="T245" s="101">
        <v>1470</v>
      </c>
      <c r="U245" s="101">
        <v>18</v>
      </c>
      <c r="V245" s="101">
        <v>26</v>
      </c>
      <c r="W245" s="101">
        <v>782</v>
      </c>
      <c r="X245" s="101">
        <v>8</v>
      </c>
      <c r="Y245" s="99"/>
      <c r="Z245" s="101" t="s">
        <v>965</v>
      </c>
      <c r="AA245" s="101" t="s">
        <v>1000</v>
      </c>
      <c r="AB245" s="106"/>
      <c r="AC245" s="106">
        <f t="shared" si="0"/>
      </c>
      <c r="AD245" s="99"/>
      <c r="AE245" s="99"/>
      <c r="AF245" s="99"/>
      <c r="AG245" s="107"/>
      <c r="AH245" s="107"/>
      <c r="AI245" s="107"/>
      <c r="AJ245" s="107"/>
    </row>
    <row customHeight="true" ht="33" r="246">
      <c r="A246" s="100" t="s">
        <v>1754</v>
      </c>
      <c r="B246" s="101" t="s">
        <v>958</v>
      </c>
      <c r="C246" s="101" t="s">
        <v>1755</v>
      </c>
      <c r="D246" s="101" t="s">
        <v>1756</v>
      </c>
      <c r="E246" s="102" t="s">
        <v>1757</v>
      </c>
      <c r="F246" s="103">
        <v>46174.75444444444</v>
      </c>
      <c r="G246" s="101" t="s">
        <v>962</v>
      </c>
      <c r="H246" s="101">
        <v>200</v>
      </c>
      <c r="I246" s="101">
        <v>200</v>
      </c>
      <c r="J246" s="101">
        <v>200</v>
      </c>
      <c r="K246" s="101" t="s">
        <v>963</v>
      </c>
      <c r="L246" s="101">
        <v>22688</v>
      </c>
      <c r="M246" s="104">
        <v>8.82</v>
      </c>
      <c r="N246" s="97"/>
      <c r="O246" s="97"/>
      <c r="P246" s="97"/>
      <c r="Q246" s="97"/>
      <c r="R246" s="105">
        <v>22688</v>
      </c>
      <c r="S246" s="101" t="s">
        <v>964</v>
      </c>
      <c r="T246" s="101">
        <v>433</v>
      </c>
      <c r="U246" s="101">
        <v>37</v>
      </c>
      <c r="V246" s="101">
        <v>92</v>
      </c>
      <c r="W246" s="101">
        <v>46</v>
      </c>
      <c r="X246" s="101">
        <v>2</v>
      </c>
      <c r="Y246" s="99"/>
      <c r="Z246" s="101" t="s">
        <v>965</v>
      </c>
      <c r="AA246" s="101" t="s">
        <v>1000</v>
      </c>
      <c r="AB246" s="106"/>
      <c r="AC246" s="106">
        <f t="shared" si="0"/>
      </c>
      <c r="AD246" s="99"/>
      <c r="AE246" s="99"/>
      <c r="AF246" s="99"/>
      <c r="AG246" s="107"/>
      <c r="AH246" s="107"/>
      <c r="AI246" s="107"/>
      <c r="AJ246" s="107"/>
    </row>
    <row customHeight="true" ht="33" r="247">
      <c r="A247" s="100" t="s">
        <v>1758</v>
      </c>
      <c r="B247" s="101" t="s">
        <v>958</v>
      </c>
      <c r="C247" s="101" t="s">
        <v>1759</v>
      </c>
      <c r="D247" s="101" t="s">
        <v>1760</v>
      </c>
      <c r="E247" s="102" t="s">
        <v>1761</v>
      </c>
      <c r="F247" s="103">
        <v>46174.75377314815</v>
      </c>
      <c r="G247" s="101" t="s">
        <v>962</v>
      </c>
      <c r="H247" s="101">
        <v>200</v>
      </c>
      <c r="I247" s="101">
        <v>200</v>
      </c>
      <c r="J247" s="101">
        <v>200</v>
      </c>
      <c r="K247" s="101" t="s">
        <v>963</v>
      </c>
      <c r="L247" s="101">
        <v>44831</v>
      </c>
      <c r="M247" s="104">
        <v>4.46</v>
      </c>
      <c r="N247" s="97"/>
      <c r="O247" s="97"/>
      <c r="P247" s="97"/>
      <c r="Q247" s="97"/>
      <c r="R247" s="105">
        <v>44831</v>
      </c>
      <c r="S247" s="101" t="s">
        <v>964</v>
      </c>
      <c r="T247" s="101">
        <v>2756</v>
      </c>
      <c r="U247" s="101">
        <v>334</v>
      </c>
      <c r="V247" s="101">
        <v>4870</v>
      </c>
      <c r="W247" s="101">
        <v>2062</v>
      </c>
      <c r="X247" s="101">
        <v>9</v>
      </c>
      <c r="Y247" s="99"/>
      <c r="Z247" s="101" t="s">
        <v>965</v>
      </c>
      <c r="AA247" s="101" t="s">
        <v>1000</v>
      </c>
      <c r="AB247" s="106"/>
      <c r="AC247" s="106">
        <f t="shared" si="0"/>
      </c>
      <c r="AD247" s="99"/>
      <c r="AE247" s="99"/>
      <c r="AF247" s="99"/>
      <c r="AG247" s="107"/>
      <c r="AH247" s="107"/>
      <c r="AI247" s="107"/>
      <c r="AJ247" s="107"/>
    </row>
    <row customHeight="true" ht="33" r="248">
      <c r="A248" s="100" t="s">
        <v>1762</v>
      </c>
      <c r="B248" s="101" t="s">
        <v>958</v>
      </c>
      <c r="C248" s="101" t="s">
        <v>1763</v>
      </c>
      <c r="D248" s="101" t="s">
        <v>1764</v>
      </c>
      <c r="E248" s="102" t="s">
        <v>1765</v>
      </c>
      <c r="F248" s="103">
        <v>46174.752488425926</v>
      </c>
      <c r="G248" s="101" t="s">
        <v>962</v>
      </c>
      <c r="H248" s="101">
        <v>200</v>
      </c>
      <c r="I248" s="101">
        <v>200</v>
      </c>
      <c r="J248" s="101">
        <v>200</v>
      </c>
      <c r="K248" s="101" t="s">
        <v>963</v>
      </c>
      <c r="L248" s="101">
        <v>14201</v>
      </c>
      <c r="M248" s="104">
        <v>14.08</v>
      </c>
      <c r="N248" s="97"/>
      <c r="O248" s="97"/>
      <c r="P248" s="97"/>
      <c r="Q248" s="97"/>
      <c r="R248" s="105">
        <v>14201</v>
      </c>
      <c r="S248" s="101" t="s">
        <v>964</v>
      </c>
      <c r="T248" s="101">
        <v>22</v>
      </c>
      <c r="U248" s="101">
        <v>18</v>
      </c>
      <c r="V248" s="101">
        <v>4</v>
      </c>
      <c r="W248" s="101">
        <v>86</v>
      </c>
      <c r="X248" s="101">
        <v>0</v>
      </c>
      <c r="Y248" s="99"/>
      <c r="Z248" s="101" t="s">
        <v>965</v>
      </c>
      <c r="AA248" s="101" t="s">
        <v>1000</v>
      </c>
      <c r="AB248" s="106"/>
      <c r="AC248" s="106">
        <f t="shared" si="0"/>
      </c>
      <c r="AD248" s="99"/>
      <c r="AE248" s="99"/>
      <c r="AF248" s="99"/>
      <c r="AG248" s="107"/>
      <c r="AH248" s="107"/>
      <c r="AI248" s="107"/>
      <c r="AJ248" s="107"/>
    </row>
    <row customHeight="true" ht="33" r="249">
      <c r="A249" s="100" t="s">
        <v>1766</v>
      </c>
      <c r="B249" s="101" t="s">
        <v>958</v>
      </c>
      <c r="C249" s="101" t="s">
        <v>1759</v>
      </c>
      <c r="D249" s="101" t="s">
        <v>1760</v>
      </c>
      <c r="E249" s="102" t="s">
        <v>1761</v>
      </c>
      <c r="F249" s="103">
        <v>46175.77380787037</v>
      </c>
      <c r="G249" s="101" t="s">
        <v>962</v>
      </c>
      <c r="H249" s="101">
        <v>10000</v>
      </c>
      <c r="I249" s="101">
        <v>10000</v>
      </c>
      <c r="J249" s="101">
        <v>10000</v>
      </c>
      <c r="K249" s="101" t="s">
        <v>963</v>
      </c>
      <c r="L249" s="101">
        <v>665357</v>
      </c>
      <c r="M249" s="104">
        <v>15.03</v>
      </c>
      <c r="N249" s="97"/>
      <c r="O249" s="97"/>
      <c r="P249" s="97"/>
      <c r="Q249" s="97"/>
      <c r="R249" s="105">
        <v>665357</v>
      </c>
      <c r="S249" s="101" t="s">
        <v>964</v>
      </c>
      <c r="T249" s="101">
        <v>29177</v>
      </c>
      <c r="U249" s="101">
        <v>1132</v>
      </c>
      <c r="V249" s="101">
        <v>29283</v>
      </c>
      <c r="W249" s="101">
        <v>16663</v>
      </c>
      <c r="X249" s="101">
        <v>147</v>
      </c>
      <c r="Y249" s="99"/>
      <c r="Z249" s="101" t="s">
        <v>965</v>
      </c>
      <c r="AA249" s="101" t="s">
        <v>1000</v>
      </c>
      <c r="AB249" s="106"/>
      <c r="AC249" s="106">
        <f t="shared" si="0"/>
      </c>
      <c r="AD249" s="99"/>
      <c r="AE249" s="99"/>
      <c r="AF249" s="99"/>
      <c r="AG249" s="107"/>
      <c r="AH249" s="107"/>
      <c r="AI249" s="107"/>
      <c r="AJ249" s="107"/>
    </row>
    <row customHeight="true" ht="33" r="250">
      <c r="A250" s="100" t="s">
        <v>1767</v>
      </c>
      <c r="B250" s="101" t="s">
        <v>958</v>
      </c>
      <c r="C250" s="101" t="s">
        <v>1768</v>
      </c>
      <c r="D250" s="101" t="s">
        <v>1769</v>
      </c>
      <c r="E250" s="102" t="s">
        <v>1770</v>
      </c>
      <c r="F250" s="103">
        <v>46175.772881944446</v>
      </c>
      <c r="G250" s="101" t="s">
        <v>962</v>
      </c>
      <c r="H250" s="101">
        <v>1000</v>
      </c>
      <c r="I250" s="101">
        <v>1000</v>
      </c>
      <c r="J250" s="101">
        <v>1000</v>
      </c>
      <c r="K250" s="101" t="s">
        <v>963</v>
      </c>
      <c r="L250" s="101">
        <v>60101</v>
      </c>
      <c r="M250" s="104">
        <v>16.64</v>
      </c>
      <c r="N250" s="97"/>
      <c r="O250" s="97"/>
      <c r="P250" s="97"/>
      <c r="Q250" s="97"/>
      <c r="R250" s="105">
        <v>60101</v>
      </c>
      <c r="S250" s="101" t="s">
        <v>964</v>
      </c>
      <c r="T250" s="101">
        <v>491</v>
      </c>
      <c r="U250" s="101">
        <v>23</v>
      </c>
      <c r="V250" s="101">
        <v>2</v>
      </c>
      <c r="W250" s="101">
        <v>230</v>
      </c>
      <c r="X250" s="101">
        <v>6</v>
      </c>
      <c r="Y250" s="99"/>
      <c r="Z250" s="101" t="s">
        <v>965</v>
      </c>
      <c r="AA250" s="101" t="s">
        <v>1000</v>
      </c>
      <c r="AB250" s="106"/>
      <c r="AC250" s="106">
        <f t="shared" si="0"/>
      </c>
      <c r="AD250" s="99"/>
      <c r="AE250" s="99"/>
      <c r="AF250" s="99"/>
      <c r="AG250" s="107"/>
      <c r="AH250" s="107"/>
      <c r="AI250" s="107"/>
      <c r="AJ250" s="107"/>
    </row>
    <row customHeight="true" ht="33" r="251">
      <c r="A251" s="100" t="s">
        <v>1771</v>
      </c>
      <c r="B251" s="101" t="s">
        <v>958</v>
      </c>
      <c r="C251" s="101" t="s">
        <v>1759</v>
      </c>
      <c r="D251" s="101" t="s">
        <v>1760</v>
      </c>
      <c r="E251" s="102" t="s">
        <v>1761</v>
      </c>
      <c r="F251" s="103">
        <v>46176.73082175926</v>
      </c>
      <c r="G251" s="101" t="s">
        <v>962</v>
      </c>
      <c r="H251" s="101">
        <v>10000</v>
      </c>
      <c r="I251" s="101">
        <v>10000</v>
      </c>
      <c r="J251" s="101">
        <v>10000</v>
      </c>
      <c r="K251" s="101" t="s">
        <v>963</v>
      </c>
      <c r="L251" s="101">
        <v>674255</v>
      </c>
      <c r="M251" s="104">
        <v>14.83</v>
      </c>
      <c r="N251" s="97"/>
      <c r="O251" s="97"/>
      <c r="P251" s="97"/>
      <c r="Q251" s="97"/>
      <c r="R251" s="105">
        <v>674255</v>
      </c>
      <c r="S251" s="101" t="s">
        <v>964</v>
      </c>
      <c r="T251" s="101">
        <v>75244</v>
      </c>
      <c r="U251" s="101">
        <v>3218</v>
      </c>
      <c r="V251" s="101">
        <v>38866</v>
      </c>
      <c r="W251" s="101">
        <v>22228</v>
      </c>
      <c r="X251" s="101">
        <v>203</v>
      </c>
      <c r="Y251" s="99"/>
      <c r="Z251" s="101" t="s">
        <v>965</v>
      </c>
      <c r="AA251" s="101" t="s">
        <v>1000</v>
      </c>
      <c r="AB251" s="106"/>
      <c r="AC251" s="106">
        <f t="shared" si="0"/>
      </c>
      <c r="AD251" s="99"/>
      <c r="AE251" s="99"/>
      <c r="AF251" s="99"/>
      <c r="AG251" s="107"/>
      <c r="AH251" s="107"/>
      <c r="AI251" s="107"/>
      <c r="AJ251" s="107"/>
    </row>
    <row customHeight="true" ht="33" r="252">
      <c r="A252" s="100" t="s">
        <v>1772</v>
      </c>
      <c r="B252" s="101" t="s">
        <v>958</v>
      </c>
      <c r="C252" s="101" t="s">
        <v>1773</v>
      </c>
      <c r="D252" s="101" t="s">
        <v>1774</v>
      </c>
      <c r="E252" s="102" t="s">
        <v>1775</v>
      </c>
      <c r="F252" s="103">
        <v>46176.729479166665</v>
      </c>
      <c r="G252" s="101" t="s">
        <v>1229</v>
      </c>
      <c r="H252" s="101">
        <v>1000</v>
      </c>
      <c r="I252" s="101">
        <v>1000</v>
      </c>
      <c r="J252" s="101">
        <v>0</v>
      </c>
      <c r="K252" s="101" t="s">
        <v>963</v>
      </c>
      <c r="L252" s="101">
        <v>0</v>
      </c>
      <c r="M252" s="104">
        <v>0</v>
      </c>
      <c r="N252" s="97"/>
      <c r="O252" s="97"/>
      <c r="P252" s="97"/>
      <c r="Q252" s="97"/>
      <c r="R252" s="105">
        <v>0</v>
      </c>
      <c r="S252" s="101" t="s">
        <v>964</v>
      </c>
      <c r="T252" s="101">
        <v>0</v>
      </c>
      <c r="U252" s="101">
        <v>0</v>
      </c>
      <c r="V252" s="101">
        <v>0</v>
      </c>
      <c r="W252" s="101">
        <v>0</v>
      </c>
      <c r="X252" s="101">
        <v>0</v>
      </c>
      <c r="Y252" s="99"/>
      <c r="Z252" s="101" t="s">
        <v>965</v>
      </c>
      <c r="AA252" s="101" t="s">
        <v>1000</v>
      </c>
      <c r="AB252" s="106"/>
      <c r="AC252" s="106">
        <f t="shared" si="0"/>
      </c>
      <c r="AD252" s="99"/>
      <c r="AE252" s="99"/>
      <c r="AF252" s="99"/>
      <c r="AG252" s="107"/>
      <c r="AH252" s="107"/>
      <c r="AI252" s="107"/>
      <c r="AJ252" s="107"/>
    </row>
    <row customHeight="true" ht="33" r="253">
      <c r="A253" s="100" t="s">
        <v>1776</v>
      </c>
      <c r="B253" s="101" t="s">
        <v>958</v>
      </c>
      <c r="C253" s="101" t="s">
        <v>1777</v>
      </c>
      <c r="D253" s="101" t="s">
        <v>1778</v>
      </c>
      <c r="E253" s="102" t="s">
        <v>1779</v>
      </c>
      <c r="F253" s="103">
        <v>46176.726875</v>
      </c>
      <c r="G253" s="101" t="s">
        <v>962</v>
      </c>
      <c r="H253" s="101">
        <v>1000</v>
      </c>
      <c r="I253" s="101">
        <v>1000</v>
      </c>
      <c r="J253" s="101">
        <v>1000</v>
      </c>
      <c r="K253" s="101" t="s">
        <v>963</v>
      </c>
      <c r="L253" s="101">
        <v>187440</v>
      </c>
      <c r="M253" s="104">
        <v>5.34</v>
      </c>
      <c r="N253" s="97"/>
      <c r="O253" s="97"/>
      <c r="P253" s="97"/>
      <c r="Q253" s="97"/>
      <c r="R253" s="105">
        <v>187440</v>
      </c>
      <c r="S253" s="101" t="s">
        <v>964</v>
      </c>
      <c r="T253" s="101">
        <v>1187</v>
      </c>
      <c r="U253" s="101">
        <v>53</v>
      </c>
      <c r="V253" s="101">
        <v>19</v>
      </c>
      <c r="W253" s="101">
        <v>370</v>
      </c>
      <c r="X253" s="101">
        <v>49</v>
      </c>
      <c r="Y253" s="99"/>
      <c r="Z253" s="101" t="s">
        <v>965</v>
      </c>
      <c r="AA253" s="101" t="s">
        <v>1000</v>
      </c>
      <c r="AB253" s="106"/>
      <c r="AC253" s="106">
        <f t="shared" si="0"/>
      </c>
      <c r="AD253" s="99"/>
      <c r="AE253" s="99"/>
      <c r="AF253" s="99"/>
      <c r="AG253" s="107"/>
      <c r="AH253" s="107"/>
      <c r="AI253" s="107"/>
      <c r="AJ253" s="107"/>
    </row>
    <row customHeight="true" ht="33" r="254">
      <c r="A254" s="100" t="s">
        <v>1780</v>
      </c>
      <c r="B254" s="101" t="s">
        <v>958</v>
      </c>
      <c r="C254" s="101" t="s">
        <v>1781</v>
      </c>
      <c r="D254" s="101" t="s">
        <v>1782</v>
      </c>
      <c r="E254" s="102" t="s">
        <v>1783</v>
      </c>
      <c r="F254" s="103">
        <v>46176.73679398148</v>
      </c>
      <c r="G254" s="101" t="s">
        <v>962</v>
      </c>
      <c r="H254" s="101">
        <v>1000</v>
      </c>
      <c r="I254" s="101">
        <v>1000</v>
      </c>
      <c r="J254" s="101">
        <v>1000</v>
      </c>
      <c r="K254" s="101" t="s">
        <v>963</v>
      </c>
      <c r="L254" s="101">
        <v>74128</v>
      </c>
      <c r="M254" s="104">
        <v>13.49</v>
      </c>
      <c r="N254" s="97"/>
      <c r="O254" s="97"/>
      <c r="P254" s="97"/>
      <c r="Q254" s="97"/>
      <c r="R254" s="105">
        <v>74128</v>
      </c>
      <c r="S254" s="101" t="s">
        <v>964</v>
      </c>
      <c r="T254" s="101">
        <v>342</v>
      </c>
      <c r="U254" s="101">
        <v>38</v>
      </c>
      <c r="V254" s="101">
        <v>40</v>
      </c>
      <c r="W254" s="101">
        <v>122</v>
      </c>
      <c r="X254" s="101">
        <v>8</v>
      </c>
      <c r="Y254" s="99"/>
      <c r="Z254" s="101" t="s">
        <v>965</v>
      </c>
      <c r="AA254" s="101" t="s">
        <v>1000</v>
      </c>
      <c r="AB254" s="106"/>
      <c r="AC254" s="106">
        <f t="shared" si="0"/>
      </c>
      <c r="AD254" s="99"/>
      <c r="AE254" s="99"/>
      <c r="AF254" s="99"/>
      <c r="AG254" s="107"/>
      <c r="AH254" s="107"/>
      <c r="AI254" s="107"/>
      <c r="AJ254" s="107"/>
    </row>
    <row customHeight="true" ht="33" r="255">
      <c r="A255" s="100" t="s">
        <v>1784</v>
      </c>
      <c r="B255" s="101" t="s">
        <v>958</v>
      </c>
      <c r="C255" s="101" t="s">
        <v>1785</v>
      </c>
      <c r="D255" s="101" t="s">
        <v>1786</v>
      </c>
      <c r="E255" s="102" t="s">
        <v>1787</v>
      </c>
      <c r="F255" s="103">
        <v>46177.74885416667</v>
      </c>
      <c r="G255" s="101" t="s">
        <v>962</v>
      </c>
      <c r="H255" s="101">
        <v>1000</v>
      </c>
      <c r="I255" s="101">
        <v>1000</v>
      </c>
      <c r="J255" s="101">
        <v>1000</v>
      </c>
      <c r="K255" s="101" t="s">
        <v>963</v>
      </c>
      <c r="L255" s="101">
        <v>58099</v>
      </c>
      <c r="M255" s="104">
        <v>17.21</v>
      </c>
      <c r="N255" s="97"/>
      <c r="O255" s="97"/>
      <c r="P255" s="97"/>
      <c r="Q255" s="97"/>
      <c r="R255" s="105">
        <v>58099</v>
      </c>
      <c r="S255" s="101" t="s">
        <v>964</v>
      </c>
      <c r="T255" s="101">
        <v>935</v>
      </c>
      <c r="U255" s="101">
        <v>51</v>
      </c>
      <c r="V255" s="101">
        <v>12</v>
      </c>
      <c r="W255" s="101">
        <v>328</v>
      </c>
      <c r="X255" s="101">
        <v>3</v>
      </c>
      <c r="Y255" s="99"/>
      <c r="Z255" s="101" t="s">
        <v>965</v>
      </c>
      <c r="AA255" s="101" t="s">
        <v>1000</v>
      </c>
      <c r="AB255" s="106"/>
      <c r="AC255" s="106">
        <f t="shared" si="0"/>
      </c>
      <c r="AD255" s="99"/>
      <c r="AE255" s="99"/>
      <c r="AF255" s="99"/>
      <c r="AG255" s="107"/>
      <c r="AH255" s="107"/>
      <c r="AI255" s="107"/>
      <c r="AJ255" s="107"/>
    </row>
    <row customHeight="true" ht="33" r="256">
      <c r="A256" s="100" t="s">
        <v>1788</v>
      </c>
      <c r="B256" s="101" t="s">
        <v>958</v>
      </c>
      <c r="C256" s="101" t="s">
        <v>1789</v>
      </c>
      <c r="D256" s="101" t="s">
        <v>1790</v>
      </c>
      <c r="E256" s="102" t="s">
        <v>1791</v>
      </c>
      <c r="F256" s="103">
        <v>46177.74799768518</v>
      </c>
      <c r="G256" s="101" t="s">
        <v>962</v>
      </c>
      <c r="H256" s="101">
        <v>1000</v>
      </c>
      <c r="I256" s="101">
        <v>1000</v>
      </c>
      <c r="J256" s="101">
        <v>1000</v>
      </c>
      <c r="K256" s="101" t="s">
        <v>963</v>
      </c>
      <c r="L256" s="101">
        <v>72239</v>
      </c>
      <c r="M256" s="104">
        <v>13.84</v>
      </c>
      <c r="N256" s="97"/>
      <c r="O256" s="97"/>
      <c r="P256" s="97"/>
      <c r="Q256" s="97"/>
      <c r="R256" s="105">
        <v>72239</v>
      </c>
      <c r="S256" s="101" t="s">
        <v>964</v>
      </c>
      <c r="T256" s="101">
        <v>1844</v>
      </c>
      <c r="U256" s="101">
        <v>16</v>
      </c>
      <c r="V256" s="101">
        <v>36</v>
      </c>
      <c r="W256" s="101">
        <v>169</v>
      </c>
      <c r="X256" s="101">
        <v>12</v>
      </c>
      <c r="Y256" s="99"/>
      <c r="Z256" s="101" t="s">
        <v>965</v>
      </c>
      <c r="AA256" s="101" t="s">
        <v>1000</v>
      </c>
      <c r="AB256" s="106"/>
      <c r="AC256" s="106">
        <f t="shared" si="0"/>
      </c>
      <c r="AD256" s="99"/>
      <c r="AE256" s="99"/>
      <c r="AF256" s="99"/>
      <c r="AG256" s="107"/>
      <c r="AH256" s="107"/>
      <c r="AI256" s="107"/>
      <c r="AJ256" s="107"/>
    </row>
    <row customHeight="true" ht="33" r="257">
      <c r="A257" s="100" t="s">
        <v>1792</v>
      </c>
      <c r="B257" s="101" t="s">
        <v>958</v>
      </c>
      <c r="C257" s="101" t="s">
        <v>1759</v>
      </c>
      <c r="D257" s="101" t="s">
        <v>1760</v>
      </c>
      <c r="E257" s="102" t="s">
        <v>1761</v>
      </c>
      <c r="F257" s="103">
        <v>46177.74596064815</v>
      </c>
      <c r="G257" s="101" t="s">
        <v>962</v>
      </c>
      <c r="H257" s="101">
        <v>10000</v>
      </c>
      <c r="I257" s="101">
        <v>10000</v>
      </c>
      <c r="J257" s="101">
        <v>10000</v>
      </c>
      <c r="K257" s="101" t="s">
        <v>963</v>
      </c>
      <c r="L257" s="101">
        <v>744779</v>
      </c>
      <c r="M257" s="104">
        <v>13.43</v>
      </c>
      <c r="N257" s="97"/>
      <c r="O257" s="97"/>
      <c r="P257" s="97"/>
      <c r="Q257" s="97"/>
      <c r="R257" s="105">
        <v>744779</v>
      </c>
      <c r="S257" s="101" t="s">
        <v>964</v>
      </c>
      <c r="T257" s="101">
        <v>38545</v>
      </c>
      <c r="U257" s="101">
        <v>1435</v>
      </c>
      <c r="V257" s="101">
        <v>35020</v>
      </c>
      <c r="W257" s="101">
        <v>20853</v>
      </c>
      <c r="X257" s="101">
        <v>182</v>
      </c>
      <c r="Y257" s="99"/>
      <c r="Z257" s="101" t="s">
        <v>965</v>
      </c>
      <c r="AA257" s="101" t="s">
        <v>1000</v>
      </c>
      <c r="AB257" s="106"/>
      <c r="AC257" s="106">
        <f t="shared" si="0"/>
      </c>
      <c r="AD257" s="99"/>
      <c r="AE257" s="99"/>
      <c r="AF257" s="99"/>
      <c r="AG257" s="107"/>
      <c r="AH257" s="107"/>
      <c r="AI257" s="107"/>
      <c r="AJ257" s="107"/>
    </row>
    <row customHeight="true" ht="33" r="258">
      <c r="A258" s="100" t="s">
        <v>1793</v>
      </c>
      <c r="B258" s="101" t="s">
        <v>958</v>
      </c>
      <c r="C258" s="101" t="s">
        <v>1777</v>
      </c>
      <c r="D258" s="101" t="s">
        <v>1778</v>
      </c>
      <c r="E258" s="102" t="s">
        <v>1779</v>
      </c>
      <c r="F258" s="103">
        <v>46177.77943287037</v>
      </c>
      <c r="G258" s="101" t="s">
        <v>962</v>
      </c>
      <c r="H258" s="101">
        <v>5000</v>
      </c>
      <c r="I258" s="101">
        <v>5000</v>
      </c>
      <c r="J258" s="101">
        <v>5000</v>
      </c>
      <c r="K258" s="101" t="s">
        <v>963</v>
      </c>
      <c r="L258" s="101">
        <v>418977</v>
      </c>
      <c r="M258" s="104">
        <v>11.93</v>
      </c>
      <c r="N258" s="97"/>
      <c r="O258" s="97"/>
      <c r="P258" s="97"/>
      <c r="Q258" s="97"/>
      <c r="R258" s="105">
        <v>418977</v>
      </c>
      <c r="S258" s="101" t="s">
        <v>964</v>
      </c>
      <c r="T258" s="101">
        <v>7585</v>
      </c>
      <c r="U258" s="101">
        <v>349</v>
      </c>
      <c r="V258" s="101">
        <v>160</v>
      </c>
      <c r="W258" s="101">
        <v>1651</v>
      </c>
      <c r="X258" s="101">
        <v>97</v>
      </c>
      <c r="Y258" s="99"/>
      <c r="Z258" s="101" t="s">
        <v>965</v>
      </c>
      <c r="AA258" s="101" t="s">
        <v>1000</v>
      </c>
      <c r="AB258" s="106"/>
      <c r="AC258" s="106">
        <f t="shared" si="0"/>
      </c>
      <c r="AD258" s="99"/>
      <c r="AE258" s="99"/>
      <c r="AF258" s="99"/>
      <c r="AG258" s="107"/>
      <c r="AH258" s="107"/>
      <c r="AI258" s="107"/>
      <c r="AJ258" s="107"/>
    </row>
    <row customHeight="true" ht="33" r="259">
      <c r="A259" s="100" t="s">
        <v>1794</v>
      </c>
      <c r="B259" s="101" t="s">
        <v>958</v>
      </c>
      <c r="C259" s="101" t="s">
        <v>1795</v>
      </c>
      <c r="D259" s="101" t="s">
        <v>1796</v>
      </c>
      <c r="E259" s="102" t="s">
        <v>1797</v>
      </c>
      <c r="F259" s="103">
        <v>46178.763136574074</v>
      </c>
      <c r="G259" s="101" t="s">
        <v>962</v>
      </c>
      <c r="H259" s="101">
        <v>1000</v>
      </c>
      <c r="I259" s="101">
        <v>1000</v>
      </c>
      <c r="J259" s="101">
        <v>1000</v>
      </c>
      <c r="K259" s="101" t="s">
        <v>963</v>
      </c>
      <c r="L259" s="101">
        <v>53934</v>
      </c>
      <c r="M259" s="104">
        <v>18.54</v>
      </c>
      <c r="N259" s="97"/>
      <c r="O259" s="97"/>
      <c r="P259" s="97"/>
      <c r="Q259" s="97"/>
      <c r="R259" s="105">
        <v>53934</v>
      </c>
      <c r="S259" s="101" t="s">
        <v>964</v>
      </c>
      <c r="T259" s="101">
        <v>388</v>
      </c>
      <c r="U259" s="101">
        <v>9</v>
      </c>
      <c r="V259" s="101">
        <v>14</v>
      </c>
      <c r="W259" s="101">
        <v>272</v>
      </c>
      <c r="X259" s="101">
        <v>8</v>
      </c>
      <c r="Y259" s="99"/>
      <c r="Z259" s="101" t="s">
        <v>965</v>
      </c>
      <c r="AA259" s="101" t="s">
        <v>1000</v>
      </c>
      <c r="AB259" s="106"/>
      <c r="AC259" s="106">
        <f t="shared" si="0"/>
      </c>
      <c r="AD259" s="99"/>
      <c r="AE259" s="99"/>
      <c r="AF259" s="99"/>
      <c r="AG259" s="107"/>
      <c r="AH259" s="107"/>
      <c r="AI259" s="107"/>
      <c r="AJ259" s="107"/>
    </row>
    <row customHeight="true" ht="33" r="260">
      <c r="A260" s="100" t="s">
        <v>1798</v>
      </c>
      <c r="B260" s="101" t="s">
        <v>958</v>
      </c>
      <c r="C260" s="101" t="s">
        <v>1799</v>
      </c>
      <c r="D260" s="101" t="s">
        <v>1800</v>
      </c>
      <c r="E260" s="102" t="s">
        <v>1801</v>
      </c>
      <c r="F260" s="103">
        <v>46181.740219907406</v>
      </c>
      <c r="G260" s="101" t="s">
        <v>962</v>
      </c>
      <c r="H260" s="101">
        <v>1000</v>
      </c>
      <c r="I260" s="101">
        <v>1000</v>
      </c>
      <c r="J260" s="101">
        <v>1000</v>
      </c>
      <c r="K260" s="101" t="s">
        <v>963</v>
      </c>
      <c r="L260" s="101">
        <v>59711</v>
      </c>
      <c r="M260" s="104">
        <v>16.75</v>
      </c>
      <c r="N260" s="97"/>
      <c r="O260" s="97"/>
      <c r="P260" s="97"/>
      <c r="Q260" s="97"/>
      <c r="R260" s="105">
        <v>59711</v>
      </c>
      <c r="S260" s="101" t="s">
        <v>964</v>
      </c>
      <c r="T260" s="101">
        <v>1546</v>
      </c>
      <c r="U260" s="101">
        <v>12</v>
      </c>
      <c r="V260" s="101">
        <v>3</v>
      </c>
      <c r="W260" s="101">
        <v>952</v>
      </c>
      <c r="X260" s="101">
        <v>1</v>
      </c>
      <c r="Y260" s="99"/>
      <c r="Z260" s="101" t="s">
        <v>965</v>
      </c>
      <c r="AA260" s="101" t="s">
        <v>1000</v>
      </c>
      <c r="AB260" s="106"/>
      <c r="AC260" s="106">
        <f t="shared" si="0"/>
      </c>
      <c r="AD260" s="99"/>
      <c r="AE260" s="99"/>
      <c r="AF260" s="99"/>
      <c r="AG260" s="107"/>
      <c r="AH260" s="107"/>
      <c r="AI260" s="107"/>
      <c r="AJ260" s="107"/>
    </row>
    <row customHeight="true" ht="33" r="261">
      <c r="A261" s="100" t="s">
        <v>1802</v>
      </c>
      <c r="B261" s="101" t="s">
        <v>958</v>
      </c>
      <c r="C261" s="101" t="s">
        <v>1434</v>
      </c>
      <c r="D261" s="101" t="s">
        <v>1803</v>
      </c>
      <c r="E261" s="102" t="s">
        <v>1804</v>
      </c>
      <c r="F261" s="103">
        <v>46181.7390625</v>
      </c>
      <c r="G261" s="101" t="s">
        <v>962</v>
      </c>
      <c r="H261" s="101">
        <v>1000</v>
      </c>
      <c r="I261" s="101">
        <v>1000</v>
      </c>
      <c r="J261" s="101">
        <v>1000</v>
      </c>
      <c r="K261" s="101" t="s">
        <v>963</v>
      </c>
      <c r="L261" s="101">
        <v>60430</v>
      </c>
      <c r="M261" s="104">
        <v>16.55</v>
      </c>
      <c r="N261" s="97"/>
      <c r="O261" s="97"/>
      <c r="P261" s="97"/>
      <c r="Q261" s="97"/>
      <c r="R261" s="105">
        <v>60430</v>
      </c>
      <c r="S261" s="101" t="s">
        <v>964</v>
      </c>
      <c r="T261" s="101">
        <v>1305</v>
      </c>
      <c r="U261" s="101">
        <v>15</v>
      </c>
      <c r="V261" s="101">
        <v>37</v>
      </c>
      <c r="W261" s="101">
        <v>79</v>
      </c>
      <c r="X261" s="101">
        <v>5</v>
      </c>
      <c r="Y261" s="99"/>
      <c r="Z261" s="101" t="s">
        <v>965</v>
      </c>
      <c r="AA261" s="101" t="s">
        <v>1000</v>
      </c>
      <c r="AB261" s="106"/>
      <c r="AC261" s="106">
        <f t="shared" si="0"/>
      </c>
      <c r="AD261" s="99"/>
      <c r="AE261" s="99"/>
      <c r="AF261" s="99"/>
      <c r="AG261" s="107"/>
      <c r="AH261" s="107"/>
      <c r="AI261" s="107"/>
      <c r="AJ261" s="107"/>
    </row>
    <row customHeight="true" ht="33" r="262">
      <c r="A262" s="100" t="s">
        <v>1805</v>
      </c>
      <c r="B262" s="101" t="s">
        <v>958</v>
      </c>
      <c r="C262" s="101" t="s">
        <v>1806</v>
      </c>
      <c r="D262" s="101" t="s">
        <v>1807</v>
      </c>
      <c r="E262" s="102" t="s">
        <v>1808</v>
      </c>
      <c r="F262" s="103">
        <v>46182.76924768519</v>
      </c>
      <c r="G262" s="101" t="s">
        <v>962</v>
      </c>
      <c r="H262" s="101">
        <v>500</v>
      </c>
      <c r="I262" s="101">
        <v>500</v>
      </c>
      <c r="J262" s="101">
        <v>500</v>
      </c>
      <c r="K262" s="101" t="s">
        <v>963</v>
      </c>
      <c r="L262" s="101">
        <v>27530</v>
      </c>
      <c r="M262" s="104">
        <v>18.16</v>
      </c>
      <c r="N262" s="97"/>
      <c r="O262" s="97"/>
      <c r="P262" s="97"/>
      <c r="Q262" s="97"/>
      <c r="R262" s="105">
        <v>27530</v>
      </c>
      <c r="S262" s="101" t="s">
        <v>964</v>
      </c>
      <c r="T262" s="101">
        <v>285</v>
      </c>
      <c r="U262" s="101">
        <v>4</v>
      </c>
      <c r="V262" s="101">
        <v>60</v>
      </c>
      <c r="W262" s="101">
        <v>145</v>
      </c>
      <c r="X262" s="101">
        <v>1</v>
      </c>
      <c r="Y262" s="99"/>
      <c r="Z262" s="101" t="s">
        <v>965</v>
      </c>
      <c r="AA262" s="101" t="s">
        <v>1000</v>
      </c>
      <c r="AB262" s="106"/>
      <c r="AC262" s="106">
        <f t="shared" si="0"/>
      </c>
      <c r="AD262" s="99"/>
      <c r="AE262" s="99"/>
      <c r="AF262" s="99"/>
      <c r="AG262" s="107"/>
      <c r="AH262" s="107"/>
      <c r="AI262" s="107"/>
      <c r="AJ262" s="107"/>
    </row>
    <row customHeight="true" ht="33" r="263">
      <c r="A263" s="100" t="s">
        <v>1809</v>
      </c>
      <c r="B263" s="101" t="s">
        <v>958</v>
      </c>
      <c r="C263" s="101" t="s">
        <v>1810</v>
      </c>
      <c r="D263" s="101" t="s">
        <v>1811</v>
      </c>
      <c r="E263" s="102" t="s">
        <v>1812</v>
      </c>
      <c r="F263" s="103">
        <v>46182.77921296296</v>
      </c>
      <c r="G263" s="101" t="s">
        <v>962</v>
      </c>
      <c r="H263" s="101">
        <v>3000</v>
      </c>
      <c r="I263" s="101">
        <v>3000</v>
      </c>
      <c r="J263" s="101">
        <v>3000</v>
      </c>
      <c r="K263" s="101" t="s">
        <v>963</v>
      </c>
      <c r="L263" s="101">
        <v>173691</v>
      </c>
      <c r="M263" s="104">
        <v>17.27</v>
      </c>
      <c r="N263" s="97"/>
      <c r="O263" s="97"/>
      <c r="P263" s="97"/>
      <c r="Q263" s="97"/>
      <c r="R263" s="105">
        <v>173691</v>
      </c>
      <c r="S263" s="101" t="s">
        <v>964</v>
      </c>
      <c r="T263" s="101">
        <v>12240</v>
      </c>
      <c r="U263" s="101">
        <v>101</v>
      </c>
      <c r="V263" s="101">
        <v>2623</v>
      </c>
      <c r="W263" s="101">
        <v>389</v>
      </c>
      <c r="X263" s="101">
        <v>17</v>
      </c>
      <c r="Y263" s="99"/>
      <c r="Z263" s="101" t="s">
        <v>965</v>
      </c>
      <c r="AA263" s="101" t="s">
        <v>1000</v>
      </c>
      <c r="AB263" s="106"/>
      <c r="AC263" s="106">
        <f t="shared" si="0"/>
      </c>
      <c r="AD263" s="99"/>
      <c r="AE263" s="99"/>
      <c r="AF263" s="99"/>
      <c r="AG263" s="107"/>
      <c r="AH263" s="107"/>
      <c r="AI263" s="107"/>
      <c r="AJ263" s="107"/>
    </row>
    <row customHeight="true" ht="33" r="264">
      <c r="A264" s="108" t="s">
        <v>1813</v>
      </c>
      <c r="B264" s="109" t="s">
        <v>958</v>
      </c>
      <c r="C264" s="109" t="s">
        <v>1814</v>
      </c>
      <c r="D264" s="109" t="s">
        <v>1815</v>
      </c>
      <c r="E264" s="110" t="s">
        <v>1816</v>
      </c>
      <c r="F264" s="111">
        <v>46183.73982638889</v>
      </c>
      <c r="G264" s="109" t="s">
        <v>962</v>
      </c>
      <c r="H264" s="109">
        <v>1000</v>
      </c>
      <c r="I264" s="109">
        <v>1000</v>
      </c>
      <c r="J264" s="109">
        <v>1000</v>
      </c>
      <c r="K264" s="109" t="s">
        <v>963</v>
      </c>
      <c r="L264" s="109">
        <v>115529</v>
      </c>
      <c r="M264" s="112">
        <v>8.66</v>
      </c>
      <c r="N264" s="113"/>
      <c r="O264" s="113"/>
      <c r="P264" s="113"/>
      <c r="Q264" s="113"/>
      <c r="R264" s="114">
        <v>115529</v>
      </c>
      <c r="S264" s="109" t="s">
        <v>964</v>
      </c>
      <c r="T264" s="109">
        <v>968</v>
      </c>
      <c r="U264" s="109">
        <v>58</v>
      </c>
      <c r="V264" s="109">
        <v>4</v>
      </c>
      <c r="W264" s="109">
        <v>326</v>
      </c>
      <c r="X264" s="109">
        <v>6</v>
      </c>
      <c r="Y264" s="115"/>
      <c r="Z264" s="109" t="s">
        <v>965</v>
      </c>
      <c r="AA264" s="109" t="s">
        <v>1000</v>
      </c>
      <c r="AB264" s="116"/>
      <c r="AC264" s="116">
        <f t="shared" si="0"/>
      </c>
      <c r="AD264" s="115"/>
      <c r="AE264" s="115"/>
      <c r="AF264" s="115"/>
      <c r="AG264" s="117"/>
      <c r="AH264" s="117"/>
      <c r="AI264" s="117"/>
      <c r="AJ264" s="117"/>
    </row>
    <row customHeight="true" ht="33" r="265">
      <c r="A265" s="108" t="s">
        <v>1817</v>
      </c>
      <c r="B265" s="109" t="s">
        <v>958</v>
      </c>
      <c r="C265" s="109" t="s">
        <v>1810</v>
      </c>
      <c r="D265" s="109" t="s">
        <v>1811</v>
      </c>
      <c r="E265" s="110" t="s">
        <v>1812</v>
      </c>
      <c r="F265" s="111">
        <v>46183.73877314815</v>
      </c>
      <c r="G265" s="109" t="s">
        <v>962</v>
      </c>
      <c r="H265" s="109">
        <v>5000</v>
      </c>
      <c r="I265" s="109">
        <v>5000</v>
      </c>
      <c r="J265" s="109">
        <v>5000</v>
      </c>
      <c r="K265" s="109" t="s">
        <v>963</v>
      </c>
      <c r="L265" s="109">
        <v>288654</v>
      </c>
      <c r="M265" s="112">
        <v>17.32</v>
      </c>
      <c r="N265" s="113"/>
      <c r="O265" s="113"/>
      <c r="P265" s="113"/>
      <c r="Q265" s="113"/>
      <c r="R265" s="114">
        <v>288654</v>
      </c>
      <c r="S265" s="109" t="s">
        <v>964</v>
      </c>
      <c r="T265" s="109">
        <v>24715</v>
      </c>
      <c r="U265" s="109">
        <v>118</v>
      </c>
      <c r="V265" s="109">
        <v>4616</v>
      </c>
      <c r="W265" s="109">
        <v>542</v>
      </c>
      <c r="X265" s="109">
        <v>47</v>
      </c>
      <c r="Y265" s="115"/>
      <c r="Z265" s="109" t="s">
        <v>965</v>
      </c>
      <c r="AA265" s="109" t="s">
        <v>1000</v>
      </c>
      <c r="AB265" s="116"/>
      <c r="AC265" s="116">
        <f t="shared" si="0"/>
      </c>
      <c r="AD265" s="115"/>
      <c r="AE265" s="115"/>
      <c r="AF265" s="115"/>
      <c r="AG265" s="117"/>
      <c r="AH265" s="117"/>
      <c r="AI265" s="117"/>
      <c r="AJ265" s="117"/>
    </row>
    <row customHeight="true" ht="33" r="266">
      <c r="A266" s="108" t="s">
        <v>1818</v>
      </c>
      <c r="B266" s="109" t="s">
        <v>958</v>
      </c>
      <c r="C266" s="109" t="s">
        <v>1819</v>
      </c>
      <c r="D266" s="109" t="s">
        <v>1820</v>
      </c>
      <c r="E266" s="110" t="s">
        <v>1821</v>
      </c>
      <c r="F266" s="111">
        <v>46183.74851851852</v>
      </c>
      <c r="G266" s="109" t="s">
        <v>1375</v>
      </c>
      <c r="H266" s="109">
        <v>1000</v>
      </c>
      <c r="I266" s="109">
        <v>1000</v>
      </c>
      <c r="J266" s="109">
        <v>999.97</v>
      </c>
      <c r="K266" s="109" t="s">
        <v>963</v>
      </c>
      <c r="L266" s="109">
        <v>70966</v>
      </c>
      <c r="M266" s="112">
        <v>14.09</v>
      </c>
      <c r="N266" s="113"/>
      <c r="O266" s="113"/>
      <c r="P266" s="113"/>
      <c r="Q266" s="113"/>
      <c r="R266" s="114">
        <v>70966</v>
      </c>
      <c r="S266" s="109" t="s">
        <v>964</v>
      </c>
      <c r="T266" s="109">
        <v>246</v>
      </c>
      <c r="U266" s="109">
        <v>2</v>
      </c>
      <c r="V266" s="109">
        <v>11</v>
      </c>
      <c r="W266" s="109">
        <v>165</v>
      </c>
      <c r="X266" s="109">
        <v>9</v>
      </c>
      <c r="Y266" s="115"/>
      <c r="Z266" s="109" t="s">
        <v>965</v>
      </c>
      <c r="AA266" s="109" t="s">
        <v>1000</v>
      </c>
      <c r="AB266" s="116"/>
      <c r="AC266" s="116">
        <f t="shared" si="0"/>
      </c>
      <c r="AD266" s="115"/>
      <c r="AE266" s="115"/>
      <c r="AF266" s="115"/>
      <c r="AG266" s="117"/>
      <c r="AH266" s="117"/>
      <c r="AI266" s="117"/>
      <c r="AJ266" s="117"/>
    </row>
    <row customHeight="true" ht="33" r="267">
      <c r="A267" s="108" t="s">
        <v>1822</v>
      </c>
      <c r="B267" s="109" t="s">
        <v>958</v>
      </c>
      <c r="C267" s="109" t="s">
        <v>1823</v>
      </c>
      <c r="D267" s="109" t="s">
        <v>1824</v>
      </c>
      <c r="E267" s="110" t="s">
        <v>1825</v>
      </c>
      <c r="F267" s="111">
        <v>46183.74743055556</v>
      </c>
      <c r="G267" s="109" t="s">
        <v>962</v>
      </c>
      <c r="H267" s="109">
        <v>1000</v>
      </c>
      <c r="I267" s="109">
        <v>1000</v>
      </c>
      <c r="J267" s="109">
        <v>1000</v>
      </c>
      <c r="K267" s="109" t="s">
        <v>963</v>
      </c>
      <c r="L267" s="109">
        <v>58594</v>
      </c>
      <c r="M267" s="112">
        <v>17.07</v>
      </c>
      <c r="N267" s="113"/>
      <c r="O267" s="113"/>
      <c r="P267" s="113"/>
      <c r="Q267" s="113"/>
      <c r="R267" s="114">
        <v>58594</v>
      </c>
      <c r="S267" s="109" t="s">
        <v>964</v>
      </c>
      <c r="T267" s="109">
        <v>589</v>
      </c>
      <c r="U267" s="109">
        <v>47</v>
      </c>
      <c r="V267" s="109">
        <v>246</v>
      </c>
      <c r="W267" s="109">
        <v>115</v>
      </c>
      <c r="X267" s="109">
        <v>5</v>
      </c>
      <c r="Y267" s="115"/>
      <c r="Z267" s="109" t="s">
        <v>965</v>
      </c>
      <c r="AA267" s="109" t="s">
        <v>1000</v>
      </c>
      <c r="AB267" s="116"/>
      <c r="AC267" s="116">
        <f t="shared" si="0"/>
      </c>
      <c r="AD267" s="115"/>
      <c r="AE267" s="115"/>
      <c r="AF267" s="115"/>
      <c r="AG267" s="117"/>
      <c r="AH267" s="117"/>
      <c r="AI267" s="117"/>
      <c r="AJ267" s="117"/>
    </row>
    <row customHeight="true" ht="33" r="268">
      <c r="A268" s="108" t="s">
        <v>1826</v>
      </c>
      <c r="B268" s="109" t="s">
        <v>958</v>
      </c>
      <c r="C268" s="109" t="s">
        <v>1827</v>
      </c>
      <c r="D268" s="109" t="s">
        <v>1828</v>
      </c>
      <c r="E268" s="110" t="s">
        <v>1829</v>
      </c>
      <c r="F268" s="111">
        <v>46183.74649305556</v>
      </c>
      <c r="G268" s="109" t="s">
        <v>962</v>
      </c>
      <c r="H268" s="109">
        <v>1000</v>
      </c>
      <c r="I268" s="109">
        <v>1000</v>
      </c>
      <c r="J268" s="109">
        <v>1000</v>
      </c>
      <c r="K268" s="109" t="s">
        <v>963</v>
      </c>
      <c r="L268" s="109">
        <v>67596</v>
      </c>
      <c r="M268" s="112">
        <v>14.79</v>
      </c>
      <c r="N268" s="113"/>
      <c r="O268" s="113"/>
      <c r="P268" s="113"/>
      <c r="Q268" s="113"/>
      <c r="R268" s="114">
        <v>67596</v>
      </c>
      <c r="S268" s="109" t="s">
        <v>964</v>
      </c>
      <c r="T268" s="109">
        <v>1614</v>
      </c>
      <c r="U268" s="109">
        <v>63</v>
      </c>
      <c r="V268" s="109">
        <v>601</v>
      </c>
      <c r="W268" s="109">
        <v>364</v>
      </c>
      <c r="X268" s="109">
        <v>15</v>
      </c>
      <c r="Y268" s="115"/>
      <c r="Z268" s="109" t="s">
        <v>965</v>
      </c>
      <c r="AA268" s="109" t="s">
        <v>1000</v>
      </c>
      <c r="AB268" s="116"/>
      <c r="AC268" s="116">
        <f t="shared" si="0"/>
      </c>
      <c r="AD268" s="115"/>
      <c r="AE268" s="115"/>
      <c r="AF268" s="115"/>
      <c r="AG268" s="117"/>
      <c r="AH268" s="117"/>
      <c r="AI268" s="117"/>
      <c r="AJ268" s="117"/>
    </row>
    <row customHeight="true" ht="33" r="269">
      <c r="A269" s="108" t="s">
        <v>1830</v>
      </c>
      <c r="B269" s="109" t="s">
        <v>958</v>
      </c>
      <c r="C269" s="109" t="s">
        <v>1831</v>
      </c>
      <c r="D269" s="109" t="s">
        <v>1832</v>
      </c>
      <c r="E269" s="110" t="s">
        <v>1833</v>
      </c>
      <c r="F269" s="111">
        <v>46183.74539351852</v>
      </c>
      <c r="G269" s="109" t="s">
        <v>962</v>
      </c>
      <c r="H269" s="109">
        <v>1000</v>
      </c>
      <c r="I269" s="109">
        <v>1000</v>
      </c>
      <c r="J269" s="109">
        <v>1000</v>
      </c>
      <c r="K269" s="109" t="s">
        <v>963</v>
      </c>
      <c r="L269" s="109">
        <v>69229</v>
      </c>
      <c r="M269" s="112">
        <v>14.44</v>
      </c>
      <c r="N269" s="113"/>
      <c r="O269" s="113"/>
      <c r="P269" s="113"/>
      <c r="Q269" s="113"/>
      <c r="R269" s="114">
        <v>69229</v>
      </c>
      <c r="S269" s="109" t="s">
        <v>964</v>
      </c>
      <c r="T269" s="109">
        <v>1704</v>
      </c>
      <c r="U269" s="109">
        <v>36</v>
      </c>
      <c r="V269" s="109">
        <v>245</v>
      </c>
      <c r="W269" s="109">
        <v>70</v>
      </c>
      <c r="X269" s="109">
        <v>4</v>
      </c>
      <c r="Y269" s="115"/>
      <c r="Z269" s="109" t="s">
        <v>965</v>
      </c>
      <c r="AA269" s="109" t="s">
        <v>1000</v>
      </c>
      <c r="AB269" s="116"/>
      <c r="AC269" s="116">
        <f t="shared" si="0"/>
      </c>
      <c r="AD269" s="115"/>
      <c r="AE269" s="115"/>
      <c r="AF269" s="115"/>
      <c r="AG269" s="117"/>
      <c r="AH269" s="117"/>
      <c r="AI269" s="117"/>
      <c r="AJ269" s="117"/>
    </row>
    <row r="270">
      <c r="A270" s="100"/>
      <c r="B270" s="101"/>
      <c r="C270" s="101"/>
      <c r="D270" s="101"/>
      <c r="E270" s="102"/>
      <c r="F270" s="103"/>
      <c r="G270" s="101"/>
      <c r="H270" s="101"/>
      <c r="I270" s="101"/>
      <c r="J270" s="101"/>
      <c r="K270" s="101"/>
      <c r="L270" s="101"/>
      <c r="M270" s="104"/>
      <c r="N270" s="97"/>
      <c r="O270" s="97"/>
      <c r="P270" s="97"/>
      <c r="Q270" s="97"/>
      <c r="R270" s="105"/>
      <c r="S270" s="101"/>
      <c r="T270" s="101"/>
      <c r="U270" s="101"/>
      <c r="V270" s="101"/>
      <c r="W270" s="101"/>
      <c r="X270" s="101"/>
      <c r="Y270" s="99"/>
      <c r="Z270" s="101"/>
      <c r="AA270" s="101"/>
      <c r="AB270" s="106"/>
      <c r="AC270" s="106"/>
      <c r="AD270" s="99"/>
      <c r="AE270" s="99"/>
      <c r="AF270" s="99"/>
      <c r="AG270" s="107"/>
      <c r="AH270" s="107"/>
      <c r="AI270" s="107"/>
      <c r="AJ270" s="107"/>
    </row>
    <row r="271">
      <c r="A271" s="100"/>
      <c r="B271" s="101"/>
      <c r="C271" s="101"/>
      <c r="D271" s="101"/>
      <c r="E271" s="102"/>
      <c r="F271" s="103"/>
      <c r="G271" s="101"/>
      <c r="H271" s="101"/>
      <c r="I271" s="101"/>
      <c r="J271" s="101"/>
      <c r="K271" s="101"/>
      <c r="L271" s="101"/>
      <c r="M271" s="104"/>
      <c r="N271" s="97"/>
      <c r="O271" s="97"/>
      <c r="P271" s="97"/>
      <c r="Q271" s="97"/>
      <c r="R271" s="105"/>
      <c r="S271" s="101"/>
      <c r="T271" s="101"/>
      <c r="U271" s="101"/>
      <c r="V271" s="101"/>
      <c r="W271" s="101"/>
      <c r="X271" s="101"/>
      <c r="Y271" s="99"/>
      <c r="Z271" s="101"/>
      <c r="AA271" s="101"/>
      <c r="AB271" s="106"/>
      <c r="AC271" s="106"/>
      <c r="AD271" s="99"/>
      <c r="AE271" s="99"/>
      <c r="AF271" s="99"/>
      <c r="AG271" s="107"/>
      <c r="AH271" s="107"/>
      <c r="AI271" s="107"/>
      <c r="AJ271" s="107"/>
    </row>
    <row r="272">
      <c r="A272" s="100"/>
      <c r="B272" s="101"/>
      <c r="C272" s="101"/>
      <c r="D272" s="101"/>
      <c r="E272" s="102"/>
      <c r="F272" s="103"/>
      <c r="G272" s="101"/>
      <c r="H272" s="101"/>
      <c r="I272" s="101"/>
      <c r="J272" s="101"/>
      <c r="K272" s="101"/>
      <c r="L272" s="101"/>
      <c r="M272" s="104"/>
      <c r="N272" s="97"/>
      <c r="O272" s="97"/>
      <c r="P272" s="97"/>
      <c r="Q272" s="97"/>
      <c r="R272" s="105"/>
      <c r="S272" s="101"/>
      <c r="T272" s="101"/>
      <c r="U272" s="101"/>
      <c r="V272" s="101"/>
      <c r="W272" s="101"/>
      <c r="X272" s="101"/>
      <c r="Y272" s="99"/>
      <c r="Z272" s="101"/>
      <c r="AA272" s="101"/>
      <c r="AB272" s="106"/>
      <c r="AC272" s="106"/>
      <c r="AD272" s="99"/>
      <c r="AE272" s="99"/>
      <c r="AF272" s="99"/>
      <c r="AG272" s="107"/>
      <c r="AH272" s="107"/>
      <c r="AI272" s="107"/>
      <c r="AJ272" s="107"/>
    </row>
    <row r="273">
      <c r="A273" s="100"/>
      <c r="B273" s="101"/>
      <c r="C273" s="101"/>
      <c r="D273" s="101"/>
      <c r="E273" s="102"/>
      <c r="F273" s="103"/>
      <c r="G273" s="101"/>
      <c r="H273" s="101"/>
      <c r="I273" s="101"/>
      <c r="J273" s="101"/>
      <c r="K273" s="101"/>
      <c r="L273" s="101"/>
      <c r="M273" s="104"/>
      <c r="N273" s="97"/>
      <c r="O273" s="97"/>
      <c r="P273" s="97"/>
      <c r="Q273" s="97"/>
      <c r="R273" s="105"/>
      <c r="S273" s="101"/>
      <c r="T273" s="101"/>
      <c r="U273" s="101"/>
      <c r="V273" s="101"/>
      <c r="W273" s="101"/>
      <c r="X273" s="101"/>
      <c r="Y273" s="99"/>
      <c r="Z273" s="101"/>
      <c r="AA273" s="101"/>
      <c r="AB273" s="106"/>
      <c r="AC273" s="106"/>
      <c r="AD273" s="99"/>
      <c r="AE273" s="99"/>
      <c r="AF273" s="99"/>
      <c r="AG273" s="107"/>
      <c r="AH273" s="107"/>
      <c r="AI273" s="107"/>
      <c r="AJ273" s="107"/>
    </row>
    <row r="274">
      <c r="A274" s="100"/>
      <c r="B274" s="101"/>
      <c r="C274" s="101"/>
      <c r="D274" s="101"/>
      <c r="E274" s="102"/>
      <c r="F274" s="103"/>
      <c r="G274" s="101"/>
      <c r="H274" s="101"/>
      <c r="I274" s="101"/>
      <c r="J274" s="101"/>
      <c r="K274" s="101"/>
      <c r="L274" s="101"/>
      <c r="M274" s="104"/>
      <c r="N274" s="97"/>
      <c r="O274" s="97"/>
      <c r="P274" s="97"/>
      <c r="Q274" s="97"/>
      <c r="R274" s="105"/>
      <c r="S274" s="101"/>
      <c r="T274" s="101"/>
      <c r="U274" s="101"/>
      <c r="V274" s="101"/>
      <c r="W274" s="101"/>
      <c r="X274" s="101"/>
      <c r="Y274" s="99"/>
      <c r="Z274" s="101"/>
      <c r="AA274" s="101"/>
      <c r="AB274" s="106"/>
      <c r="AC274" s="106"/>
      <c r="AD274" s="99"/>
      <c r="AE274" s="99"/>
      <c r="AF274" s="99"/>
      <c r="AG274" s="107"/>
      <c r="AH274" s="107"/>
      <c r="AI274" s="107"/>
      <c r="AJ274" s="107"/>
    </row>
    <row r="275">
      <c r="A275" s="100"/>
      <c r="B275" s="101"/>
      <c r="C275" s="101"/>
      <c r="D275" s="101"/>
      <c r="E275" s="102"/>
      <c r="F275" s="103"/>
      <c r="G275" s="101"/>
      <c r="H275" s="101"/>
      <c r="I275" s="101"/>
      <c r="J275" s="101"/>
      <c r="K275" s="101"/>
      <c r="L275" s="101"/>
      <c r="M275" s="104"/>
      <c r="N275" s="97"/>
      <c r="O275" s="97"/>
      <c r="P275" s="97"/>
      <c r="Q275" s="97"/>
      <c r="R275" s="105"/>
      <c r="S275" s="101"/>
      <c r="T275" s="101"/>
      <c r="U275" s="101"/>
      <c r="V275" s="101"/>
      <c r="W275" s="101"/>
      <c r="X275" s="101"/>
      <c r="Y275" s="99"/>
      <c r="Z275" s="101"/>
      <c r="AA275" s="101"/>
      <c r="AB275" s="106"/>
      <c r="AC275" s="106"/>
      <c r="AD275" s="99"/>
      <c r="AE275" s="99"/>
      <c r="AF275" s="99"/>
      <c r="AG275" s="107"/>
      <c r="AH275" s="107"/>
      <c r="AI275" s="107"/>
      <c r="AJ275" s="107"/>
    </row>
    <row r="276">
      <c r="A276" s="100"/>
      <c r="B276" s="101"/>
      <c r="C276" s="101"/>
      <c r="D276" s="101"/>
      <c r="E276" s="102"/>
      <c r="F276" s="103"/>
      <c r="G276" s="101"/>
      <c r="H276" s="101"/>
      <c r="I276" s="101"/>
      <c r="J276" s="101"/>
      <c r="K276" s="101"/>
      <c r="L276" s="101"/>
      <c r="M276" s="104"/>
      <c r="N276" s="97"/>
      <c r="O276" s="97"/>
      <c r="P276" s="97"/>
      <c r="Q276" s="97"/>
      <c r="R276" s="105"/>
      <c r="S276" s="101"/>
      <c r="T276" s="101"/>
      <c r="U276" s="101"/>
      <c r="V276" s="101"/>
      <c r="W276" s="101"/>
      <c r="X276" s="101"/>
      <c r="Y276" s="99"/>
      <c r="Z276" s="101"/>
      <c r="AA276" s="101"/>
      <c r="AB276" s="106"/>
      <c r="AC276" s="106"/>
      <c r="AD276" s="99"/>
      <c r="AE276" s="99"/>
      <c r="AF276" s="99"/>
      <c r="AG276" s="107"/>
      <c r="AH276" s="107"/>
      <c r="AI276" s="107"/>
      <c r="AJ276" s="107"/>
    </row>
    <row r="277">
      <c r="A277" s="100"/>
      <c r="B277" s="101"/>
      <c r="C277" s="101"/>
      <c r="D277" s="101"/>
      <c r="E277" s="102"/>
      <c r="F277" s="103"/>
      <c r="G277" s="101"/>
      <c r="H277" s="101"/>
      <c r="I277" s="101"/>
      <c r="J277" s="101"/>
      <c r="K277" s="101"/>
      <c r="L277" s="101"/>
      <c r="M277" s="104"/>
      <c r="N277" s="97"/>
      <c r="O277" s="97"/>
      <c r="P277" s="97"/>
      <c r="Q277" s="97"/>
      <c r="R277" s="105"/>
      <c r="S277" s="101"/>
      <c r="T277" s="101"/>
      <c r="U277" s="101"/>
      <c r="V277" s="101"/>
      <c r="W277" s="101"/>
      <c r="X277" s="101"/>
      <c r="Y277" s="99"/>
      <c r="Z277" s="101"/>
      <c r="AA277" s="101"/>
      <c r="AB277" s="106"/>
      <c r="AC277" s="106"/>
      <c r="AD277" s="99"/>
      <c r="AE277" s="99"/>
      <c r="AF277" s="99"/>
      <c r="AG277" s="107"/>
      <c r="AH277" s="107"/>
      <c r="AI277" s="107"/>
      <c r="AJ277" s="107"/>
    </row>
    <row r="278">
      <c r="A278" s="100"/>
      <c r="B278" s="101"/>
      <c r="C278" s="101"/>
      <c r="D278" s="101"/>
      <c r="E278" s="102"/>
      <c r="F278" s="103"/>
      <c r="G278" s="101"/>
      <c r="H278" s="101"/>
      <c r="I278" s="101"/>
      <c r="J278" s="101"/>
      <c r="K278" s="101"/>
      <c r="L278" s="101"/>
      <c r="M278" s="104"/>
      <c r="N278" s="97"/>
      <c r="O278" s="97"/>
      <c r="P278" s="97"/>
      <c r="Q278" s="97"/>
      <c r="R278" s="105"/>
      <c r="S278" s="101"/>
      <c r="T278" s="101"/>
      <c r="U278" s="101"/>
      <c r="V278" s="101"/>
      <c r="W278" s="101"/>
      <c r="X278" s="101"/>
      <c r="Y278" s="99"/>
      <c r="Z278" s="101"/>
      <c r="AA278" s="101"/>
      <c r="AB278" s="106"/>
      <c r="AC278" s="106"/>
      <c r="AD278" s="99"/>
      <c r="AE278" s="99"/>
      <c r="AF278" s="99"/>
      <c r="AG278" s="107"/>
      <c r="AH278" s="107"/>
      <c r="AI278" s="107"/>
      <c r="AJ278" s="107"/>
    </row>
    <row r="279">
      <c r="A279" s="100"/>
      <c r="B279" s="101"/>
      <c r="C279" s="101"/>
      <c r="D279" s="101"/>
      <c r="E279" s="102"/>
      <c r="F279" s="103"/>
      <c r="G279" s="101"/>
      <c r="H279" s="101"/>
      <c r="I279" s="101"/>
      <c r="J279" s="101"/>
      <c r="K279" s="101"/>
      <c r="L279" s="101"/>
      <c r="M279" s="104"/>
      <c r="N279" s="97"/>
      <c r="O279" s="97"/>
      <c r="P279" s="97"/>
      <c r="Q279" s="97"/>
      <c r="R279" s="105"/>
      <c r="S279" s="101"/>
      <c r="T279" s="101"/>
      <c r="U279" s="101"/>
      <c r="V279" s="101"/>
      <c r="W279" s="101"/>
      <c r="X279" s="101"/>
      <c r="Y279" s="99"/>
      <c r="Z279" s="101"/>
      <c r="AA279" s="101"/>
      <c r="AB279" s="106"/>
      <c r="AC279" s="106"/>
      <c r="AD279" s="99"/>
      <c r="AE279" s="99"/>
      <c r="AF279" s="99"/>
      <c r="AG279" s="107"/>
      <c r="AH279" s="107"/>
      <c r="AI279" s="107"/>
      <c r="AJ279" s="107"/>
    </row>
    <row r="280">
      <c r="A280" s="100"/>
      <c r="B280" s="101"/>
      <c r="C280" s="101"/>
      <c r="D280" s="101"/>
      <c r="E280" s="102"/>
      <c r="F280" s="103"/>
      <c r="G280" s="101"/>
      <c r="H280" s="101"/>
      <c r="I280" s="101"/>
      <c r="J280" s="101"/>
      <c r="K280" s="101"/>
      <c r="L280" s="101"/>
      <c r="M280" s="104"/>
      <c r="N280" s="97"/>
      <c r="O280" s="97"/>
      <c r="P280" s="97"/>
      <c r="Q280" s="97"/>
      <c r="R280" s="105"/>
      <c r="S280" s="101"/>
      <c r="T280" s="101"/>
      <c r="U280" s="101"/>
      <c r="V280" s="101"/>
      <c r="W280" s="101"/>
      <c r="X280" s="101"/>
      <c r="Y280" s="99"/>
      <c r="Z280" s="101"/>
      <c r="AA280" s="101"/>
      <c r="AB280" s="106"/>
      <c r="AC280" s="106"/>
      <c r="AD280" s="99"/>
      <c r="AE280" s="99"/>
      <c r="AF280" s="99"/>
      <c r="AG280" s="107"/>
      <c r="AH280" s="107"/>
      <c r="AI280" s="107"/>
      <c r="AJ280" s="107"/>
    </row>
    <row r="281">
      <c r="A281" s="100"/>
      <c r="B281" s="101"/>
      <c r="C281" s="101"/>
      <c r="D281" s="101"/>
      <c r="E281" s="102"/>
      <c r="F281" s="103"/>
      <c r="G281" s="101"/>
      <c r="H281" s="101"/>
      <c r="I281" s="101"/>
      <c r="J281" s="101"/>
      <c r="K281" s="101"/>
      <c r="L281" s="101"/>
      <c r="M281" s="104"/>
      <c r="N281" s="97"/>
      <c r="O281" s="97"/>
      <c r="P281" s="97"/>
      <c r="Q281" s="97"/>
      <c r="R281" s="105"/>
      <c r="S281" s="101"/>
      <c r="T281" s="101"/>
      <c r="U281" s="101"/>
      <c r="V281" s="101"/>
      <c r="W281" s="101"/>
      <c r="X281" s="101"/>
      <c r="Y281" s="99"/>
      <c r="Z281" s="101"/>
      <c r="AA281" s="101"/>
      <c r="AB281" s="106"/>
      <c r="AC281" s="106"/>
      <c r="AD281" s="99"/>
      <c r="AE281" s="99"/>
      <c r="AF281" s="99"/>
      <c r="AG281" s="107"/>
      <c r="AH281" s="107"/>
      <c r="AI281" s="107"/>
      <c r="AJ281" s="107"/>
    </row>
    <row r="282">
      <c r="A282" s="100"/>
      <c r="B282" s="101"/>
      <c r="C282" s="101"/>
      <c r="D282" s="101"/>
      <c r="E282" s="102"/>
      <c r="F282" s="103"/>
      <c r="G282" s="101"/>
      <c r="H282" s="101"/>
      <c r="I282" s="101"/>
      <c r="J282" s="101"/>
      <c r="K282" s="101"/>
      <c r="L282" s="101"/>
      <c r="M282" s="104"/>
      <c r="N282" s="97"/>
      <c r="O282" s="97"/>
      <c r="P282" s="97"/>
      <c r="Q282" s="97"/>
      <c r="R282" s="105"/>
      <c r="S282" s="101"/>
      <c r="T282" s="101"/>
      <c r="U282" s="101"/>
      <c r="V282" s="101"/>
      <c r="W282" s="101"/>
      <c r="X282" s="101"/>
      <c r="Y282" s="99"/>
      <c r="Z282" s="101"/>
      <c r="AA282" s="101"/>
      <c r="AB282" s="106"/>
      <c r="AC282" s="106"/>
      <c r="AD282" s="99"/>
      <c r="AE282" s="99"/>
      <c r="AF282" s="99"/>
      <c r="AG282" s="107"/>
      <c r="AH282" s="107"/>
      <c r="AI282" s="107"/>
      <c r="AJ282" s="107"/>
    </row>
    <row r="283">
      <c r="A283" s="100"/>
      <c r="B283" s="101"/>
      <c r="C283" s="101"/>
      <c r="D283" s="101"/>
      <c r="E283" s="102"/>
      <c r="F283" s="103"/>
      <c r="G283" s="101"/>
      <c r="H283" s="101"/>
      <c r="I283" s="101"/>
      <c r="J283" s="101"/>
      <c r="K283" s="101"/>
      <c r="L283" s="101"/>
      <c r="M283" s="104"/>
      <c r="N283" s="97"/>
      <c r="O283" s="97"/>
      <c r="P283" s="97"/>
      <c r="Q283" s="97"/>
      <c r="R283" s="105"/>
      <c r="S283" s="101"/>
      <c r="T283" s="101"/>
      <c r="U283" s="101"/>
      <c r="V283" s="101"/>
      <c r="W283" s="101"/>
      <c r="X283" s="101"/>
      <c r="Y283" s="99"/>
      <c r="Z283" s="101"/>
      <c r="AA283" s="101"/>
      <c r="AB283" s="106"/>
      <c r="AC283" s="106"/>
      <c r="AD283" s="99"/>
      <c r="AE283" s="99"/>
      <c r="AF283" s="99"/>
      <c r="AG283" s="107"/>
      <c r="AH283" s="107"/>
      <c r="AI283" s="107"/>
      <c r="AJ283" s="107"/>
    </row>
    <row r="284">
      <c r="A284" s="100"/>
      <c r="B284" s="101"/>
      <c r="C284" s="101"/>
      <c r="D284" s="101"/>
      <c r="E284" s="102"/>
      <c r="F284" s="103"/>
      <c r="G284" s="101"/>
      <c r="H284" s="101"/>
      <c r="I284" s="101"/>
      <c r="J284" s="101"/>
      <c r="K284" s="101"/>
      <c r="L284" s="101"/>
      <c r="M284" s="104"/>
      <c r="N284" s="97"/>
      <c r="O284" s="97"/>
      <c r="P284" s="97"/>
      <c r="Q284" s="97"/>
      <c r="R284" s="105"/>
      <c r="S284" s="101"/>
      <c r="T284" s="101"/>
      <c r="U284" s="101"/>
      <c r="V284" s="101"/>
      <c r="W284" s="101"/>
      <c r="X284" s="101"/>
      <c r="Y284" s="99"/>
      <c r="Z284" s="101"/>
      <c r="AA284" s="101"/>
      <c r="AB284" s="106"/>
      <c r="AC284" s="106"/>
      <c r="AD284" s="99"/>
      <c r="AE284" s="99"/>
      <c r="AF284" s="99"/>
      <c r="AG284" s="107"/>
      <c r="AH284" s="107"/>
      <c r="AI284" s="107"/>
      <c r="AJ284" s="107"/>
    </row>
    <row r="285">
      <c r="A285" s="100"/>
      <c r="B285" s="101"/>
      <c r="C285" s="101"/>
      <c r="D285" s="101"/>
      <c r="E285" s="102"/>
      <c r="F285" s="103"/>
      <c r="G285" s="101"/>
      <c r="H285" s="101"/>
      <c r="I285" s="101"/>
      <c r="J285" s="101"/>
      <c r="K285" s="101"/>
      <c r="L285" s="101"/>
      <c r="M285" s="104"/>
      <c r="N285" s="97"/>
      <c r="O285" s="97"/>
      <c r="P285" s="97"/>
      <c r="Q285" s="97"/>
      <c r="R285" s="105"/>
      <c r="S285" s="101"/>
      <c r="T285" s="101"/>
      <c r="U285" s="101"/>
      <c r="V285" s="101"/>
      <c r="W285" s="101"/>
      <c r="X285" s="101"/>
      <c r="Y285" s="99"/>
      <c r="Z285" s="101"/>
      <c r="AA285" s="101"/>
      <c r="AB285" s="106"/>
      <c r="AC285" s="106"/>
      <c r="AD285" s="99"/>
      <c r="AE285" s="99"/>
      <c r="AF285" s="99"/>
      <c r="AG285" s="107"/>
      <c r="AH285" s="107"/>
      <c r="AI285" s="107"/>
      <c r="AJ285" s="107"/>
    </row>
    <row r="286">
      <c r="A286" s="100"/>
      <c r="B286" s="101"/>
      <c r="C286" s="101"/>
      <c r="D286" s="101"/>
      <c r="E286" s="102"/>
      <c r="F286" s="103"/>
      <c r="G286" s="101"/>
      <c r="H286" s="101"/>
      <c r="I286" s="101"/>
      <c r="J286" s="101"/>
      <c r="K286" s="101"/>
      <c r="L286" s="101"/>
      <c r="M286" s="104"/>
      <c r="N286" s="97"/>
      <c r="O286" s="97"/>
      <c r="P286" s="97"/>
      <c r="Q286" s="97"/>
      <c r="R286" s="105"/>
      <c r="S286" s="101"/>
      <c r="T286" s="101"/>
      <c r="U286" s="101"/>
      <c r="V286" s="101"/>
      <c r="W286" s="101"/>
      <c r="X286" s="101"/>
      <c r="Y286" s="99"/>
      <c r="Z286" s="101"/>
      <c r="AA286" s="101"/>
      <c r="AB286" s="106"/>
      <c r="AC286" s="106"/>
      <c r="AD286" s="99"/>
      <c r="AE286" s="99"/>
      <c r="AF286" s="99"/>
      <c r="AG286" s="107"/>
      <c r="AH286" s="107"/>
      <c r="AI286" s="107"/>
      <c r="AJ286" s="107"/>
    </row>
    <row r="287">
      <c r="A287" s="100"/>
      <c r="B287" s="101"/>
      <c r="C287" s="101"/>
      <c r="D287" s="101"/>
      <c r="E287" s="102"/>
      <c r="F287" s="103"/>
      <c r="G287" s="101"/>
      <c r="H287" s="101"/>
      <c r="I287" s="101"/>
      <c r="J287" s="101"/>
      <c r="K287" s="101"/>
      <c r="L287" s="101"/>
      <c r="M287" s="104"/>
      <c r="N287" s="97"/>
      <c r="O287" s="97"/>
      <c r="P287" s="97"/>
      <c r="Q287" s="97"/>
      <c r="R287" s="105"/>
      <c r="S287" s="101"/>
      <c r="T287" s="101"/>
      <c r="U287" s="101"/>
      <c r="V287" s="101"/>
      <c r="W287" s="101"/>
      <c r="X287" s="101"/>
      <c r="Y287" s="99"/>
      <c r="Z287" s="101"/>
      <c r="AA287" s="101"/>
      <c r="AB287" s="106"/>
      <c r="AC287" s="106"/>
      <c r="AD287" s="99"/>
      <c r="AE287" s="99"/>
      <c r="AF287" s="99"/>
      <c r="AG287" s="107"/>
      <c r="AH287" s="107"/>
      <c r="AI287" s="107"/>
      <c r="AJ287" s="107"/>
    </row>
    <row r="288">
      <c r="A288" s="100"/>
      <c r="B288" s="101"/>
      <c r="C288" s="101"/>
      <c r="D288" s="101"/>
      <c r="E288" s="102"/>
      <c r="F288" s="103"/>
      <c r="G288" s="101"/>
      <c r="H288" s="101"/>
      <c r="I288" s="101"/>
      <c r="J288" s="101"/>
      <c r="K288" s="101"/>
      <c r="L288" s="101"/>
      <c r="M288" s="104"/>
      <c r="N288" s="97"/>
      <c r="O288" s="97"/>
      <c r="P288" s="97"/>
      <c r="Q288" s="97"/>
      <c r="R288" s="105"/>
      <c r="S288" s="101"/>
      <c r="T288" s="101"/>
      <c r="U288" s="101"/>
      <c r="V288" s="101"/>
      <c r="W288" s="101"/>
      <c r="X288" s="101"/>
      <c r="Y288" s="99"/>
      <c r="Z288" s="101"/>
      <c r="AA288" s="101"/>
      <c r="AB288" s="106"/>
      <c r="AC288" s="106"/>
      <c r="AD288" s="99"/>
      <c r="AE288" s="99"/>
      <c r="AF288" s="99"/>
      <c r="AG288" s="107"/>
      <c r="AH288" s="107"/>
      <c r="AI288" s="107"/>
      <c r="AJ288" s="107"/>
    </row>
    <row r="289">
      <c r="A289" s="100"/>
      <c r="B289" s="101"/>
      <c r="C289" s="101"/>
      <c r="D289" s="101"/>
      <c r="E289" s="102"/>
      <c r="F289" s="103"/>
      <c r="G289" s="101"/>
      <c r="H289" s="101"/>
      <c r="I289" s="101"/>
      <c r="J289" s="101"/>
      <c r="K289" s="101"/>
      <c r="L289" s="101"/>
      <c r="M289" s="104"/>
      <c r="N289" s="97"/>
      <c r="O289" s="97"/>
      <c r="P289" s="97"/>
      <c r="Q289" s="97"/>
      <c r="R289" s="105"/>
      <c r="S289" s="101"/>
      <c r="T289" s="101"/>
      <c r="U289" s="101"/>
      <c r="V289" s="101"/>
      <c r="W289" s="101"/>
      <c r="X289" s="101"/>
      <c r="Y289" s="99"/>
      <c r="Z289" s="101"/>
      <c r="AA289" s="101"/>
      <c r="AB289" s="106"/>
      <c r="AC289" s="106"/>
      <c r="AD289" s="99"/>
      <c r="AE289" s="99"/>
      <c r="AF289" s="99"/>
      <c r="AG289" s="107"/>
      <c r="AH289" s="107"/>
      <c r="AI289" s="107"/>
      <c r="AJ289" s="107"/>
    </row>
    <row r="290">
      <c r="A290" s="100"/>
      <c r="B290" s="101"/>
      <c r="C290" s="101"/>
      <c r="D290" s="101"/>
      <c r="E290" s="102"/>
      <c r="F290" s="103"/>
      <c r="G290" s="101"/>
      <c r="H290" s="101"/>
      <c r="I290" s="101"/>
      <c r="J290" s="101"/>
      <c r="K290" s="101"/>
      <c r="L290" s="101"/>
      <c r="M290" s="104"/>
      <c r="N290" s="97"/>
      <c r="O290" s="97"/>
      <c r="P290" s="97"/>
      <c r="Q290" s="97"/>
      <c r="R290" s="105"/>
      <c r="S290" s="101"/>
      <c r="T290" s="101"/>
      <c r="U290" s="101"/>
      <c r="V290" s="101"/>
      <c r="W290" s="101"/>
      <c r="X290" s="101"/>
      <c r="Y290" s="99"/>
      <c r="Z290" s="101"/>
      <c r="AA290" s="101"/>
      <c r="AB290" s="106"/>
      <c r="AC290" s="106"/>
      <c r="AD290" s="99"/>
      <c r="AE290" s="99"/>
      <c r="AF290" s="99"/>
      <c r="AG290" s="107"/>
      <c r="AH290" s="107"/>
      <c r="AI290" s="107"/>
      <c r="AJ290" s="107"/>
    </row>
    <row r="291">
      <c r="A291" s="100"/>
      <c r="B291" s="101"/>
      <c r="C291" s="101"/>
      <c r="D291" s="101"/>
      <c r="E291" s="102"/>
      <c r="F291" s="103"/>
      <c r="G291" s="101"/>
      <c r="H291" s="101"/>
      <c r="I291" s="101"/>
      <c r="J291" s="101"/>
      <c r="K291" s="101"/>
      <c r="L291" s="101"/>
      <c r="M291" s="104"/>
      <c r="N291" s="97"/>
      <c r="O291" s="97"/>
      <c r="P291" s="97"/>
      <c r="Q291" s="97"/>
      <c r="R291" s="105"/>
      <c r="S291" s="101"/>
      <c r="T291" s="101"/>
      <c r="U291" s="101"/>
      <c r="V291" s="101"/>
      <c r="W291" s="101"/>
      <c r="X291" s="101"/>
      <c r="Y291" s="99"/>
      <c r="Z291" s="101"/>
      <c r="AA291" s="101"/>
      <c r="AB291" s="106"/>
      <c r="AC291" s="106"/>
      <c r="AD291" s="99"/>
      <c r="AE291" s="99"/>
      <c r="AF291" s="99"/>
      <c r="AG291" s="107"/>
      <c r="AH291" s="107"/>
      <c r="AI291" s="107"/>
      <c r="AJ291" s="107"/>
    </row>
    <row r="292">
      <c r="A292" s="100"/>
      <c r="B292" s="101"/>
      <c r="C292" s="101"/>
      <c r="D292" s="101"/>
      <c r="E292" s="102"/>
      <c r="F292" s="103"/>
      <c r="G292" s="101"/>
      <c r="H292" s="101"/>
      <c r="I292" s="101"/>
      <c r="J292" s="101"/>
      <c r="K292" s="101"/>
      <c r="L292" s="101"/>
      <c r="M292" s="104"/>
      <c r="N292" s="97"/>
      <c r="O292" s="97"/>
      <c r="P292" s="97"/>
      <c r="Q292" s="97"/>
      <c r="R292" s="105"/>
      <c r="S292" s="101"/>
      <c r="T292" s="101"/>
      <c r="U292" s="101"/>
      <c r="V292" s="101"/>
      <c r="W292" s="101"/>
      <c r="X292" s="101"/>
      <c r="Y292" s="99"/>
      <c r="Z292" s="101"/>
      <c r="AA292" s="101"/>
      <c r="AB292" s="106"/>
      <c r="AC292" s="106"/>
      <c r="AD292" s="99"/>
      <c r="AE292" s="99"/>
      <c r="AF292" s="99"/>
      <c r="AG292" s="107"/>
      <c r="AH292" s="107"/>
      <c r="AI292" s="107"/>
      <c r="AJ292" s="107"/>
    </row>
    <row r="293">
      <c r="A293" s="100"/>
      <c r="B293" s="101"/>
      <c r="C293" s="101"/>
      <c r="D293" s="101"/>
      <c r="E293" s="102"/>
      <c r="F293" s="103"/>
      <c r="G293" s="101"/>
      <c r="H293" s="101"/>
      <c r="I293" s="101"/>
      <c r="J293" s="101"/>
      <c r="K293" s="101"/>
      <c r="L293" s="101"/>
      <c r="M293" s="104"/>
      <c r="N293" s="97"/>
      <c r="O293" s="97"/>
      <c r="P293" s="97"/>
      <c r="Q293" s="97"/>
      <c r="R293" s="105"/>
      <c r="S293" s="101"/>
      <c r="T293" s="101"/>
      <c r="U293" s="101"/>
      <c r="V293" s="101"/>
      <c r="W293" s="101"/>
      <c r="X293" s="101"/>
      <c r="Y293" s="99"/>
      <c r="Z293" s="101"/>
      <c r="AA293" s="101"/>
      <c r="AB293" s="106"/>
      <c r="AC293" s="106"/>
      <c r="AD293" s="99"/>
      <c r="AE293" s="99"/>
      <c r="AF293" s="99"/>
      <c r="AG293" s="107"/>
      <c r="AH293" s="107"/>
      <c r="AI293" s="107"/>
      <c r="AJ293" s="107"/>
    </row>
    <row r="294">
      <c r="A294" s="100"/>
      <c r="B294" s="101"/>
      <c r="C294" s="101"/>
      <c r="D294" s="101"/>
      <c r="E294" s="102"/>
      <c r="F294" s="103"/>
      <c r="G294" s="101"/>
      <c r="H294" s="101"/>
      <c r="I294" s="101"/>
      <c r="J294" s="101"/>
      <c r="K294" s="101"/>
      <c r="L294" s="101"/>
      <c r="M294" s="104"/>
      <c r="N294" s="97"/>
      <c r="O294" s="97"/>
      <c r="P294" s="97"/>
      <c r="Q294" s="97"/>
      <c r="R294" s="105"/>
      <c r="S294" s="101"/>
      <c r="T294" s="101"/>
      <c r="U294" s="101"/>
      <c r="V294" s="101"/>
      <c r="W294" s="101"/>
      <c r="X294" s="101"/>
      <c r="Y294" s="99"/>
      <c r="Z294" s="101"/>
      <c r="AA294" s="101"/>
      <c r="AB294" s="106"/>
      <c r="AC294" s="106"/>
      <c r="AD294" s="99"/>
      <c r="AE294" s="99"/>
      <c r="AF294" s="99"/>
      <c r="AG294" s="107"/>
      <c r="AH294" s="107"/>
      <c r="AI294" s="107"/>
      <c r="AJ294" s="107"/>
    </row>
    <row r="295">
      <c r="A295" s="100"/>
      <c r="B295" s="101"/>
      <c r="C295" s="101"/>
      <c r="D295" s="101"/>
      <c r="E295" s="102"/>
      <c r="F295" s="103"/>
      <c r="G295" s="101"/>
      <c r="H295" s="101"/>
      <c r="I295" s="101"/>
      <c r="J295" s="101"/>
      <c r="K295" s="101"/>
      <c r="L295" s="101"/>
      <c r="M295" s="104"/>
      <c r="N295" s="97"/>
      <c r="O295" s="97"/>
      <c r="P295" s="97"/>
      <c r="Q295" s="97"/>
      <c r="R295" s="105"/>
      <c r="S295" s="101"/>
      <c r="T295" s="101"/>
      <c r="U295" s="101"/>
      <c r="V295" s="101"/>
      <c r="W295" s="101"/>
      <c r="X295" s="101"/>
      <c r="Y295" s="99"/>
      <c r="Z295" s="101"/>
      <c r="AA295" s="101"/>
      <c r="AB295" s="106"/>
      <c r="AC295" s="106"/>
      <c r="AD295" s="99"/>
      <c r="AE295" s="99"/>
      <c r="AF295" s="99"/>
      <c r="AG295" s="107"/>
      <c r="AH295" s="107"/>
      <c r="AI295" s="107"/>
      <c r="AJ295" s="107"/>
    </row>
    <row r="296">
      <c r="A296" s="100"/>
      <c r="B296" s="101"/>
      <c r="C296" s="101"/>
      <c r="D296" s="101"/>
      <c r="E296" s="102"/>
      <c r="F296" s="103"/>
      <c r="G296" s="101"/>
      <c r="H296" s="101"/>
      <c r="I296" s="101"/>
      <c r="J296" s="101"/>
      <c r="K296" s="101"/>
      <c r="L296" s="101"/>
      <c r="M296" s="104"/>
      <c r="N296" s="97"/>
      <c r="O296" s="97"/>
      <c r="P296" s="97"/>
      <c r="Q296" s="97"/>
      <c r="R296" s="105"/>
      <c r="S296" s="101"/>
      <c r="T296" s="101"/>
      <c r="U296" s="101"/>
      <c r="V296" s="101"/>
      <c r="W296" s="101"/>
      <c r="X296" s="101"/>
      <c r="Y296" s="99"/>
      <c r="Z296" s="101"/>
      <c r="AA296" s="101"/>
      <c r="AB296" s="106"/>
      <c r="AC296" s="106"/>
      <c r="AD296" s="99"/>
      <c r="AE296" s="99"/>
      <c r="AF296" s="99"/>
      <c r="AG296" s="107"/>
      <c r="AH296" s="107"/>
      <c r="AI296" s="107"/>
      <c r="AJ296" s="107"/>
    </row>
    <row r="297">
      <c r="A297" s="100"/>
      <c r="B297" s="101"/>
      <c r="C297" s="101"/>
      <c r="D297" s="101"/>
      <c r="E297" s="102"/>
      <c r="F297" s="103"/>
      <c r="G297" s="101"/>
      <c r="H297" s="101"/>
      <c r="I297" s="101"/>
      <c r="J297" s="101"/>
      <c r="K297" s="101"/>
      <c r="L297" s="101"/>
      <c r="M297" s="104"/>
      <c r="N297" s="97"/>
      <c r="O297" s="97"/>
      <c r="P297" s="97"/>
      <c r="Q297" s="97"/>
      <c r="R297" s="105"/>
      <c r="S297" s="101"/>
      <c r="T297" s="101"/>
      <c r="U297" s="101"/>
      <c r="V297" s="101"/>
      <c r="W297" s="101"/>
      <c r="X297" s="101"/>
      <c r="Y297" s="99"/>
      <c r="Z297" s="101"/>
      <c r="AA297" s="101"/>
      <c r="AB297" s="106"/>
      <c r="AC297" s="106"/>
      <c r="AD297" s="99"/>
      <c r="AE297" s="99"/>
      <c r="AF297" s="99"/>
      <c r="AG297" s="107"/>
      <c r="AH297" s="107"/>
      <c r="AI297" s="107"/>
      <c r="AJ297" s="107"/>
    </row>
    <row r="298">
      <c r="A298" s="100"/>
      <c r="B298" s="101"/>
      <c r="C298" s="101"/>
      <c r="D298" s="101"/>
      <c r="E298" s="102"/>
      <c r="F298" s="103"/>
      <c r="G298" s="101"/>
      <c r="H298" s="101"/>
      <c r="I298" s="101"/>
      <c r="J298" s="101"/>
      <c r="K298" s="101"/>
      <c r="L298" s="101"/>
      <c r="M298" s="104"/>
      <c r="N298" s="97"/>
      <c r="O298" s="97"/>
      <c r="P298" s="97"/>
      <c r="Q298" s="97"/>
      <c r="R298" s="105"/>
      <c r="S298" s="101"/>
      <c r="T298" s="101"/>
      <c r="U298" s="101"/>
      <c r="V298" s="101"/>
      <c r="W298" s="101"/>
      <c r="X298" s="101"/>
      <c r="Y298" s="99"/>
      <c r="Z298" s="101"/>
      <c r="AA298" s="101"/>
      <c r="AB298" s="106"/>
      <c r="AC298" s="106"/>
      <c r="AD298" s="99"/>
      <c r="AE298" s="99"/>
      <c r="AF298" s="99"/>
      <c r="AG298" s="107"/>
      <c r="AH298" s="107"/>
      <c r="AI298" s="107"/>
      <c r="AJ298" s="107"/>
    </row>
    <row r="299">
      <c r="A299" s="100"/>
      <c r="B299" s="101"/>
      <c r="C299" s="101"/>
      <c r="D299" s="101"/>
      <c r="E299" s="102"/>
      <c r="F299" s="103"/>
      <c r="G299" s="101"/>
      <c r="H299" s="101"/>
      <c r="I299" s="101"/>
      <c r="J299" s="101"/>
      <c r="K299" s="101"/>
      <c r="L299" s="101"/>
      <c r="M299" s="104"/>
      <c r="N299" s="97"/>
      <c r="O299" s="97"/>
      <c r="P299" s="97"/>
      <c r="Q299" s="97"/>
      <c r="R299" s="105"/>
      <c r="S299" s="101"/>
      <c r="T299" s="101"/>
      <c r="U299" s="101"/>
      <c r="V299" s="101"/>
      <c r="W299" s="101"/>
      <c r="X299" s="101"/>
      <c r="Y299" s="99"/>
      <c r="Z299" s="101"/>
      <c r="AA299" s="101"/>
      <c r="AB299" s="106"/>
      <c r="AC299" s="106"/>
      <c r="AD299" s="99"/>
      <c r="AE299" s="99"/>
      <c r="AF299" s="99"/>
      <c r="AG299" s="107"/>
      <c r="AH299" s="107"/>
      <c r="AI299" s="107"/>
      <c r="AJ299" s="107"/>
    </row>
    <row r="300">
      <c r="A300" s="100"/>
      <c r="B300" s="101"/>
      <c r="C300" s="101"/>
      <c r="D300" s="101"/>
      <c r="E300" s="102"/>
      <c r="F300" s="103"/>
      <c r="G300" s="101"/>
      <c r="H300" s="101"/>
      <c r="I300" s="101"/>
      <c r="J300" s="101"/>
      <c r="K300" s="101"/>
      <c r="L300" s="101"/>
      <c r="M300" s="104"/>
      <c r="N300" s="97"/>
      <c r="O300" s="97"/>
      <c r="P300" s="97"/>
      <c r="Q300" s="97"/>
      <c r="R300" s="105"/>
      <c r="S300" s="101"/>
      <c r="T300" s="101"/>
      <c r="U300" s="101"/>
      <c r="V300" s="101"/>
      <c r="W300" s="101"/>
      <c r="X300" s="101"/>
      <c r="Y300" s="99"/>
      <c r="Z300" s="101"/>
      <c r="AA300" s="101"/>
      <c r="AB300" s="106"/>
      <c r="AC300" s="106"/>
      <c r="AD300" s="99"/>
      <c r="AE300" s="99"/>
      <c r="AF300" s="99"/>
      <c r="AG300" s="107"/>
      <c r="AH300" s="107"/>
      <c r="AI300" s="107"/>
      <c r="AJ300" s="107"/>
    </row>
    <row r="301">
      <c r="A301" s="100"/>
      <c r="B301" s="101"/>
      <c r="C301" s="101"/>
      <c r="D301" s="101"/>
      <c r="E301" s="102"/>
      <c r="F301" s="103"/>
      <c r="G301" s="101"/>
      <c r="H301" s="101"/>
      <c r="I301" s="101"/>
      <c r="J301" s="101"/>
      <c r="K301" s="101"/>
      <c r="L301" s="101"/>
      <c r="M301" s="104"/>
      <c r="N301" s="97"/>
      <c r="O301" s="97"/>
      <c r="P301" s="97"/>
      <c r="Q301" s="97"/>
      <c r="R301" s="105"/>
      <c r="S301" s="101"/>
      <c r="T301" s="101"/>
      <c r="U301" s="101"/>
      <c r="V301" s="101"/>
      <c r="W301" s="101"/>
      <c r="X301" s="101"/>
      <c r="Y301" s="99"/>
      <c r="Z301" s="101"/>
      <c r="AA301" s="101"/>
      <c r="AB301" s="106"/>
      <c r="AC301" s="106"/>
      <c r="AD301" s="99"/>
      <c r="AE301" s="99"/>
      <c r="AF301" s="99"/>
      <c r="AG301" s="107"/>
      <c r="AH301" s="107"/>
      <c r="AI301" s="107"/>
      <c r="AJ301" s="107"/>
    </row>
    <row r="302">
      <c r="A302" s="100"/>
      <c r="B302" s="101"/>
      <c r="C302" s="101"/>
      <c r="D302" s="101"/>
      <c r="E302" s="102"/>
      <c r="F302" s="103"/>
      <c r="G302" s="101"/>
      <c r="H302" s="101"/>
      <c r="I302" s="101"/>
      <c r="J302" s="101"/>
      <c r="K302" s="101"/>
      <c r="L302" s="101"/>
      <c r="M302" s="104"/>
      <c r="N302" s="97"/>
      <c r="O302" s="97"/>
      <c r="P302" s="97"/>
      <c r="Q302" s="97"/>
      <c r="R302" s="105"/>
      <c r="S302" s="101"/>
      <c r="T302" s="101"/>
      <c r="U302" s="101"/>
      <c r="V302" s="101"/>
      <c r="W302" s="101"/>
      <c r="X302" s="101"/>
      <c r="Y302" s="99"/>
      <c r="Z302" s="101"/>
      <c r="AA302" s="101"/>
      <c r="AB302" s="106"/>
      <c r="AC302" s="106"/>
      <c r="AD302" s="99"/>
      <c r="AE302" s="99"/>
      <c r="AF302" s="99"/>
      <c r="AG302" s="107"/>
      <c r="AH302" s="107"/>
      <c r="AI302" s="107"/>
      <c r="AJ302" s="107"/>
    </row>
    <row r="303">
      <c r="A303" s="100"/>
      <c r="B303" s="101"/>
      <c r="C303" s="101"/>
      <c r="D303" s="101"/>
      <c r="E303" s="102"/>
      <c r="F303" s="103"/>
      <c r="G303" s="101"/>
      <c r="H303" s="101"/>
      <c r="I303" s="101"/>
      <c r="J303" s="101"/>
      <c r="K303" s="101"/>
      <c r="L303" s="101"/>
      <c r="M303" s="104"/>
      <c r="N303" s="97"/>
      <c r="O303" s="97"/>
      <c r="P303" s="97"/>
      <c r="Q303" s="97"/>
      <c r="R303" s="105"/>
      <c r="S303" s="101"/>
      <c r="T303" s="101"/>
      <c r="U303" s="101"/>
      <c r="V303" s="101"/>
      <c r="W303" s="101"/>
      <c r="X303" s="101"/>
      <c r="Y303" s="99"/>
      <c r="Z303" s="101"/>
      <c r="AA303" s="101"/>
      <c r="AB303" s="106"/>
      <c r="AC303" s="106"/>
      <c r="AD303" s="99"/>
      <c r="AE303" s="99"/>
      <c r="AF303" s="99"/>
      <c r="AG303" s="107"/>
      <c r="AH303" s="107"/>
      <c r="AI303" s="107"/>
      <c r="AJ303" s="107"/>
    </row>
    <row r="304">
      <c r="A304" s="100"/>
      <c r="B304" s="101"/>
      <c r="C304" s="101"/>
      <c r="D304" s="101"/>
      <c r="E304" s="102"/>
      <c r="F304" s="103"/>
      <c r="G304" s="101"/>
      <c r="H304" s="101"/>
      <c r="I304" s="101"/>
      <c r="J304" s="101"/>
      <c r="K304" s="101"/>
      <c r="L304" s="101"/>
      <c r="M304" s="104"/>
      <c r="N304" s="97"/>
      <c r="O304" s="97"/>
      <c r="P304" s="97"/>
      <c r="Q304" s="97"/>
      <c r="R304" s="105"/>
      <c r="S304" s="101"/>
      <c r="T304" s="101"/>
      <c r="U304" s="101"/>
      <c r="V304" s="101"/>
      <c r="W304" s="101"/>
      <c r="X304" s="101"/>
      <c r="Y304" s="99"/>
      <c r="Z304" s="101"/>
      <c r="AA304" s="101"/>
      <c r="AB304" s="106"/>
      <c r="AC304" s="106"/>
      <c r="AD304" s="99"/>
      <c r="AE304" s="99"/>
      <c r="AF304" s="99"/>
      <c r="AG304" s="107"/>
      <c r="AH304" s="107"/>
      <c r="AI304" s="107"/>
      <c r="AJ304" s="107"/>
    </row>
    <row r="305">
      <c r="A305" s="100"/>
      <c r="B305" s="101"/>
      <c r="C305" s="101"/>
      <c r="D305" s="101"/>
      <c r="E305" s="102"/>
      <c r="F305" s="103"/>
      <c r="G305" s="101"/>
      <c r="H305" s="101"/>
      <c r="I305" s="101"/>
      <c r="J305" s="101"/>
      <c r="K305" s="101"/>
      <c r="L305" s="101"/>
      <c r="M305" s="104"/>
      <c r="N305" s="97"/>
      <c r="O305" s="97"/>
      <c r="P305" s="97"/>
      <c r="Q305" s="97"/>
      <c r="R305" s="105"/>
      <c r="S305" s="101"/>
      <c r="T305" s="101"/>
      <c r="U305" s="101"/>
      <c r="V305" s="101"/>
      <c r="W305" s="101"/>
      <c r="X305" s="101"/>
      <c r="Y305" s="99"/>
      <c r="Z305" s="101"/>
      <c r="AA305" s="101"/>
      <c r="AB305" s="106"/>
      <c r="AC305" s="106"/>
      <c r="AD305" s="99"/>
      <c r="AE305" s="99"/>
      <c r="AF305" s="99"/>
      <c r="AG305" s="107"/>
      <c r="AH305" s="107"/>
      <c r="AI305" s="107"/>
      <c r="AJ305" s="107"/>
    </row>
    <row r="306">
      <c r="A306" s="100"/>
      <c r="B306" s="101"/>
      <c r="C306" s="101"/>
      <c r="D306" s="101"/>
      <c r="E306" s="102"/>
      <c r="F306" s="103"/>
      <c r="G306" s="101"/>
      <c r="H306" s="101"/>
      <c r="I306" s="101"/>
      <c r="J306" s="101"/>
      <c r="K306" s="101"/>
      <c r="L306" s="101"/>
      <c r="M306" s="104"/>
      <c r="N306" s="97"/>
      <c r="O306" s="97"/>
      <c r="P306" s="97"/>
      <c r="Q306" s="97"/>
      <c r="R306" s="105"/>
      <c r="S306" s="101"/>
      <c r="T306" s="101"/>
      <c r="U306" s="101"/>
      <c r="V306" s="101"/>
      <c r="W306" s="101"/>
      <c r="X306" s="101"/>
      <c r="Y306" s="99"/>
      <c r="Z306" s="101"/>
      <c r="AA306" s="101"/>
      <c r="AB306" s="106"/>
      <c r="AC306" s="106"/>
      <c r="AD306" s="99"/>
      <c r="AE306" s="99"/>
      <c r="AF306" s="99"/>
      <c r="AG306" s="107"/>
      <c r="AH306" s="107"/>
      <c r="AI306" s="107"/>
      <c r="AJ306" s="107"/>
    </row>
    <row r="307">
      <c r="A307" s="100"/>
      <c r="B307" s="101"/>
      <c r="C307" s="101"/>
      <c r="D307" s="101"/>
      <c r="E307" s="102"/>
      <c r="F307" s="103"/>
      <c r="G307" s="101"/>
      <c r="H307" s="101"/>
      <c r="I307" s="101"/>
      <c r="J307" s="101"/>
      <c r="K307" s="101"/>
      <c r="L307" s="101"/>
      <c r="M307" s="104"/>
      <c r="N307" s="97"/>
      <c r="O307" s="97"/>
      <c r="P307" s="97"/>
      <c r="Q307" s="97"/>
      <c r="R307" s="105"/>
      <c r="S307" s="101"/>
      <c r="T307" s="101"/>
      <c r="U307" s="101"/>
      <c r="V307" s="101"/>
      <c r="W307" s="101"/>
      <c r="X307" s="101"/>
      <c r="Y307" s="99"/>
      <c r="Z307" s="101"/>
      <c r="AA307" s="101"/>
      <c r="AB307" s="106"/>
      <c r="AC307" s="106"/>
      <c r="AD307" s="99"/>
      <c r="AE307" s="99"/>
      <c r="AF307" s="99"/>
      <c r="AG307" s="107"/>
      <c r="AH307" s="107"/>
      <c r="AI307" s="107"/>
      <c r="AJ307" s="107"/>
    </row>
    <row r="308">
      <c r="A308" s="100"/>
      <c r="B308" s="101"/>
      <c r="C308" s="101"/>
      <c r="D308" s="101"/>
      <c r="E308" s="102"/>
      <c r="F308" s="103"/>
      <c r="G308" s="101"/>
      <c r="H308" s="101"/>
      <c r="I308" s="101"/>
      <c r="J308" s="101"/>
      <c r="K308" s="101"/>
      <c r="L308" s="101"/>
      <c r="M308" s="104"/>
      <c r="N308" s="97"/>
      <c r="O308" s="97"/>
      <c r="P308" s="97"/>
      <c r="Q308" s="97"/>
      <c r="R308" s="105"/>
      <c r="S308" s="101"/>
      <c r="T308" s="101"/>
      <c r="U308" s="101"/>
      <c r="V308" s="101"/>
      <c r="W308" s="101"/>
      <c r="X308" s="101"/>
      <c r="Y308" s="99"/>
      <c r="Z308" s="101"/>
      <c r="AA308" s="101"/>
      <c r="AB308" s="106"/>
      <c r="AC308" s="106"/>
      <c r="AD308" s="99"/>
      <c r="AE308" s="99"/>
      <c r="AF308" s="99"/>
      <c r="AG308" s="107"/>
      <c r="AH308" s="107"/>
      <c r="AI308" s="107"/>
      <c r="AJ308" s="107"/>
    </row>
    <row r="309">
      <c r="A309" s="100"/>
      <c r="B309" s="101"/>
      <c r="C309" s="101"/>
      <c r="D309" s="101"/>
      <c r="E309" s="102"/>
      <c r="F309" s="103"/>
      <c r="G309" s="101"/>
      <c r="H309" s="101"/>
      <c r="I309" s="101"/>
      <c r="J309" s="101"/>
      <c r="K309" s="101"/>
      <c r="L309" s="101"/>
      <c r="M309" s="104"/>
      <c r="N309" s="97"/>
      <c r="O309" s="97"/>
      <c r="P309" s="97"/>
      <c r="Q309" s="97"/>
      <c r="R309" s="105"/>
      <c r="S309" s="101"/>
      <c r="T309" s="101"/>
      <c r="U309" s="101"/>
      <c r="V309" s="101"/>
      <c r="W309" s="101"/>
      <c r="X309" s="101"/>
      <c r="Y309" s="99"/>
      <c r="Z309" s="101"/>
      <c r="AA309" s="101"/>
      <c r="AB309" s="106"/>
      <c r="AC309" s="106"/>
      <c r="AD309" s="99"/>
      <c r="AE309" s="99"/>
      <c r="AF309" s="99"/>
      <c r="AG309" s="107"/>
      <c r="AH309" s="107"/>
      <c r="AI309" s="107"/>
      <c r="AJ309" s="107"/>
    </row>
    <row r="310">
      <c r="A310" s="100"/>
      <c r="B310" s="101"/>
      <c r="C310" s="101"/>
      <c r="D310" s="101"/>
      <c r="E310" s="102"/>
      <c r="F310" s="103"/>
      <c r="G310" s="101"/>
      <c r="H310" s="101"/>
      <c r="I310" s="101"/>
      <c r="J310" s="101"/>
      <c r="K310" s="101"/>
      <c r="L310" s="101"/>
      <c r="M310" s="104"/>
      <c r="N310" s="97"/>
      <c r="O310" s="97"/>
      <c r="P310" s="97"/>
      <c r="Q310" s="97"/>
      <c r="R310" s="105"/>
      <c r="S310" s="101"/>
      <c r="T310" s="101"/>
      <c r="U310" s="101"/>
      <c r="V310" s="101"/>
      <c r="W310" s="101"/>
      <c r="X310" s="101"/>
      <c r="Y310" s="99"/>
      <c r="Z310" s="101"/>
      <c r="AA310" s="101"/>
      <c r="AB310" s="106"/>
      <c r="AC310" s="106"/>
      <c r="AD310" s="99"/>
      <c r="AE310" s="99"/>
      <c r="AF310" s="99"/>
      <c r="AG310" s="107"/>
      <c r="AH310" s="107"/>
      <c r="AI310" s="107"/>
      <c r="AJ310" s="107"/>
    </row>
    <row r="311">
      <c r="A311" s="100"/>
      <c r="B311" s="101"/>
      <c r="C311" s="101"/>
      <c r="D311" s="101"/>
      <c r="E311" s="102"/>
      <c r="F311" s="103"/>
      <c r="G311" s="101"/>
      <c r="H311" s="101"/>
      <c r="I311" s="101"/>
      <c r="J311" s="101"/>
      <c r="K311" s="101"/>
      <c r="L311" s="101"/>
      <c r="M311" s="104"/>
      <c r="N311" s="97"/>
      <c r="O311" s="97"/>
      <c r="P311" s="97"/>
      <c r="Q311" s="97"/>
      <c r="R311" s="105"/>
      <c r="S311" s="101"/>
      <c r="T311" s="101"/>
      <c r="U311" s="101"/>
      <c r="V311" s="101"/>
      <c r="W311" s="101"/>
      <c r="X311" s="101"/>
      <c r="Y311" s="99"/>
      <c r="Z311" s="101"/>
      <c r="AA311" s="101"/>
      <c r="AB311" s="106"/>
      <c r="AC311" s="106"/>
      <c r="AD311" s="99"/>
      <c r="AE311" s="99"/>
      <c r="AF311" s="99"/>
      <c r="AG311" s="107"/>
      <c r="AH311" s="107"/>
      <c r="AI311" s="107"/>
      <c r="AJ311" s="107"/>
    </row>
    <row r="312">
      <c r="A312" s="100"/>
      <c r="B312" s="101"/>
      <c r="C312" s="101"/>
      <c r="D312" s="101"/>
      <c r="E312" s="102"/>
      <c r="F312" s="103"/>
      <c r="G312" s="101"/>
      <c r="H312" s="101"/>
      <c r="I312" s="101"/>
      <c r="J312" s="101"/>
      <c r="K312" s="101"/>
      <c r="L312" s="101"/>
      <c r="M312" s="104"/>
      <c r="N312" s="97"/>
      <c r="O312" s="97"/>
      <c r="P312" s="97"/>
      <c r="Q312" s="97"/>
      <c r="R312" s="105"/>
      <c r="S312" s="101"/>
      <c r="T312" s="101"/>
      <c r="U312" s="101"/>
      <c r="V312" s="101"/>
      <c r="W312" s="101"/>
      <c r="X312" s="101"/>
      <c r="Y312" s="99"/>
      <c r="Z312" s="101"/>
      <c r="AA312" s="101"/>
      <c r="AB312" s="106"/>
      <c r="AC312" s="106"/>
      <c r="AD312" s="99"/>
      <c r="AE312" s="99"/>
      <c r="AF312" s="99"/>
      <c r="AG312" s="107"/>
      <c r="AH312" s="107"/>
      <c r="AI312" s="107"/>
      <c r="AJ312" s="107"/>
    </row>
    <row r="313">
      <c r="A313" s="100"/>
      <c r="B313" s="101"/>
      <c r="C313" s="101"/>
      <c r="D313" s="101"/>
      <c r="E313" s="102"/>
      <c r="F313" s="103"/>
      <c r="G313" s="101"/>
      <c r="H313" s="101"/>
      <c r="I313" s="101"/>
      <c r="J313" s="101"/>
      <c r="K313" s="101"/>
      <c r="L313" s="101"/>
      <c r="M313" s="104"/>
      <c r="N313" s="97"/>
      <c r="O313" s="97"/>
      <c r="P313" s="97"/>
      <c r="Q313" s="97"/>
      <c r="R313" s="105"/>
      <c r="S313" s="101"/>
      <c r="T313" s="101"/>
      <c r="U313" s="101"/>
      <c r="V313" s="101"/>
      <c r="W313" s="101"/>
      <c r="X313" s="101"/>
      <c r="Y313" s="99"/>
      <c r="Z313" s="101"/>
      <c r="AA313" s="101"/>
      <c r="AB313" s="106"/>
      <c r="AC313" s="106"/>
      <c r="AD313" s="99"/>
      <c r="AE313" s="99"/>
      <c r="AF313" s="99"/>
      <c r="AG313" s="107"/>
      <c r="AH313" s="107"/>
      <c r="AI313" s="107"/>
      <c r="AJ313" s="107"/>
    </row>
    <row r="314">
      <c r="A314" s="100"/>
      <c r="B314" s="101"/>
      <c r="C314" s="101"/>
      <c r="D314" s="101"/>
      <c r="E314" s="102"/>
      <c r="F314" s="103"/>
      <c r="G314" s="101"/>
      <c r="H314" s="101"/>
      <c r="I314" s="101"/>
      <c r="J314" s="101"/>
      <c r="K314" s="101"/>
      <c r="L314" s="101"/>
      <c r="M314" s="104"/>
      <c r="N314" s="97"/>
      <c r="O314" s="97"/>
      <c r="P314" s="97"/>
      <c r="Q314" s="97"/>
      <c r="R314" s="105"/>
      <c r="S314" s="101"/>
      <c r="T314" s="101"/>
      <c r="U314" s="101"/>
      <c r="V314" s="101"/>
      <c r="W314" s="101"/>
      <c r="X314" s="101"/>
      <c r="Y314" s="99"/>
      <c r="Z314" s="101"/>
      <c r="AA314" s="101"/>
      <c r="AB314" s="106"/>
      <c r="AC314" s="106"/>
      <c r="AD314" s="99"/>
      <c r="AE314" s="99"/>
      <c r="AF314" s="99"/>
      <c r="AG314" s="107"/>
      <c r="AH314" s="107"/>
      <c r="AI314" s="107"/>
      <c r="AJ314" s="107"/>
    </row>
    <row r="315">
      <c r="A315" s="100"/>
      <c r="B315" s="101"/>
      <c r="C315" s="101"/>
      <c r="D315" s="101"/>
      <c r="E315" s="102"/>
      <c r="F315" s="103"/>
      <c r="G315" s="101"/>
      <c r="H315" s="101"/>
      <c r="I315" s="101"/>
      <c r="J315" s="101"/>
      <c r="K315" s="101"/>
      <c r="L315" s="101"/>
      <c r="M315" s="104"/>
      <c r="N315" s="97"/>
      <c r="O315" s="97"/>
      <c r="P315" s="97"/>
      <c r="Q315" s="97"/>
      <c r="R315" s="105"/>
      <c r="S315" s="101"/>
      <c r="T315" s="101"/>
      <c r="U315" s="101"/>
      <c r="V315" s="101"/>
      <c r="W315" s="101"/>
      <c r="X315" s="101"/>
      <c r="Y315" s="99"/>
      <c r="Z315" s="101"/>
      <c r="AA315" s="101"/>
      <c r="AB315" s="106"/>
      <c r="AC315" s="106"/>
      <c r="AD315" s="99"/>
      <c r="AE315" s="99"/>
      <c r="AF315" s="99"/>
      <c r="AG315" s="107"/>
      <c r="AH315" s="107"/>
      <c r="AI315" s="107"/>
      <c r="AJ315" s="107"/>
    </row>
    <row r="316">
      <c r="A316" s="100"/>
      <c r="B316" s="101"/>
      <c r="C316" s="101"/>
      <c r="D316" s="101"/>
      <c r="E316" s="102"/>
      <c r="F316" s="103"/>
      <c r="G316" s="101"/>
      <c r="H316" s="101"/>
      <c r="I316" s="101"/>
      <c r="J316" s="101"/>
      <c r="K316" s="101"/>
      <c r="L316" s="101"/>
      <c r="M316" s="104"/>
      <c r="N316" s="97"/>
      <c r="O316" s="97"/>
      <c r="P316" s="97"/>
      <c r="Q316" s="97"/>
      <c r="R316" s="105"/>
      <c r="S316" s="101"/>
      <c r="T316" s="101"/>
      <c r="U316" s="101"/>
      <c r="V316" s="101"/>
      <c r="W316" s="101"/>
      <c r="X316" s="101"/>
      <c r="Y316" s="99"/>
      <c r="Z316" s="101"/>
      <c r="AA316" s="101"/>
      <c r="AB316" s="106"/>
      <c r="AC316" s="106"/>
      <c r="AD316" s="99"/>
      <c r="AE316" s="99"/>
      <c r="AF316" s="99"/>
      <c r="AG316" s="107"/>
      <c r="AH316" s="107"/>
      <c r="AI316" s="107"/>
      <c r="AJ316" s="107"/>
    </row>
    <row r="317">
      <c r="A317" s="100"/>
      <c r="B317" s="101"/>
      <c r="C317" s="101"/>
      <c r="D317" s="101"/>
      <c r="E317" s="102"/>
      <c r="F317" s="103"/>
      <c r="G317" s="101"/>
      <c r="H317" s="101"/>
      <c r="I317" s="101"/>
      <c r="J317" s="101"/>
      <c r="K317" s="101"/>
      <c r="L317" s="101"/>
      <c r="M317" s="104"/>
      <c r="N317" s="97"/>
      <c r="O317" s="97"/>
      <c r="P317" s="97"/>
      <c r="Q317" s="97"/>
      <c r="R317" s="105"/>
      <c r="S317" s="101"/>
      <c r="T317" s="101"/>
      <c r="U317" s="101"/>
      <c r="V317" s="101"/>
      <c r="W317" s="101"/>
      <c r="X317" s="101"/>
      <c r="Y317" s="99"/>
      <c r="Z317" s="101"/>
      <c r="AA317" s="101"/>
      <c r="AB317" s="106"/>
      <c r="AC317" s="106"/>
      <c r="AD317" s="99"/>
      <c r="AE317" s="99"/>
      <c r="AF317" s="99"/>
      <c r="AG317" s="107"/>
      <c r="AH317" s="107"/>
      <c r="AI317" s="107"/>
      <c r="AJ317" s="107"/>
    </row>
    <row r="318">
      <c r="A318" s="100"/>
      <c r="B318" s="101"/>
      <c r="C318" s="101"/>
      <c r="D318" s="101"/>
      <c r="E318" s="102"/>
      <c r="F318" s="103"/>
      <c r="G318" s="101"/>
      <c r="H318" s="101"/>
      <c r="I318" s="101"/>
      <c r="J318" s="101"/>
      <c r="K318" s="101"/>
      <c r="L318" s="101"/>
      <c r="M318" s="104"/>
      <c r="N318" s="97"/>
      <c r="O318" s="97"/>
      <c r="P318" s="97"/>
      <c r="Q318" s="97"/>
      <c r="R318" s="105"/>
      <c r="S318" s="101"/>
      <c r="T318" s="101"/>
      <c r="U318" s="101"/>
      <c r="V318" s="101"/>
      <c r="W318" s="101"/>
      <c r="X318" s="101"/>
      <c r="Y318" s="99"/>
      <c r="Z318" s="101"/>
      <c r="AA318" s="101"/>
      <c r="AB318" s="106"/>
      <c r="AC318" s="106"/>
      <c r="AD318" s="99"/>
      <c r="AE318" s="99"/>
      <c r="AF318" s="99"/>
      <c r="AG318" s="107"/>
      <c r="AH318" s="107"/>
      <c r="AI318" s="107"/>
      <c r="AJ318" s="107"/>
    </row>
    <row r="319">
      <c r="A319" s="100"/>
      <c r="B319" s="101"/>
      <c r="C319" s="101"/>
      <c r="D319" s="101"/>
      <c r="E319" s="102"/>
      <c r="F319" s="103"/>
      <c r="G319" s="101"/>
      <c r="H319" s="101"/>
      <c r="I319" s="101"/>
      <c r="J319" s="101"/>
      <c r="K319" s="101"/>
      <c r="L319" s="101"/>
      <c r="M319" s="104"/>
      <c r="N319" s="97"/>
      <c r="O319" s="97"/>
      <c r="P319" s="97"/>
      <c r="Q319" s="97"/>
      <c r="R319" s="105"/>
      <c r="S319" s="101"/>
      <c r="T319" s="101"/>
      <c r="U319" s="101"/>
      <c r="V319" s="101"/>
      <c r="W319" s="101"/>
      <c r="X319" s="101"/>
      <c r="Y319" s="99"/>
      <c r="Z319" s="101"/>
      <c r="AA319" s="101"/>
      <c r="AB319" s="106"/>
      <c r="AC319" s="106"/>
      <c r="AD319" s="99"/>
      <c r="AE319" s="99"/>
      <c r="AF319" s="99"/>
      <c r="AG319" s="107"/>
      <c r="AH319" s="107"/>
      <c r="AI319" s="107"/>
      <c r="AJ319" s="107"/>
    </row>
    <row r="320">
      <c r="A320" s="100"/>
      <c r="B320" s="101"/>
      <c r="C320" s="101"/>
      <c r="D320" s="101"/>
      <c r="E320" s="102"/>
      <c r="F320" s="103"/>
      <c r="G320" s="101"/>
      <c r="H320" s="101"/>
      <c r="I320" s="101"/>
      <c r="J320" s="101"/>
      <c r="K320" s="101"/>
      <c r="L320" s="101"/>
      <c r="M320" s="104"/>
      <c r="N320" s="97"/>
      <c r="O320" s="97"/>
      <c r="P320" s="97"/>
      <c r="Q320" s="97"/>
      <c r="R320" s="105"/>
      <c r="S320" s="101"/>
      <c r="T320" s="101"/>
      <c r="U320" s="101"/>
      <c r="V320" s="101"/>
      <c r="W320" s="101"/>
      <c r="X320" s="101"/>
      <c r="Y320" s="99"/>
      <c r="Z320" s="101"/>
      <c r="AA320" s="101"/>
      <c r="AB320" s="106"/>
      <c r="AC320" s="106"/>
      <c r="AD320" s="99"/>
      <c r="AE320" s="99"/>
      <c r="AF320" s="99"/>
      <c r="AG320" s="107"/>
      <c r="AH320" s="107"/>
      <c r="AI320" s="107"/>
      <c r="AJ320" s="107"/>
    </row>
    <row r="321">
      <c r="A321" s="100"/>
      <c r="B321" s="101"/>
      <c r="C321" s="101"/>
      <c r="D321" s="101"/>
      <c r="E321" s="102"/>
      <c r="F321" s="103"/>
      <c r="G321" s="101"/>
      <c r="H321" s="101"/>
      <c r="I321" s="101"/>
      <c r="J321" s="101"/>
      <c r="K321" s="101"/>
      <c r="L321" s="101"/>
      <c r="M321" s="104"/>
      <c r="N321" s="97"/>
      <c r="O321" s="97"/>
      <c r="P321" s="97"/>
      <c r="Q321" s="97"/>
      <c r="R321" s="105"/>
      <c r="S321" s="101"/>
      <c r="T321" s="101"/>
      <c r="U321" s="101"/>
      <c r="V321" s="101"/>
      <c r="W321" s="101"/>
      <c r="X321" s="101"/>
      <c r="Y321" s="99"/>
      <c r="Z321" s="101"/>
      <c r="AA321" s="101"/>
      <c r="AB321" s="106"/>
      <c r="AC321" s="106"/>
      <c r="AD321" s="99"/>
      <c r="AE321" s="99"/>
      <c r="AF321" s="99"/>
      <c r="AG321" s="107"/>
      <c r="AH321" s="107"/>
      <c r="AI321" s="107"/>
      <c r="AJ321" s="107"/>
    </row>
    <row r="322">
      <c r="A322" s="100"/>
      <c r="B322" s="101"/>
      <c r="C322" s="101"/>
      <c r="D322" s="101"/>
      <c r="E322" s="102"/>
      <c r="F322" s="103"/>
      <c r="G322" s="101"/>
      <c r="H322" s="101"/>
      <c r="I322" s="101"/>
      <c r="J322" s="101"/>
      <c r="K322" s="101"/>
      <c r="L322" s="101"/>
      <c r="M322" s="104"/>
      <c r="N322" s="97"/>
      <c r="O322" s="97"/>
      <c r="P322" s="97"/>
      <c r="Q322" s="97"/>
      <c r="R322" s="105"/>
      <c r="S322" s="101"/>
      <c r="T322" s="101"/>
      <c r="U322" s="101"/>
      <c r="V322" s="101"/>
      <c r="W322" s="101"/>
      <c r="X322" s="101"/>
      <c r="Y322" s="99"/>
      <c r="Z322" s="101"/>
      <c r="AA322" s="101"/>
      <c r="AB322" s="106"/>
      <c r="AC322" s="106"/>
      <c r="AD322" s="99"/>
      <c r="AE322" s="99"/>
      <c r="AF322" s="99"/>
      <c r="AG322" s="107"/>
      <c r="AH322" s="107"/>
      <c r="AI322" s="107"/>
      <c r="AJ322" s="107"/>
    </row>
    <row r="323">
      <c r="A323" s="100"/>
      <c r="B323" s="101"/>
      <c r="C323" s="101"/>
      <c r="D323" s="101"/>
      <c r="E323" s="102"/>
      <c r="F323" s="103"/>
      <c r="G323" s="101"/>
      <c r="H323" s="101"/>
      <c r="I323" s="101"/>
      <c r="J323" s="101"/>
      <c r="K323" s="101"/>
      <c r="L323" s="101"/>
      <c r="M323" s="104"/>
      <c r="N323" s="97"/>
      <c r="O323" s="97"/>
      <c r="P323" s="97"/>
      <c r="Q323" s="97"/>
      <c r="R323" s="105"/>
      <c r="S323" s="101"/>
      <c r="T323" s="101"/>
      <c r="U323" s="101"/>
      <c r="V323" s="101"/>
      <c r="W323" s="101"/>
      <c r="X323" s="101"/>
      <c r="Y323" s="99"/>
      <c r="Z323" s="101"/>
      <c r="AA323" s="101"/>
      <c r="AB323" s="106"/>
      <c r="AC323" s="106"/>
      <c r="AD323" s="99"/>
      <c r="AE323" s="99"/>
      <c r="AF323" s="99"/>
      <c r="AG323" s="107"/>
      <c r="AH323" s="107"/>
      <c r="AI323" s="107"/>
      <c r="AJ323" s="107"/>
    </row>
    <row r="324">
      <c r="A324" s="100"/>
      <c r="B324" s="101"/>
      <c r="C324" s="101"/>
      <c r="D324" s="101"/>
      <c r="E324" s="102"/>
      <c r="F324" s="103"/>
      <c r="G324" s="101"/>
      <c r="H324" s="101"/>
      <c r="I324" s="101"/>
      <c r="J324" s="101"/>
      <c r="K324" s="101"/>
      <c r="L324" s="101"/>
      <c r="M324" s="104"/>
      <c r="N324" s="97"/>
      <c r="O324" s="97"/>
      <c r="P324" s="97"/>
      <c r="Q324" s="97"/>
      <c r="R324" s="105"/>
      <c r="S324" s="101"/>
      <c r="T324" s="101"/>
      <c r="U324" s="101"/>
      <c r="V324" s="101"/>
      <c r="W324" s="101"/>
      <c r="X324" s="101"/>
      <c r="Y324" s="99"/>
      <c r="Z324" s="101"/>
      <c r="AA324" s="101"/>
      <c r="AB324" s="106"/>
      <c r="AC324" s="106"/>
      <c r="AD324" s="99"/>
      <c r="AE324" s="99"/>
      <c r="AF324" s="99"/>
      <c r="AG324" s="107"/>
      <c r="AH324" s="107"/>
      <c r="AI324" s="107"/>
      <c r="AJ324" s="107"/>
    </row>
    <row r="325">
      <c r="A325" s="100"/>
      <c r="B325" s="101"/>
      <c r="C325" s="101"/>
      <c r="D325" s="101"/>
      <c r="E325" s="102"/>
      <c r="F325" s="103"/>
      <c r="G325" s="101"/>
      <c r="H325" s="101"/>
      <c r="I325" s="101"/>
      <c r="J325" s="101"/>
      <c r="K325" s="101"/>
      <c r="L325" s="101"/>
      <c r="M325" s="104"/>
      <c r="N325" s="97"/>
      <c r="O325" s="97"/>
      <c r="P325" s="97"/>
      <c r="Q325" s="97"/>
      <c r="R325" s="105"/>
      <c r="S325" s="101"/>
      <c r="T325" s="101"/>
      <c r="U325" s="101"/>
      <c r="V325" s="101"/>
      <c r="W325" s="101"/>
      <c r="X325" s="101"/>
      <c r="Y325" s="99"/>
      <c r="Z325" s="101"/>
      <c r="AA325" s="101"/>
      <c r="AB325" s="106"/>
      <c r="AC325" s="106"/>
      <c r="AD325" s="99"/>
      <c r="AE325" s="99"/>
      <c r="AF325" s="99"/>
      <c r="AG325" s="107"/>
      <c r="AH325" s="107"/>
      <c r="AI325" s="107"/>
      <c r="AJ325" s="107"/>
    </row>
    <row r="326">
      <c r="A326" s="100"/>
      <c r="B326" s="101"/>
      <c r="C326" s="101"/>
      <c r="D326" s="101"/>
      <c r="E326" s="102"/>
      <c r="F326" s="103"/>
      <c r="G326" s="101"/>
      <c r="H326" s="101"/>
      <c r="I326" s="101"/>
      <c r="J326" s="101"/>
      <c r="K326" s="101"/>
      <c r="L326" s="101"/>
      <c r="M326" s="104"/>
      <c r="N326" s="97"/>
      <c r="O326" s="97"/>
      <c r="P326" s="97"/>
      <c r="Q326" s="97"/>
      <c r="R326" s="105"/>
      <c r="S326" s="101"/>
      <c r="T326" s="101"/>
      <c r="U326" s="101"/>
      <c r="V326" s="101"/>
      <c r="W326" s="101"/>
      <c r="X326" s="101"/>
      <c r="Y326" s="99"/>
      <c r="Z326" s="101"/>
      <c r="AA326" s="101"/>
      <c r="AB326" s="106"/>
      <c r="AC326" s="106"/>
      <c r="AD326" s="99"/>
      <c r="AE326" s="99"/>
      <c r="AF326" s="99"/>
      <c r="AG326" s="107"/>
      <c r="AH326" s="107"/>
      <c r="AI326" s="107"/>
      <c r="AJ326" s="107"/>
    </row>
    <row r="327">
      <c r="A327" s="100"/>
      <c r="B327" s="101"/>
      <c r="C327" s="101"/>
      <c r="D327" s="101"/>
      <c r="E327" s="102"/>
      <c r="F327" s="103"/>
      <c r="G327" s="101"/>
      <c r="H327" s="101"/>
      <c r="I327" s="101"/>
      <c r="J327" s="101"/>
      <c r="K327" s="101"/>
      <c r="L327" s="101"/>
      <c r="M327" s="104"/>
      <c r="N327" s="97"/>
      <c r="O327" s="97"/>
      <c r="P327" s="97"/>
      <c r="Q327" s="97"/>
      <c r="R327" s="105"/>
      <c r="S327" s="101"/>
      <c r="T327" s="101"/>
      <c r="U327" s="101"/>
      <c r="V327" s="101"/>
      <c r="W327" s="101"/>
      <c r="X327" s="101"/>
      <c r="Y327" s="99"/>
      <c r="Z327" s="101"/>
      <c r="AA327" s="101"/>
      <c r="AB327" s="106"/>
      <c r="AC327" s="106"/>
      <c r="AD327" s="99"/>
      <c r="AE327" s="99"/>
      <c r="AF327" s="99"/>
      <c r="AG327" s="107"/>
      <c r="AH327" s="107"/>
      <c r="AI327" s="107"/>
      <c r="AJ327" s="107"/>
    </row>
    <row r="328">
      <c r="A328" s="100"/>
      <c r="B328" s="101"/>
      <c r="C328" s="101"/>
      <c r="D328" s="101"/>
      <c r="E328" s="102"/>
      <c r="F328" s="103"/>
      <c r="G328" s="101"/>
      <c r="H328" s="101"/>
      <c r="I328" s="101"/>
      <c r="J328" s="101"/>
      <c r="K328" s="101"/>
      <c r="L328" s="101"/>
      <c r="M328" s="104"/>
      <c r="N328" s="97"/>
      <c r="O328" s="97"/>
      <c r="P328" s="97"/>
      <c r="Q328" s="97"/>
      <c r="R328" s="105"/>
      <c r="S328" s="101"/>
      <c r="T328" s="101"/>
      <c r="U328" s="101"/>
      <c r="V328" s="101"/>
      <c r="W328" s="101"/>
      <c r="X328" s="101"/>
      <c r="Y328" s="99"/>
      <c r="Z328" s="101"/>
      <c r="AA328" s="101"/>
      <c r="AB328" s="106"/>
      <c r="AC328" s="106"/>
      <c r="AD328" s="99"/>
      <c r="AE328" s="99"/>
      <c r="AF328" s="99"/>
      <c r="AG328" s="107"/>
      <c r="AH328" s="107"/>
      <c r="AI328" s="107"/>
      <c r="AJ328" s="107"/>
    </row>
    <row r="329">
      <c r="A329" s="100"/>
      <c r="B329" s="101"/>
      <c r="C329" s="101"/>
      <c r="D329" s="101"/>
      <c r="E329" s="102"/>
      <c r="F329" s="103"/>
      <c r="G329" s="101"/>
      <c r="H329" s="101"/>
      <c r="I329" s="101"/>
      <c r="J329" s="101"/>
      <c r="K329" s="101"/>
      <c r="L329" s="101"/>
      <c r="M329" s="104"/>
      <c r="N329" s="97"/>
      <c r="O329" s="97"/>
      <c r="P329" s="97"/>
      <c r="Q329" s="97"/>
      <c r="R329" s="105"/>
      <c r="S329" s="101"/>
      <c r="T329" s="101"/>
      <c r="U329" s="101"/>
      <c r="V329" s="101"/>
      <c r="W329" s="101"/>
      <c r="X329" s="101"/>
      <c r="Y329" s="99"/>
      <c r="Z329" s="101"/>
      <c r="AA329" s="101"/>
      <c r="AB329" s="106"/>
      <c r="AC329" s="106"/>
      <c r="AD329" s="99"/>
      <c r="AE329" s="99"/>
      <c r="AF329" s="99"/>
      <c r="AG329" s="107"/>
      <c r="AH329" s="107"/>
      <c r="AI329" s="107"/>
      <c r="AJ329" s="107"/>
    </row>
    <row r="330">
      <c r="A330" s="100"/>
      <c r="B330" s="101"/>
      <c r="C330" s="101"/>
      <c r="D330" s="101"/>
      <c r="E330" s="102"/>
      <c r="F330" s="103"/>
      <c r="G330" s="101"/>
      <c r="H330" s="101"/>
      <c r="I330" s="101"/>
      <c r="J330" s="101"/>
      <c r="K330" s="101"/>
      <c r="L330" s="101"/>
      <c r="M330" s="104"/>
      <c r="N330" s="97"/>
      <c r="O330" s="97"/>
      <c r="P330" s="97"/>
      <c r="Q330" s="97"/>
      <c r="R330" s="105"/>
      <c r="S330" s="101"/>
      <c r="T330" s="101"/>
      <c r="U330" s="101"/>
      <c r="V330" s="101"/>
      <c r="W330" s="101"/>
      <c r="X330" s="101"/>
      <c r="Y330" s="99"/>
      <c r="Z330" s="101"/>
      <c r="AA330" s="101"/>
      <c r="AB330" s="106"/>
      <c r="AC330" s="106"/>
      <c r="AD330" s="99"/>
      <c r="AE330" s="99"/>
      <c r="AF330" s="99"/>
      <c r="AG330" s="107"/>
      <c r="AH330" s="107"/>
      <c r="AI330" s="107"/>
      <c r="AJ330" s="107"/>
    </row>
    <row r="331">
      <c r="A331" s="100"/>
      <c r="B331" s="101"/>
      <c r="C331" s="101"/>
      <c r="D331" s="101"/>
      <c r="E331" s="102"/>
      <c r="F331" s="103"/>
      <c r="G331" s="101"/>
      <c r="H331" s="101"/>
      <c r="I331" s="101"/>
      <c r="J331" s="101"/>
      <c r="K331" s="101"/>
      <c r="L331" s="101"/>
      <c r="M331" s="104"/>
      <c r="N331" s="97"/>
      <c r="O331" s="97"/>
      <c r="P331" s="97"/>
      <c r="Q331" s="97"/>
      <c r="R331" s="105"/>
      <c r="S331" s="101"/>
      <c r="T331" s="101"/>
      <c r="U331" s="101"/>
      <c r="V331" s="101"/>
      <c r="W331" s="101"/>
      <c r="X331" s="101"/>
      <c r="Y331" s="99"/>
      <c r="Z331" s="101"/>
      <c r="AA331" s="101"/>
      <c r="AB331" s="106"/>
      <c r="AC331" s="106"/>
      <c r="AD331" s="99"/>
      <c r="AE331" s="99"/>
      <c r="AF331" s="99"/>
      <c r="AG331" s="107"/>
      <c r="AH331" s="107"/>
      <c r="AI331" s="107"/>
      <c r="AJ331" s="107"/>
    </row>
    <row r="332">
      <c r="A332" s="100"/>
      <c r="B332" s="101"/>
      <c r="C332" s="101"/>
      <c r="D332" s="101"/>
      <c r="E332" s="102"/>
      <c r="F332" s="103"/>
      <c r="G332" s="101"/>
      <c r="H332" s="101"/>
      <c r="I332" s="101"/>
      <c r="J332" s="101"/>
      <c r="K332" s="101"/>
      <c r="L332" s="101"/>
      <c r="M332" s="104"/>
      <c r="N332" s="97"/>
      <c r="O332" s="97"/>
      <c r="P332" s="97"/>
      <c r="Q332" s="97"/>
      <c r="R332" s="105"/>
      <c r="S332" s="101"/>
      <c r="T332" s="101"/>
      <c r="U332" s="101"/>
      <c r="V332" s="101"/>
      <c r="W332" s="101"/>
      <c r="X332" s="101"/>
      <c r="Y332" s="99"/>
      <c r="Z332" s="101"/>
      <c r="AA332" s="101"/>
      <c r="AB332" s="106"/>
      <c r="AC332" s="106"/>
      <c r="AD332" s="99"/>
      <c r="AE332" s="99"/>
      <c r="AF332" s="99"/>
      <c r="AG332" s="107"/>
      <c r="AH332" s="107"/>
      <c r="AI332" s="107"/>
      <c r="AJ332" s="107"/>
    </row>
    <row r="333">
      <c r="A333" s="100"/>
      <c r="B333" s="101"/>
      <c r="C333" s="101"/>
      <c r="D333" s="101"/>
      <c r="E333" s="102"/>
      <c r="F333" s="103"/>
      <c r="G333" s="101"/>
      <c r="H333" s="101"/>
      <c r="I333" s="101"/>
      <c r="J333" s="101"/>
      <c r="K333" s="101"/>
      <c r="L333" s="101"/>
      <c r="M333" s="104"/>
      <c r="N333" s="97"/>
      <c r="O333" s="97"/>
      <c r="P333" s="97"/>
      <c r="Q333" s="97"/>
      <c r="R333" s="105"/>
      <c r="S333" s="101"/>
      <c r="T333" s="101"/>
      <c r="U333" s="101"/>
      <c r="V333" s="101"/>
      <c r="W333" s="101"/>
      <c r="X333" s="101"/>
      <c r="Y333" s="99"/>
      <c r="Z333" s="101"/>
      <c r="AA333" s="101"/>
      <c r="AB333" s="106"/>
      <c r="AC333" s="106"/>
      <c r="AD333" s="99"/>
      <c r="AE333" s="99"/>
      <c r="AF333" s="99"/>
      <c r="AG333" s="107"/>
      <c r="AH333" s="107"/>
      <c r="AI333" s="107"/>
      <c r="AJ333" s="107"/>
    </row>
    <row r="334">
      <c r="A334" s="100"/>
      <c r="B334" s="101"/>
      <c r="C334" s="101"/>
      <c r="D334" s="101"/>
      <c r="E334" s="102"/>
      <c r="F334" s="103"/>
      <c r="G334" s="101"/>
      <c r="H334" s="101"/>
      <c r="I334" s="101"/>
      <c r="J334" s="101"/>
      <c r="K334" s="101"/>
      <c r="L334" s="101"/>
      <c r="M334" s="104"/>
      <c r="N334" s="97"/>
      <c r="O334" s="97"/>
      <c r="P334" s="97"/>
      <c r="Q334" s="97"/>
      <c r="R334" s="105"/>
      <c r="S334" s="101"/>
      <c r="T334" s="101"/>
      <c r="U334" s="101"/>
      <c r="V334" s="101"/>
      <c r="W334" s="101"/>
      <c r="X334" s="101"/>
      <c r="Y334" s="99"/>
      <c r="Z334" s="101"/>
      <c r="AA334" s="101"/>
      <c r="AB334" s="106"/>
      <c r="AC334" s="106"/>
      <c r="AD334" s="99"/>
      <c r="AE334" s="99"/>
      <c r="AF334" s="99"/>
      <c r="AG334" s="107"/>
      <c r="AH334" s="107"/>
      <c r="AI334" s="107"/>
      <c r="AJ334" s="107"/>
    </row>
    <row r="335">
      <c r="A335" s="100"/>
      <c r="B335" s="101"/>
      <c r="C335" s="101"/>
      <c r="D335" s="101"/>
      <c r="E335" s="102"/>
      <c r="F335" s="103"/>
      <c r="G335" s="101"/>
      <c r="H335" s="101"/>
      <c r="I335" s="101"/>
      <c r="J335" s="101"/>
      <c r="K335" s="101"/>
      <c r="L335" s="101"/>
      <c r="M335" s="104"/>
      <c r="N335" s="97"/>
      <c r="O335" s="97"/>
      <c r="P335" s="97"/>
      <c r="Q335" s="97"/>
      <c r="R335" s="105"/>
      <c r="S335" s="101"/>
      <c r="T335" s="101"/>
      <c r="U335" s="101"/>
      <c r="V335" s="101"/>
      <c r="W335" s="101"/>
      <c r="X335" s="101"/>
      <c r="Y335" s="99"/>
      <c r="Z335" s="101"/>
      <c r="AA335" s="101"/>
      <c r="AB335" s="106"/>
      <c r="AC335" s="106"/>
      <c r="AD335" s="99"/>
      <c r="AE335" s="99"/>
      <c r="AF335" s="99"/>
      <c r="AG335" s="107"/>
      <c r="AH335" s="107"/>
      <c r="AI335" s="107"/>
      <c r="AJ335" s="107"/>
    </row>
    <row r="336">
      <c r="A336" s="100"/>
      <c r="B336" s="101"/>
      <c r="C336" s="101"/>
      <c r="D336" s="101"/>
      <c r="E336" s="102"/>
      <c r="F336" s="103"/>
      <c r="G336" s="101"/>
      <c r="H336" s="101"/>
      <c r="I336" s="101"/>
      <c r="J336" s="101"/>
      <c r="K336" s="101"/>
      <c r="L336" s="101"/>
      <c r="M336" s="104"/>
      <c r="N336" s="97"/>
      <c r="O336" s="97"/>
      <c r="P336" s="97"/>
      <c r="Q336" s="97"/>
      <c r="R336" s="105"/>
      <c r="S336" s="101"/>
      <c r="T336" s="101"/>
      <c r="U336" s="101"/>
      <c r="V336" s="101"/>
      <c r="W336" s="101"/>
      <c r="X336" s="101"/>
      <c r="Y336" s="99"/>
      <c r="Z336" s="101"/>
      <c r="AA336" s="101"/>
      <c r="AB336" s="106"/>
      <c r="AC336" s="106"/>
      <c r="AD336" s="99"/>
      <c r="AE336" s="99"/>
      <c r="AF336" s="99"/>
      <c r="AG336" s="107"/>
      <c r="AH336" s="107"/>
      <c r="AI336" s="107"/>
      <c r="AJ336" s="107"/>
    </row>
    <row r="337">
      <c r="A337" s="100"/>
      <c r="B337" s="101"/>
      <c r="C337" s="101"/>
      <c r="D337" s="101"/>
      <c r="E337" s="102"/>
      <c r="F337" s="103"/>
      <c r="G337" s="101"/>
      <c r="H337" s="101"/>
      <c r="I337" s="101"/>
      <c r="J337" s="101"/>
      <c r="K337" s="101"/>
      <c r="L337" s="101"/>
      <c r="M337" s="104"/>
      <c r="N337" s="97"/>
      <c r="O337" s="97"/>
      <c r="P337" s="97"/>
      <c r="Q337" s="97"/>
      <c r="R337" s="105"/>
      <c r="S337" s="101"/>
      <c r="T337" s="101"/>
      <c r="U337" s="101"/>
      <c r="V337" s="101"/>
      <c r="W337" s="101"/>
      <c r="X337" s="101"/>
      <c r="Y337" s="99"/>
      <c r="Z337" s="101"/>
      <c r="AA337" s="101"/>
      <c r="AB337" s="106"/>
      <c r="AC337" s="106"/>
      <c r="AD337" s="99"/>
      <c r="AE337" s="99"/>
      <c r="AF337" s="99"/>
      <c r="AG337" s="107"/>
      <c r="AH337" s="107"/>
      <c r="AI337" s="107"/>
      <c r="AJ337" s="107"/>
    </row>
    <row r="338">
      <c r="A338" s="100"/>
      <c r="B338" s="101"/>
      <c r="C338" s="101"/>
      <c r="D338" s="101"/>
      <c r="E338" s="102"/>
      <c r="F338" s="103"/>
      <c r="G338" s="101"/>
      <c r="H338" s="101"/>
      <c r="I338" s="101"/>
      <c r="J338" s="101"/>
      <c r="K338" s="101"/>
      <c r="L338" s="101"/>
      <c r="M338" s="104"/>
      <c r="N338" s="97"/>
      <c r="O338" s="97"/>
      <c r="P338" s="97"/>
      <c r="Q338" s="97"/>
      <c r="R338" s="105"/>
      <c r="S338" s="101"/>
      <c r="T338" s="101"/>
      <c r="U338" s="101"/>
      <c r="V338" s="101"/>
      <c r="W338" s="101"/>
      <c r="X338" s="101"/>
      <c r="Y338" s="99"/>
      <c r="Z338" s="101"/>
      <c r="AA338" s="101"/>
      <c r="AB338" s="106"/>
      <c r="AC338" s="106"/>
      <c r="AD338" s="99"/>
      <c r="AE338" s="99"/>
      <c r="AF338" s="99"/>
      <c r="AG338" s="107"/>
      <c r="AH338" s="107"/>
      <c r="AI338" s="107"/>
      <c r="AJ338" s="107"/>
    </row>
    <row r="339">
      <c r="A339" s="100"/>
      <c r="B339" s="101"/>
      <c r="C339" s="101"/>
      <c r="D339" s="101"/>
      <c r="E339" s="102"/>
      <c r="F339" s="103"/>
      <c r="G339" s="101"/>
      <c r="H339" s="101"/>
      <c r="I339" s="101"/>
      <c r="J339" s="101"/>
      <c r="K339" s="101"/>
      <c r="L339" s="101"/>
      <c r="M339" s="104"/>
      <c r="N339" s="97"/>
      <c r="O339" s="97"/>
      <c r="P339" s="97"/>
      <c r="Q339" s="97"/>
      <c r="R339" s="105"/>
      <c r="S339" s="101"/>
      <c r="T339" s="101"/>
      <c r="U339" s="101"/>
      <c r="V339" s="101"/>
      <c r="W339" s="101"/>
      <c r="X339" s="101"/>
      <c r="Y339" s="99"/>
      <c r="Z339" s="101"/>
      <c r="AA339" s="101"/>
      <c r="AB339" s="106"/>
      <c r="AC339" s="106"/>
      <c r="AD339" s="99"/>
      <c r="AE339" s="99"/>
      <c r="AF339" s="99"/>
      <c r="AG339" s="107"/>
      <c r="AH339" s="107"/>
      <c r="AI339" s="107"/>
      <c r="AJ339" s="107"/>
    </row>
    <row r="340">
      <c r="A340" s="100"/>
      <c r="B340" s="101"/>
      <c r="C340" s="101"/>
      <c r="D340" s="101"/>
      <c r="E340" s="102"/>
      <c r="F340" s="103"/>
      <c r="G340" s="101"/>
      <c r="H340" s="101"/>
      <c r="I340" s="101"/>
      <c r="J340" s="101"/>
      <c r="K340" s="101"/>
      <c r="L340" s="101"/>
      <c r="M340" s="104"/>
      <c r="N340" s="97"/>
      <c r="O340" s="97"/>
      <c r="P340" s="97"/>
      <c r="Q340" s="97"/>
      <c r="R340" s="105"/>
      <c r="S340" s="101"/>
      <c r="T340" s="101"/>
      <c r="U340" s="101"/>
      <c r="V340" s="101"/>
      <c r="W340" s="101"/>
      <c r="X340" s="101"/>
      <c r="Y340" s="99"/>
      <c r="Z340" s="101"/>
      <c r="AA340" s="101"/>
      <c r="AB340" s="106"/>
      <c r="AC340" s="106"/>
      <c r="AD340" s="99"/>
      <c r="AE340" s="99"/>
      <c r="AF340" s="99"/>
      <c r="AG340" s="107"/>
      <c r="AH340" s="107"/>
      <c r="AI340" s="107"/>
      <c r="AJ340" s="107"/>
    </row>
    <row r="341">
      <c r="A341" s="100"/>
      <c r="B341" s="101"/>
      <c r="C341" s="101"/>
      <c r="D341" s="101"/>
      <c r="E341" s="102"/>
      <c r="F341" s="103"/>
      <c r="G341" s="101"/>
      <c r="H341" s="101"/>
      <c r="I341" s="101"/>
      <c r="J341" s="101"/>
      <c r="K341" s="101"/>
      <c r="L341" s="101"/>
      <c r="M341" s="104"/>
      <c r="N341" s="97"/>
      <c r="O341" s="97"/>
      <c r="P341" s="97"/>
      <c r="Q341" s="97"/>
      <c r="R341" s="105"/>
      <c r="S341" s="101"/>
      <c r="T341" s="101"/>
      <c r="U341" s="101"/>
      <c r="V341" s="101"/>
      <c r="W341" s="101"/>
      <c r="X341" s="101"/>
      <c r="Y341" s="99"/>
      <c r="Z341" s="101"/>
      <c r="AA341" s="101"/>
      <c r="AB341" s="106"/>
      <c r="AC341" s="106"/>
      <c r="AD341" s="99"/>
      <c r="AE341" s="99"/>
      <c r="AF341" s="99"/>
      <c r="AG341" s="107"/>
      <c r="AH341" s="107"/>
      <c r="AI341" s="107"/>
      <c r="AJ341" s="107"/>
    </row>
    <row r="342">
      <c r="A342" s="100"/>
      <c r="B342" s="101"/>
      <c r="C342" s="101"/>
      <c r="D342" s="101"/>
      <c r="E342" s="102"/>
      <c r="F342" s="103"/>
      <c r="G342" s="101"/>
      <c r="H342" s="101"/>
      <c r="I342" s="101"/>
      <c r="J342" s="101"/>
      <c r="K342" s="101"/>
      <c r="L342" s="101"/>
      <c r="M342" s="104"/>
      <c r="N342" s="97"/>
      <c r="O342" s="97"/>
      <c r="P342" s="97"/>
      <c r="Q342" s="97"/>
      <c r="R342" s="105"/>
      <c r="S342" s="101"/>
      <c r="T342" s="101"/>
      <c r="U342" s="101"/>
      <c r="V342" s="101"/>
      <c r="W342" s="101"/>
      <c r="X342" s="101"/>
      <c r="Y342" s="99"/>
      <c r="Z342" s="101"/>
      <c r="AA342" s="101"/>
      <c r="AB342" s="106"/>
      <c r="AC342" s="106"/>
      <c r="AD342" s="99"/>
      <c r="AE342" s="99"/>
      <c r="AF342" s="99"/>
      <c r="AG342" s="107"/>
      <c r="AH342" s="107"/>
      <c r="AI342" s="107"/>
      <c r="AJ342" s="107"/>
    </row>
    <row r="343">
      <c r="A343" s="100"/>
      <c r="B343" s="101"/>
      <c r="C343" s="101"/>
      <c r="D343" s="101"/>
      <c r="E343" s="102"/>
      <c r="F343" s="103"/>
      <c r="G343" s="101"/>
      <c r="H343" s="101"/>
      <c r="I343" s="101"/>
      <c r="J343" s="101"/>
      <c r="K343" s="101"/>
      <c r="L343" s="101"/>
      <c r="M343" s="104"/>
      <c r="N343" s="97"/>
      <c r="O343" s="97"/>
      <c r="P343" s="97"/>
      <c r="Q343" s="97"/>
      <c r="R343" s="105"/>
      <c r="S343" s="101"/>
      <c r="T343" s="101"/>
      <c r="U343" s="101"/>
      <c r="V343" s="101"/>
      <c r="W343" s="101"/>
      <c r="X343" s="101"/>
      <c r="Y343" s="99"/>
      <c r="Z343" s="101"/>
      <c r="AA343" s="101"/>
      <c r="AB343" s="106"/>
      <c r="AC343" s="106"/>
      <c r="AD343" s="99"/>
      <c r="AE343" s="99"/>
      <c r="AF343" s="99"/>
      <c r="AG343" s="107"/>
      <c r="AH343" s="107"/>
      <c r="AI343" s="107"/>
      <c r="AJ343" s="107"/>
    </row>
    <row r="344">
      <c r="A344" s="100"/>
      <c r="B344" s="101"/>
      <c r="C344" s="101"/>
      <c r="D344" s="101"/>
      <c r="E344" s="102"/>
      <c r="F344" s="103"/>
      <c r="G344" s="101"/>
      <c r="H344" s="101"/>
      <c r="I344" s="101"/>
      <c r="J344" s="101"/>
      <c r="K344" s="101"/>
      <c r="L344" s="101"/>
      <c r="M344" s="104"/>
      <c r="N344" s="97"/>
      <c r="O344" s="97"/>
      <c r="P344" s="97"/>
      <c r="Q344" s="97"/>
      <c r="R344" s="105"/>
      <c r="S344" s="101"/>
      <c r="T344" s="101"/>
      <c r="U344" s="101"/>
      <c r="V344" s="101"/>
      <c r="W344" s="101"/>
      <c r="X344" s="101"/>
      <c r="Y344" s="99"/>
      <c r="Z344" s="101"/>
      <c r="AA344" s="101"/>
      <c r="AB344" s="106"/>
      <c r="AC344" s="106"/>
      <c r="AD344" s="99"/>
      <c r="AE344" s="99"/>
      <c r="AF344" s="99"/>
      <c r="AG344" s="107"/>
      <c r="AH344" s="107"/>
      <c r="AI344" s="107"/>
      <c r="AJ344" s="107"/>
    </row>
    <row r="345">
      <c r="A345" s="100"/>
      <c r="B345" s="101"/>
      <c r="C345" s="101"/>
      <c r="D345" s="101"/>
      <c r="E345" s="102"/>
      <c r="F345" s="103"/>
      <c r="G345" s="101"/>
      <c r="H345" s="101"/>
      <c r="I345" s="101"/>
      <c r="J345" s="101"/>
      <c r="K345" s="101"/>
      <c r="L345" s="101"/>
      <c r="M345" s="104"/>
      <c r="N345" s="97"/>
      <c r="O345" s="97"/>
      <c r="P345" s="97"/>
      <c r="Q345" s="97"/>
      <c r="R345" s="105"/>
      <c r="S345" s="101"/>
      <c r="T345" s="101"/>
      <c r="U345" s="101"/>
      <c r="V345" s="101"/>
      <c r="W345" s="101"/>
      <c r="X345" s="101"/>
      <c r="Y345" s="99"/>
      <c r="Z345" s="101"/>
      <c r="AA345" s="101"/>
      <c r="AB345" s="106"/>
      <c r="AC345" s="106"/>
      <c r="AD345" s="99"/>
      <c r="AE345" s="99"/>
      <c r="AF345" s="99"/>
      <c r="AG345" s="107"/>
      <c r="AH345" s="107"/>
      <c r="AI345" s="107"/>
      <c r="AJ345" s="107"/>
    </row>
    <row r="346">
      <c r="A346" s="100"/>
      <c r="B346" s="101"/>
      <c r="C346" s="101"/>
      <c r="D346" s="101"/>
      <c r="E346" s="102"/>
      <c r="F346" s="103"/>
      <c r="G346" s="101"/>
      <c r="H346" s="101"/>
      <c r="I346" s="101"/>
      <c r="J346" s="101"/>
      <c r="K346" s="101"/>
      <c r="L346" s="101"/>
      <c r="M346" s="104"/>
      <c r="N346" s="97"/>
      <c r="O346" s="97"/>
      <c r="P346" s="97"/>
      <c r="Q346" s="97"/>
      <c r="R346" s="105"/>
      <c r="S346" s="101"/>
      <c r="T346" s="101"/>
      <c r="U346" s="101"/>
      <c r="V346" s="101"/>
      <c r="W346" s="101"/>
      <c r="X346" s="101"/>
      <c r="Y346" s="99"/>
      <c r="Z346" s="101"/>
      <c r="AA346" s="101"/>
      <c r="AB346" s="106"/>
      <c r="AC346" s="106"/>
      <c r="AD346" s="99"/>
      <c r="AE346" s="99"/>
      <c r="AF346" s="99"/>
      <c r="AG346" s="107"/>
      <c r="AH346" s="107"/>
      <c r="AI346" s="107"/>
      <c r="AJ346" s="107"/>
    </row>
    <row r="347">
      <c r="A347" s="100"/>
      <c r="B347" s="101"/>
      <c r="C347" s="101"/>
      <c r="D347" s="101"/>
      <c r="E347" s="102"/>
      <c r="F347" s="103"/>
      <c r="G347" s="101"/>
      <c r="H347" s="101"/>
      <c r="I347" s="101"/>
      <c r="J347" s="101"/>
      <c r="K347" s="101"/>
      <c r="L347" s="101"/>
      <c r="M347" s="104"/>
      <c r="N347" s="97"/>
      <c r="O347" s="97"/>
      <c r="P347" s="97"/>
      <c r="Q347" s="97"/>
      <c r="R347" s="105"/>
      <c r="S347" s="101"/>
      <c r="T347" s="101"/>
      <c r="U347" s="101"/>
      <c r="V347" s="101"/>
      <c r="W347" s="101"/>
      <c r="X347" s="101"/>
      <c r="Y347" s="99"/>
      <c r="Z347" s="101"/>
      <c r="AA347" s="101"/>
      <c r="AB347" s="106"/>
      <c r="AC347" s="106"/>
      <c r="AD347" s="99"/>
      <c r="AE347" s="99"/>
      <c r="AF347" s="99"/>
      <c r="AG347" s="107"/>
      <c r="AH347" s="107"/>
      <c r="AI347" s="107"/>
      <c r="AJ347" s="107"/>
    </row>
    <row r="348">
      <c r="A348" s="100"/>
      <c r="B348" s="101"/>
      <c r="C348" s="101"/>
      <c r="D348" s="101"/>
      <c r="E348" s="102"/>
      <c r="F348" s="103"/>
      <c r="G348" s="101"/>
      <c r="H348" s="101"/>
      <c r="I348" s="101"/>
      <c r="J348" s="101"/>
      <c r="K348" s="101"/>
      <c r="L348" s="101"/>
      <c r="M348" s="104"/>
      <c r="N348" s="97"/>
      <c r="O348" s="97"/>
      <c r="P348" s="97"/>
      <c r="Q348" s="97"/>
      <c r="R348" s="105"/>
      <c r="S348" s="101"/>
      <c r="T348" s="101"/>
      <c r="U348" s="101"/>
      <c r="V348" s="101"/>
      <c r="W348" s="101"/>
      <c r="X348" s="101"/>
      <c r="Y348" s="99"/>
      <c r="Z348" s="101"/>
      <c r="AA348" s="101"/>
      <c r="AB348" s="106"/>
      <c r="AC348" s="106"/>
      <c r="AD348" s="99"/>
      <c r="AE348" s="99"/>
      <c r="AF348" s="99"/>
      <c r="AG348" s="107"/>
      <c r="AH348" s="107"/>
      <c r="AI348" s="107"/>
      <c r="AJ348" s="107"/>
    </row>
    <row r="349">
      <c r="A349" s="100"/>
      <c r="B349" s="101"/>
      <c r="C349" s="101"/>
      <c r="D349" s="101"/>
      <c r="E349" s="102"/>
      <c r="F349" s="103"/>
      <c r="G349" s="101"/>
      <c r="H349" s="101"/>
      <c r="I349" s="101"/>
      <c r="J349" s="101"/>
      <c r="K349" s="101"/>
      <c r="L349" s="101"/>
      <c r="M349" s="104"/>
      <c r="N349" s="97"/>
      <c r="O349" s="97"/>
      <c r="P349" s="97"/>
      <c r="Q349" s="97"/>
      <c r="R349" s="105"/>
      <c r="S349" s="101"/>
      <c r="T349" s="101"/>
      <c r="U349" s="101"/>
      <c r="V349" s="101"/>
      <c r="W349" s="101"/>
      <c r="X349" s="101"/>
      <c r="Y349" s="99"/>
      <c r="Z349" s="101"/>
      <c r="AA349" s="101"/>
      <c r="AB349" s="106"/>
      <c r="AC349" s="106"/>
      <c r="AD349" s="99"/>
      <c r="AE349" s="99"/>
      <c r="AF349" s="99"/>
      <c r="AG349" s="107"/>
      <c r="AH349" s="107"/>
      <c r="AI349" s="107"/>
      <c r="AJ349" s="107"/>
    </row>
    <row r="350">
      <c r="A350" s="100"/>
      <c r="B350" s="101"/>
      <c r="C350" s="101"/>
      <c r="D350" s="101"/>
      <c r="E350" s="102"/>
      <c r="F350" s="103"/>
      <c r="G350" s="101"/>
      <c r="H350" s="101"/>
      <c r="I350" s="101"/>
      <c r="J350" s="101"/>
      <c r="K350" s="101"/>
      <c r="L350" s="101"/>
      <c r="M350" s="104"/>
      <c r="N350" s="97"/>
      <c r="O350" s="97"/>
      <c r="P350" s="97"/>
      <c r="Q350" s="97"/>
      <c r="R350" s="105"/>
      <c r="S350" s="101"/>
      <c r="T350" s="101"/>
      <c r="U350" s="101"/>
      <c r="V350" s="101"/>
      <c r="W350" s="101"/>
      <c r="X350" s="101"/>
      <c r="Y350" s="99"/>
      <c r="Z350" s="101"/>
      <c r="AA350" s="101"/>
      <c r="AB350" s="106"/>
      <c r="AC350" s="106"/>
      <c r="AD350" s="99"/>
      <c r="AE350" s="99"/>
      <c r="AF350" s="99"/>
      <c r="AG350" s="107"/>
      <c r="AH350" s="107"/>
      <c r="AI350" s="107"/>
      <c r="AJ350" s="107"/>
    </row>
    <row r="351">
      <c r="A351" s="100"/>
      <c r="B351" s="101"/>
      <c r="C351" s="101"/>
      <c r="D351" s="101"/>
      <c r="E351" s="102"/>
      <c r="F351" s="103"/>
      <c r="G351" s="101"/>
      <c r="H351" s="101"/>
      <c r="I351" s="101"/>
      <c r="J351" s="101"/>
      <c r="K351" s="101"/>
      <c r="L351" s="101"/>
      <c r="M351" s="104"/>
      <c r="N351" s="97"/>
      <c r="O351" s="97"/>
      <c r="P351" s="97"/>
      <c r="Q351" s="97"/>
      <c r="R351" s="105"/>
      <c r="S351" s="101"/>
      <c r="T351" s="101"/>
      <c r="U351" s="101"/>
      <c r="V351" s="101"/>
      <c r="W351" s="101"/>
      <c r="X351" s="101"/>
      <c r="Y351" s="99"/>
      <c r="Z351" s="101"/>
      <c r="AA351" s="101"/>
      <c r="AB351" s="106"/>
      <c r="AC351" s="106"/>
      <c r="AD351" s="99"/>
      <c r="AE351" s="99"/>
      <c r="AF351" s="99"/>
      <c r="AG351" s="107"/>
      <c r="AH351" s="107"/>
      <c r="AI351" s="107"/>
      <c r="AJ351" s="107"/>
    </row>
    <row r="352">
      <c r="A352" s="100"/>
      <c r="B352" s="101"/>
      <c r="C352" s="101"/>
      <c r="D352" s="101"/>
      <c r="E352" s="102"/>
      <c r="F352" s="103"/>
      <c r="G352" s="101"/>
      <c r="H352" s="101"/>
      <c r="I352" s="101"/>
      <c r="J352" s="101"/>
      <c r="K352" s="101"/>
      <c r="L352" s="101"/>
      <c r="M352" s="104"/>
      <c r="N352" s="97"/>
      <c r="O352" s="97"/>
      <c r="P352" s="97"/>
      <c r="Q352" s="97"/>
      <c r="R352" s="105"/>
      <c r="S352" s="101"/>
      <c r="T352" s="101"/>
      <c r="U352" s="101"/>
      <c r="V352" s="101"/>
      <c r="W352" s="101"/>
      <c r="X352" s="101"/>
      <c r="Y352" s="99"/>
      <c r="Z352" s="101"/>
      <c r="AA352" s="101"/>
      <c r="AB352" s="106"/>
      <c r="AC352" s="106"/>
      <c r="AD352" s="99"/>
      <c r="AE352" s="99"/>
      <c r="AF352" s="99"/>
      <c r="AG352" s="107"/>
      <c r="AH352" s="107"/>
      <c r="AI352" s="107"/>
      <c r="AJ352" s="107"/>
    </row>
    <row r="353">
      <c r="A353" s="100"/>
      <c r="B353" s="101"/>
      <c r="C353" s="101"/>
      <c r="D353" s="101"/>
      <c r="E353" s="102"/>
      <c r="F353" s="103"/>
      <c r="G353" s="101"/>
      <c r="H353" s="101"/>
      <c r="I353" s="101"/>
      <c r="J353" s="101"/>
      <c r="K353" s="101"/>
      <c r="L353" s="101"/>
      <c r="M353" s="104"/>
      <c r="N353" s="97"/>
      <c r="O353" s="97"/>
      <c r="P353" s="97"/>
      <c r="Q353" s="97"/>
      <c r="R353" s="105"/>
      <c r="S353" s="101"/>
      <c r="T353" s="101"/>
      <c r="U353" s="101"/>
      <c r="V353" s="101"/>
      <c r="W353" s="101"/>
      <c r="X353" s="101"/>
      <c r="Y353" s="99"/>
      <c r="Z353" s="101"/>
      <c r="AA353" s="101"/>
      <c r="AB353" s="106"/>
      <c r="AC353" s="106"/>
      <c r="AD353" s="99"/>
      <c r="AE353" s="99"/>
      <c r="AF353" s="99"/>
      <c r="AG353" s="107"/>
      <c r="AH353" s="107"/>
      <c r="AI353" s="107"/>
      <c r="AJ353" s="107"/>
    </row>
    <row r="354">
      <c r="A354" s="100"/>
      <c r="B354" s="101"/>
      <c r="C354" s="101"/>
      <c r="D354" s="101"/>
      <c r="E354" s="102"/>
      <c r="F354" s="103"/>
      <c r="G354" s="101"/>
      <c r="H354" s="101"/>
      <c r="I354" s="101"/>
      <c r="J354" s="101"/>
      <c r="K354" s="101"/>
      <c r="L354" s="101"/>
      <c r="M354" s="104"/>
      <c r="N354" s="97"/>
      <c r="O354" s="97"/>
      <c r="P354" s="97"/>
      <c r="Q354" s="97"/>
      <c r="R354" s="105"/>
      <c r="S354" s="101"/>
      <c r="T354" s="101"/>
      <c r="U354" s="101"/>
      <c r="V354" s="101"/>
      <c r="W354" s="101"/>
      <c r="X354" s="101"/>
      <c r="Y354" s="99"/>
      <c r="Z354" s="101"/>
      <c r="AA354" s="101"/>
      <c r="AB354" s="106"/>
      <c r="AC354" s="106"/>
      <c r="AD354" s="99"/>
      <c r="AE354" s="99"/>
      <c r="AF354" s="99"/>
      <c r="AG354" s="107"/>
      <c r="AH354" s="107"/>
      <c r="AI354" s="107"/>
      <c r="AJ354" s="107"/>
    </row>
    <row r="355">
      <c r="A355" s="100"/>
      <c r="B355" s="101"/>
      <c r="C355" s="101"/>
      <c r="D355" s="101"/>
      <c r="E355" s="102"/>
      <c r="F355" s="103"/>
      <c r="G355" s="101"/>
      <c r="H355" s="101"/>
      <c r="I355" s="101"/>
      <c r="J355" s="101"/>
      <c r="K355" s="101"/>
      <c r="L355" s="101"/>
      <c r="M355" s="104"/>
      <c r="N355" s="97"/>
      <c r="O355" s="97"/>
      <c r="P355" s="97"/>
      <c r="Q355" s="97"/>
      <c r="R355" s="105"/>
      <c r="S355" s="101"/>
      <c r="T355" s="101"/>
      <c r="U355" s="101"/>
      <c r="V355" s="101"/>
      <c r="W355" s="101"/>
      <c r="X355" s="101"/>
      <c r="Y355" s="99"/>
      <c r="Z355" s="101"/>
      <c r="AA355" s="101"/>
      <c r="AB355" s="106"/>
      <c r="AC355" s="106"/>
      <c r="AD355" s="99"/>
      <c r="AE355" s="99"/>
      <c r="AF355" s="99"/>
      <c r="AG355" s="107"/>
      <c r="AH355" s="107"/>
      <c r="AI355" s="107"/>
      <c r="AJ355" s="107"/>
    </row>
    <row r="356">
      <c r="A356" s="100"/>
      <c r="B356" s="101"/>
      <c r="C356" s="101"/>
      <c r="D356" s="101"/>
      <c r="E356" s="102"/>
      <c r="F356" s="103"/>
      <c r="G356" s="101"/>
      <c r="H356" s="101"/>
      <c r="I356" s="101"/>
      <c r="J356" s="101"/>
      <c r="K356" s="101"/>
      <c r="L356" s="101"/>
      <c r="M356" s="104"/>
      <c r="N356" s="97"/>
      <c r="O356" s="97"/>
      <c r="P356" s="97"/>
      <c r="Q356" s="97"/>
      <c r="R356" s="105"/>
      <c r="S356" s="101"/>
      <c r="T356" s="101"/>
      <c r="U356" s="101"/>
      <c r="V356" s="101"/>
      <c r="W356" s="101"/>
      <c r="X356" s="101"/>
      <c r="Y356" s="99"/>
      <c r="Z356" s="101"/>
      <c r="AA356" s="101"/>
      <c r="AB356" s="106"/>
      <c r="AC356" s="106"/>
      <c r="AD356" s="99"/>
      <c r="AE356" s="99"/>
      <c r="AF356" s="99"/>
      <c r="AG356" s="107"/>
      <c r="AH356" s="107"/>
      <c r="AI356" s="107"/>
      <c r="AJ356" s="107"/>
    </row>
    <row r="357">
      <c r="A357" s="100"/>
      <c r="B357" s="101"/>
      <c r="C357" s="101"/>
      <c r="D357" s="101"/>
      <c r="E357" s="102"/>
      <c r="F357" s="103"/>
      <c r="G357" s="101"/>
      <c r="H357" s="101"/>
      <c r="I357" s="101"/>
      <c r="J357" s="101"/>
      <c r="K357" s="101"/>
      <c r="L357" s="101"/>
      <c r="M357" s="104"/>
      <c r="N357" s="97"/>
      <c r="O357" s="97"/>
      <c r="P357" s="97"/>
      <c r="Q357" s="97"/>
      <c r="R357" s="105"/>
      <c r="S357" s="101"/>
      <c r="T357" s="101"/>
      <c r="U357" s="101"/>
      <c r="V357" s="101"/>
      <c r="W357" s="101"/>
      <c r="X357" s="101"/>
      <c r="Y357" s="99"/>
      <c r="Z357" s="101"/>
      <c r="AA357" s="101"/>
      <c r="AB357" s="106"/>
      <c r="AC357" s="106"/>
      <c r="AD357" s="99"/>
      <c r="AE357" s="99"/>
      <c r="AF357" s="99"/>
      <c r="AG357" s="107"/>
      <c r="AH357" s="107"/>
      <c r="AI357" s="107"/>
      <c r="AJ357" s="107"/>
    </row>
    <row r="358">
      <c r="A358" s="100"/>
      <c r="B358" s="101"/>
      <c r="C358" s="101"/>
      <c r="D358" s="101"/>
      <c r="E358" s="102"/>
      <c r="F358" s="103"/>
      <c r="G358" s="101"/>
      <c r="H358" s="101"/>
      <c r="I358" s="101"/>
      <c r="J358" s="101"/>
      <c r="K358" s="101"/>
      <c r="L358" s="101"/>
      <c r="M358" s="104"/>
      <c r="N358" s="97"/>
      <c r="O358" s="97"/>
      <c r="P358" s="97"/>
      <c r="Q358" s="97"/>
      <c r="R358" s="105"/>
      <c r="S358" s="101"/>
      <c r="T358" s="101"/>
      <c r="U358" s="101"/>
      <c r="V358" s="101"/>
      <c r="W358" s="101"/>
      <c r="X358" s="101"/>
      <c r="Y358" s="99"/>
      <c r="Z358" s="101"/>
      <c r="AA358" s="101"/>
      <c r="AB358" s="106"/>
      <c r="AC358" s="106"/>
      <c r="AD358" s="99"/>
      <c r="AE358" s="99"/>
      <c r="AF358" s="99"/>
      <c r="AG358" s="107"/>
      <c r="AH358" s="107"/>
      <c r="AI358" s="107"/>
      <c r="AJ358" s="107"/>
    </row>
    <row r="359">
      <c r="A359" s="100"/>
      <c r="B359" s="101"/>
      <c r="C359" s="101"/>
      <c r="D359" s="101"/>
      <c r="E359" s="102"/>
      <c r="F359" s="103"/>
      <c r="G359" s="101"/>
      <c r="H359" s="101"/>
      <c r="I359" s="101"/>
      <c r="J359" s="101"/>
      <c r="K359" s="101"/>
      <c r="L359" s="101"/>
      <c r="M359" s="104"/>
      <c r="N359" s="97"/>
      <c r="O359" s="97"/>
      <c r="P359" s="97"/>
      <c r="Q359" s="97"/>
      <c r="R359" s="105"/>
      <c r="S359" s="101"/>
      <c r="T359" s="101"/>
      <c r="U359" s="101"/>
      <c r="V359" s="101"/>
      <c r="W359" s="101"/>
      <c r="X359" s="101"/>
      <c r="Y359" s="99"/>
      <c r="Z359" s="101"/>
      <c r="AA359" s="101"/>
      <c r="AB359" s="106"/>
      <c r="AC359" s="106"/>
      <c r="AD359" s="99"/>
      <c r="AE359" s="99"/>
      <c r="AF359" s="99"/>
      <c r="AG359" s="107"/>
      <c r="AH359" s="107"/>
      <c r="AI359" s="107"/>
      <c r="AJ359" s="107"/>
    </row>
    <row r="360">
      <c r="A360" s="100"/>
      <c r="B360" s="101"/>
      <c r="C360" s="101"/>
      <c r="D360" s="101"/>
      <c r="E360" s="102"/>
      <c r="F360" s="103"/>
      <c r="G360" s="101"/>
      <c r="H360" s="101"/>
      <c r="I360" s="101"/>
      <c r="J360" s="101"/>
      <c r="K360" s="101"/>
      <c r="L360" s="101"/>
      <c r="M360" s="104"/>
      <c r="N360" s="97"/>
      <c r="O360" s="97"/>
      <c r="P360" s="97"/>
      <c r="Q360" s="97"/>
      <c r="R360" s="105"/>
      <c r="S360" s="101"/>
      <c r="T360" s="101"/>
      <c r="U360" s="101"/>
      <c r="V360" s="101"/>
      <c r="W360" s="101"/>
      <c r="X360" s="101"/>
      <c r="Y360" s="99"/>
      <c r="Z360" s="101"/>
      <c r="AA360" s="101"/>
      <c r="AB360" s="106"/>
      <c r="AC360" s="106"/>
      <c r="AD360" s="99"/>
      <c r="AE360" s="99"/>
      <c r="AF360" s="99"/>
      <c r="AG360" s="107"/>
      <c r="AH360" s="107"/>
      <c r="AI360" s="107"/>
      <c r="AJ360" s="107"/>
    </row>
    <row r="361">
      <c r="A361" s="100"/>
      <c r="B361" s="101"/>
      <c r="C361" s="101"/>
      <c r="D361" s="101"/>
      <c r="E361" s="102"/>
      <c r="F361" s="103"/>
      <c r="G361" s="101"/>
      <c r="H361" s="101"/>
      <c r="I361" s="101"/>
      <c r="J361" s="101"/>
      <c r="K361" s="101"/>
      <c r="L361" s="101"/>
      <c r="M361" s="104"/>
      <c r="N361" s="97"/>
      <c r="O361" s="97"/>
      <c r="P361" s="97"/>
      <c r="Q361" s="97"/>
      <c r="R361" s="105"/>
      <c r="S361" s="101"/>
      <c r="T361" s="101"/>
      <c r="U361" s="101"/>
      <c r="V361" s="101"/>
      <c r="W361" s="101"/>
      <c r="X361" s="101"/>
      <c r="Y361" s="99"/>
      <c r="Z361" s="101"/>
      <c r="AA361" s="101"/>
      <c r="AB361" s="106"/>
      <c r="AC361" s="106"/>
      <c r="AD361" s="99"/>
      <c r="AE361" s="99"/>
      <c r="AF361" s="99"/>
      <c r="AG361" s="107"/>
      <c r="AH361" s="107"/>
      <c r="AI361" s="107"/>
      <c r="AJ361" s="107"/>
    </row>
    <row r="362">
      <c r="A362" s="100"/>
      <c r="B362" s="101"/>
      <c r="C362" s="101"/>
      <c r="D362" s="101"/>
      <c r="E362" s="102"/>
      <c r="F362" s="103"/>
      <c r="G362" s="101"/>
      <c r="H362" s="101"/>
      <c r="I362" s="101"/>
      <c r="J362" s="101"/>
      <c r="K362" s="101"/>
      <c r="L362" s="101"/>
      <c r="M362" s="104"/>
      <c r="N362" s="97"/>
      <c r="O362" s="97"/>
      <c r="P362" s="97"/>
      <c r="Q362" s="97"/>
      <c r="R362" s="105"/>
      <c r="S362" s="101"/>
      <c r="T362" s="101"/>
      <c r="U362" s="101"/>
      <c r="V362" s="101"/>
      <c r="W362" s="101"/>
      <c r="X362" s="101"/>
      <c r="Y362" s="99"/>
      <c r="Z362" s="101"/>
      <c r="AA362" s="101"/>
      <c r="AB362" s="106"/>
      <c r="AC362" s="106"/>
      <c r="AD362" s="99"/>
      <c r="AE362" s="99"/>
      <c r="AF362" s="99"/>
      <c r="AG362" s="107"/>
      <c r="AH362" s="107"/>
      <c r="AI362" s="107"/>
      <c r="AJ362" s="107"/>
    </row>
    <row r="363">
      <c r="A363" s="100"/>
      <c r="B363" s="101"/>
      <c r="C363" s="101"/>
      <c r="D363" s="101"/>
      <c r="E363" s="102"/>
      <c r="F363" s="103"/>
      <c r="G363" s="101"/>
      <c r="H363" s="101"/>
      <c r="I363" s="101"/>
      <c r="J363" s="101"/>
      <c r="K363" s="101"/>
      <c r="L363" s="101"/>
      <c r="M363" s="104"/>
      <c r="N363" s="97"/>
      <c r="O363" s="97"/>
      <c r="P363" s="97"/>
      <c r="Q363" s="97"/>
      <c r="R363" s="105"/>
      <c r="S363" s="101"/>
      <c r="T363" s="101"/>
      <c r="U363" s="101"/>
      <c r="V363" s="101"/>
      <c r="W363" s="101"/>
      <c r="X363" s="101"/>
      <c r="Y363" s="99"/>
      <c r="Z363" s="101"/>
      <c r="AA363" s="101"/>
      <c r="AB363" s="106"/>
      <c r="AC363" s="106"/>
      <c r="AD363" s="99"/>
      <c r="AE363" s="99"/>
      <c r="AF363" s="99"/>
      <c r="AG363" s="107"/>
      <c r="AH363" s="107"/>
      <c r="AI363" s="107"/>
      <c r="AJ363" s="107"/>
    </row>
    <row r="364">
      <c r="A364" s="100"/>
      <c r="B364" s="101"/>
      <c r="C364" s="101"/>
      <c r="D364" s="101"/>
      <c r="E364" s="102"/>
      <c r="F364" s="103"/>
      <c r="G364" s="101"/>
      <c r="H364" s="101"/>
      <c r="I364" s="101"/>
      <c r="J364" s="101"/>
      <c r="K364" s="101"/>
      <c r="L364" s="101"/>
      <c r="M364" s="104"/>
      <c r="N364" s="97"/>
      <c r="O364" s="97"/>
      <c r="P364" s="97"/>
      <c r="Q364" s="97"/>
      <c r="R364" s="105"/>
      <c r="S364" s="101"/>
      <c r="T364" s="101"/>
      <c r="U364" s="101"/>
      <c r="V364" s="101"/>
      <c r="W364" s="101"/>
      <c r="X364" s="101"/>
      <c r="Y364" s="99"/>
      <c r="Z364" s="101"/>
      <c r="AA364" s="101"/>
      <c r="AB364" s="106"/>
      <c r="AC364" s="106"/>
      <c r="AD364" s="99"/>
      <c r="AE364" s="99"/>
      <c r="AF364" s="99"/>
      <c r="AG364" s="107"/>
      <c r="AH364" s="107"/>
      <c r="AI364" s="107"/>
      <c r="AJ364" s="107"/>
    </row>
    <row r="365">
      <c r="A365" s="100"/>
      <c r="B365" s="101"/>
      <c r="C365" s="101"/>
      <c r="D365" s="101"/>
      <c r="E365" s="102"/>
      <c r="F365" s="103"/>
      <c r="G365" s="101"/>
      <c r="H365" s="101"/>
      <c r="I365" s="101"/>
      <c r="J365" s="101"/>
      <c r="K365" s="101"/>
      <c r="L365" s="101"/>
      <c r="M365" s="104"/>
      <c r="N365" s="97"/>
      <c r="O365" s="97"/>
      <c r="P365" s="97"/>
      <c r="Q365" s="97"/>
      <c r="R365" s="105"/>
      <c r="S365" s="101"/>
      <c r="T365" s="101"/>
      <c r="U365" s="101"/>
      <c r="V365" s="101"/>
      <c r="W365" s="101"/>
      <c r="X365" s="101"/>
      <c r="Y365" s="99"/>
      <c r="Z365" s="101"/>
      <c r="AA365" s="101"/>
      <c r="AB365" s="106"/>
      <c r="AC365" s="106"/>
      <c r="AD365" s="99"/>
      <c r="AE365" s="99"/>
      <c r="AF365" s="99"/>
      <c r="AG365" s="107"/>
      <c r="AH365" s="107"/>
      <c r="AI365" s="107"/>
      <c r="AJ365" s="107"/>
    </row>
    <row r="366">
      <c r="A366" s="100"/>
      <c r="B366" s="101"/>
      <c r="C366" s="101"/>
      <c r="D366" s="101"/>
      <c r="E366" s="102"/>
      <c r="F366" s="103"/>
      <c r="G366" s="101"/>
      <c r="H366" s="101"/>
      <c r="I366" s="101"/>
      <c r="J366" s="101"/>
      <c r="K366" s="101"/>
      <c r="L366" s="101"/>
      <c r="M366" s="104"/>
      <c r="N366" s="97"/>
      <c r="O366" s="97"/>
      <c r="P366" s="97"/>
      <c r="Q366" s="97"/>
      <c r="R366" s="105"/>
      <c r="S366" s="101"/>
      <c r="T366" s="101"/>
      <c r="U366" s="101"/>
      <c r="V366" s="101"/>
      <c r="W366" s="101"/>
      <c r="X366" s="101"/>
      <c r="Y366" s="99"/>
      <c r="Z366" s="101"/>
      <c r="AA366" s="101"/>
      <c r="AB366" s="106"/>
      <c r="AC366" s="106"/>
      <c r="AD366" s="99"/>
      <c r="AE366" s="99"/>
      <c r="AF366" s="99"/>
      <c r="AG366" s="107"/>
      <c r="AH366" s="107"/>
      <c r="AI366" s="107"/>
      <c r="AJ366" s="107"/>
    </row>
    <row r="367">
      <c r="A367" s="100"/>
      <c r="B367" s="101"/>
      <c r="C367" s="101"/>
      <c r="D367" s="101"/>
      <c r="E367" s="102"/>
      <c r="F367" s="103"/>
      <c r="G367" s="101"/>
      <c r="H367" s="101"/>
      <c r="I367" s="101"/>
      <c r="J367" s="101"/>
      <c r="K367" s="101"/>
      <c r="L367" s="101"/>
      <c r="M367" s="104"/>
      <c r="N367" s="97"/>
      <c r="O367" s="97"/>
      <c r="P367" s="97"/>
      <c r="Q367" s="97"/>
      <c r="R367" s="105"/>
      <c r="S367" s="101"/>
      <c r="T367" s="101"/>
      <c r="U367" s="101"/>
      <c r="V367" s="101"/>
      <c r="W367" s="101"/>
      <c r="X367" s="101"/>
      <c r="Y367" s="99"/>
      <c r="Z367" s="101"/>
      <c r="AA367" s="101"/>
      <c r="AB367" s="106"/>
      <c r="AC367" s="106"/>
      <c r="AD367" s="99"/>
      <c r="AE367" s="99"/>
      <c r="AF367" s="99"/>
      <c r="AG367" s="107"/>
      <c r="AH367" s="107"/>
      <c r="AI367" s="107"/>
      <c r="AJ367" s="107"/>
    </row>
    <row r="368">
      <c r="A368" s="100"/>
      <c r="B368" s="101"/>
      <c r="C368" s="101"/>
      <c r="D368" s="101"/>
      <c r="E368" s="102"/>
      <c r="F368" s="103"/>
      <c r="G368" s="101"/>
      <c r="H368" s="101"/>
      <c r="I368" s="101"/>
      <c r="J368" s="101"/>
      <c r="K368" s="101"/>
      <c r="L368" s="101"/>
      <c r="M368" s="104"/>
      <c r="N368" s="97"/>
      <c r="O368" s="97"/>
      <c r="P368" s="97"/>
      <c r="Q368" s="97"/>
      <c r="R368" s="105"/>
      <c r="S368" s="101"/>
      <c r="T368" s="101"/>
      <c r="U368" s="101"/>
      <c r="V368" s="101"/>
      <c r="W368" s="101"/>
      <c r="X368" s="101"/>
      <c r="Y368" s="99"/>
      <c r="Z368" s="101"/>
      <c r="AA368" s="101"/>
      <c r="AB368" s="106"/>
      <c r="AC368" s="106"/>
      <c r="AD368" s="99"/>
      <c r="AE368" s="99"/>
      <c r="AF368" s="99"/>
      <c r="AG368" s="107"/>
      <c r="AH368" s="107"/>
      <c r="AI368" s="107"/>
      <c r="AJ368" s="107"/>
    </row>
    <row r="369">
      <c r="A369" s="100"/>
      <c r="B369" s="101"/>
      <c r="C369" s="101"/>
      <c r="D369" s="101"/>
      <c r="E369" s="102"/>
      <c r="F369" s="103"/>
      <c r="G369" s="101"/>
      <c r="H369" s="101"/>
      <c r="I369" s="101"/>
      <c r="J369" s="101"/>
      <c r="K369" s="101"/>
      <c r="L369" s="101"/>
      <c r="M369" s="104"/>
      <c r="N369" s="97"/>
      <c r="O369" s="97"/>
      <c r="P369" s="97"/>
      <c r="Q369" s="97"/>
      <c r="R369" s="105"/>
      <c r="S369" s="101"/>
      <c r="T369" s="101"/>
      <c r="U369" s="101"/>
      <c r="V369" s="101"/>
      <c r="W369" s="101"/>
      <c r="X369" s="101"/>
      <c r="Y369" s="99"/>
      <c r="Z369" s="101"/>
      <c r="AA369" s="101"/>
      <c r="AB369" s="106"/>
      <c r="AC369" s="106"/>
      <c r="AD369" s="99"/>
      <c r="AE369" s="99"/>
      <c r="AF369" s="99"/>
      <c r="AG369" s="107"/>
      <c r="AH369" s="107"/>
      <c r="AI369" s="107"/>
      <c r="AJ369" s="107"/>
    </row>
    <row r="370">
      <c r="A370" s="100"/>
      <c r="B370" s="101"/>
      <c r="C370" s="101"/>
      <c r="D370" s="101"/>
      <c r="E370" s="102"/>
      <c r="F370" s="103"/>
      <c r="G370" s="101"/>
      <c r="H370" s="101"/>
      <c r="I370" s="101"/>
      <c r="J370" s="101"/>
      <c r="K370" s="101"/>
      <c r="L370" s="101"/>
      <c r="M370" s="104"/>
      <c r="N370" s="97"/>
      <c r="O370" s="97"/>
      <c r="P370" s="97"/>
      <c r="Q370" s="97"/>
      <c r="R370" s="105"/>
      <c r="S370" s="101"/>
      <c r="T370" s="101"/>
      <c r="U370" s="101"/>
      <c r="V370" s="101"/>
      <c r="W370" s="101"/>
      <c r="X370" s="101"/>
      <c r="Y370" s="99"/>
      <c r="Z370" s="101"/>
      <c r="AA370" s="101"/>
      <c r="AB370" s="106"/>
      <c r="AC370" s="106"/>
      <c r="AD370" s="99"/>
      <c r="AE370" s="99"/>
      <c r="AF370" s="99"/>
      <c r="AG370" s="107"/>
      <c r="AH370" s="107"/>
      <c r="AI370" s="107"/>
      <c r="AJ370" s="107"/>
    </row>
    <row r="371">
      <c r="A371" s="100"/>
      <c r="B371" s="101"/>
      <c r="C371" s="101"/>
      <c r="D371" s="101"/>
      <c r="E371" s="102"/>
      <c r="F371" s="103"/>
      <c r="G371" s="101"/>
      <c r="H371" s="101"/>
      <c r="I371" s="101"/>
      <c r="J371" s="101"/>
      <c r="K371" s="101"/>
      <c r="L371" s="101"/>
      <c r="M371" s="104"/>
      <c r="N371" s="97"/>
      <c r="O371" s="97"/>
      <c r="P371" s="97"/>
      <c r="Q371" s="97"/>
      <c r="R371" s="105"/>
      <c r="S371" s="101"/>
      <c r="T371" s="101"/>
      <c r="U371" s="101"/>
      <c r="V371" s="101"/>
      <c r="W371" s="101"/>
      <c r="X371" s="101"/>
      <c r="Y371" s="99"/>
      <c r="Z371" s="101"/>
      <c r="AA371" s="101"/>
      <c r="AB371" s="106"/>
      <c r="AC371" s="106"/>
      <c r="AD371" s="99"/>
      <c r="AE371" s="99"/>
      <c r="AF371" s="99"/>
      <c r="AG371" s="107"/>
      <c r="AH371" s="107"/>
      <c r="AI371" s="107"/>
      <c r="AJ371" s="107"/>
    </row>
    <row r="372">
      <c r="A372" s="100"/>
      <c r="B372" s="101"/>
      <c r="C372" s="101"/>
      <c r="D372" s="101"/>
      <c r="E372" s="102"/>
      <c r="F372" s="103"/>
      <c r="G372" s="101"/>
      <c r="H372" s="101"/>
      <c r="I372" s="101"/>
      <c r="J372" s="101"/>
      <c r="K372" s="101"/>
      <c r="L372" s="101"/>
      <c r="M372" s="104"/>
      <c r="N372" s="97"/>
      <c r="O372" s="97"/>
      <c r="P372" s="97"/>
      <c r="Q372" s="97"/>
      <c r="R372" s="105"/>
      <c r="S372" s="101"/>
      <c r="T372" s="101"/>
      <c r="U372" s="101"/>
      <c r="V372" s="101"/>
      <c r="W372" s="101"/>
      <c r="X372" s="101"/>
      <c r="Y372" s="99"/>
      <c r="Z372" s="101"/>
      <c r="AA372" s="101"/>
      <c r="AB372" s="106"/>
      <c r="AC372" s="106"/>
      <c r="AD372" s="99"/>
      <c r="AE372" s="99"/>
      <c r="AF372" s="99"/>
      <c r="AG372" s="107"/>
      <c r="AH372" s="107"/>
      <c r="AI372" s="107"/>
      <c r="AJ372" s="107"/>
    </row>
    <row r="373">
      <c r="A373" s="100"/>
      <c r="B373" s="101"/>
      <c r="C373" s="101"/>
      <c r="D373" s="101"/>
      <c r="E373" s="102"/>
      <c r="F373" s="103"/>
      <c r="G373" s="101"/>
      <c r="H373" s="101"/>
      <c r="I373" s="101"/>
      <c r="J373" s="101"/>
      <c r="K373" s="101"/>
      <c r="L373" s="101"/>
      <c r="M373" s="104"/>
      <c r="N373" s="97"/>
      <c r="O373" s="97"/>
      <c r="P373" s="97"/>
      <c r="Q373" s="97"/>
      <c r="R373" s="105"/>
      <c r="S373" s="101"/>
      <c r="T373" s="101"/>
      <c r="U373" s="101"/>
      <c r="V373" s="101"/>
      <c r="W373" s="101"/>
      <c r="X373" s="101"/>
      <c r="Y373" s="99"/>
      <c r="Z373" s="101"/>
      <c r="AA373" s="101"/>
      <c r="AB373" s="106"/>
      <c r="AC373" s="106"/>
      <c r="AD373" s="99"/>
      <c r="AE373" s="99"/>
      <c r="AF373" s="99"/>
      <c r="AG373" s="107"/>
      <c r="AH373" s="107"/>
      <c r="AI373" s="107"/>
      <c r="AJ373" s="107"/>
    </row>
    <row r="374">
      <c r="A374" s="100"/>
      <c r="B374" s="101"/>
      <c r="C374" s="101"/>
      <c r="D374" s="101"/>
      <c r="E374" s="102"/>
      <c r="F374" s="103"/>
      <c r="G374" s="101"/>
      <c r="H374" s="101"/>
      <c r="I374" s="101"/>
      <c r="J374" s="101"/>
      <c r="K374" s="101"/>
      <c r="L374" s="101"/>
      <c r="M374" s="104"/>
      <c r="N374" s="97"/>
      <c r="O374" s="97"/>
      <c r="P374" s="97"/>
      <c r="Q374" s="97"/>
      <c r="R374" s="105"/>
      <c r="S374" s="101"/>
      <c r="T374" s="101"/>
      <c r="U374" s="101"/>
      <c r="V374" s="101"/>
      <c r="W374" s="101"/>
      <c r="X374" s="101"/>
      <c r="Y374" s="99"/>
      <c r="Z374" s="101"/>
      <c r="AA374" s="101"/>
      <c r="AB374" s="106"/>
      <c r="AC374" s="106"/>
      <c r="AD374" s="99"/>
      <c r="AE374" s="99"/>
      <c r="AF374" s="99"/>
      <c r="AG374" s="107"/>
      <c r="AH374" s="107"/>
      <c r="AI374" s="107"/>
      <c r="AJ374" s="107"/>
    </row>
    <row r="375">
      <c r="A375" s="100"/>
      <c r="B375" s="101"/>
      <c r="C375" s="101"/>
      <c r="D375" s="101"/>
      <c r="E375" s="102"/>
      <c r="F375" s="103"/>
      <c r="G375" s="101"/>
      <c r="H375" s="101"/>
      <c r="I375" s="101"/>
      <c r="J375" s="101"/>
      <c r="K375" s="101"/>
      <c r="L375" s="101"/>
      <c r="M375" s="104"/>
      <c r="N375" s="97"/>
      <c r="O375" s="97"/>
      <c r="P375" s="97"/>
      <c r="Q375" s="97"/>
      <c r="R375" s="105"/>
      <c r="S375" s="101"/>
      <c r="T375" s="101"/>
      <c r="U375" s="101"/>
      <c r="V375" s="101"/>
      <c r="W375" s="101"/>
      <c r="X375" s="101"/>
      <c r="Y375" s="99"/>
      <c r="Z375" s="101"/>
      <c r="AA375" s="101"/>
      <c r="AB375" s="106"/>
      <c r="AC375" s="106"/>
      <c r="AD375" s="99"/>
      <c r="AE375" s="99"/>
      <c r="AF375" s="99"/>
      <c r="AG375" s="107"/>
      <c r="AH375" s="107"/>
      <c r="AI375" s="107"/>
      <c r="AJ375" s="107"/>
    </row>
    <row r="376">
      <c r="A376" s="100"/>
      <c r="B376" s="101"/>
      <c r="C376" s="101"/>
      <c r="D376" s="101"/>
      <c r="E376" s="102"/>
      <c r="F376" s="103"/>
      <c r="G376" s="101"/>
      <c r="H376" s="101"/>
      <c r="I376" s="101"/>
      <c r="J376" s="101"/>
      <c r="K376" s="101"/>
      <c r="L376" s="101"/>
      <c r="M376" s="104"/>
      <c r="N376" s="97"/>
      <c r="O376" s="97"/>
      <c r="P376" s="97"/>
      <c r="Q376" s="97"/>
      <c r="R376" s="105"/>
      <c r="S376" s="101"/>
      <c r="T376" s="101"/>
      <c r="U376" s="101"/>
      <c r="V376" s="101"/>
      <c r="W376" s="101"/>
      <c r="X376" s="101"/>
      <c r="Y376" s="99"/>
      <c r="Z376" s="101"/>
      <c r="AA376" s="101"/>
      <c r="AB376" s="106"/>
      <c r="AC376" s="106"/>
      <c r="AD376" s="99"/>
      <c r="AE376" s="99"/>
      <c r="AF376" s="99"/>
      <c r="AG376" s="107"/>
      <c r="AH376" s="107"/>
      <c r="AI376" s="107"/>
      <c r="AJ376" s="107"/>
    </row>
    <row r="377">
      <c r="A377" s="100"/>
      <c r="B377" s="101"/>
      <c r="C377" s="101"/>
      <c r="D377" s="101"/>
      <c r="E377" s="102"/>
      <c r="F377" s="103"/>
      <c r="G377" s="101"/>
      <c r="H377" s="101"/>
      <c r="I377" s="101"/>
      <c r="J377" s="101"/>
      <c r="K377" s="101"/>
      <c r="L377" s="101"/>
      <c r="M377" s="104"/>
      <c r="N377" s="97"/>
      <c r="O377" s="97"/>
      <c r="P377" s="97"/>
      <c r="Q377" s="97"/>
      <c r="R377" s="105"/>
      <c r="S377" s="101"/>
      <c r="T377" s="101"/>
      <c r="U377" s="101"/>
      <c r="V377" s="101"/>
      <c r="W377" s="101"/>
      <c r="X377" s="101"/>
      <c r="Y377" s="99"/>
      <c r="Z377" s="101"/>
      <c r="AA377" s="101"/>
      <c r="AB377" s="106"/>
      <c r="AC377" s="106"/>
      <c r="AD377" s="99"/>
      <c r="AE377" s="99"/>
      <c r="AF377" s="99"/>
      <c r="AG377" s="107"/>
      <c r="AH377" s="107"/>
      <c r="AI377" s="107"/>
      <c r="AJ377" s="107"/>
    </row>
    <row r="378">
      <c r="A378" s="100"/>
      <c r="B378" s="101"/>
      <c r="C378" s="101"/>
      <c r="D378" s="101"/>
      <c r="E378" s="102"/>
      <c r="F378" s="103"/>
      <c r="G378" s="101"/>
      <c r="H378" s="101"/>
      <c r="I378" s="101"/>
      <c r="J378" s="101"/>
      <c r="K378" s="101"/>
      <c r="L378" s="101"/>
      <c r="M378" s="104"/>
      <c r="N378" s="97"/>
      <c r="O378" s="97"/>
      <c r="P378" s="97"/>
      <c r="Q378" s="97"/>
      <c r="R378" s="105"/>
      <c r="S378" s="101"/>
      <c r="T378" s="101"/>
      <c r="U378" s="101"/>
      <c r="V378" s="101"/>
      <c r="W378" s="101"/>
      <c r="X378" s="101"/>
      <c r="Y378" s="99"/>
      <c r="Z378" s="101"/>
      <c r="AA378" s="101"/>
      <c r="AB378" s="106"/>
      <c r="AC378" s="106"/>
      <c r="AD378" s="99"/>
      <c r="AE378" s="99"/>
      <c r="AF378" s="99"/>
      <c r="AG378" s="107"/>
      <c r="AH378" s="107"/>
      <c r="AI378" s="107"/>
      <c r="AJ378" s="107"/>
    </row>
    <row r="379">
      <c r="A379" s="100"/>
      <c r="B379" s="101"/>
      <c r="C379" s="101"/>
      <c r="D379" s="101"/>
      <c r="E379" s="102"/>
      <c r="F379" s="103"/>
      <c r="G379" s="101"/>
      <c r="H379" s="101"/>
      <c r="I379" s="101"/>
      <c r="J379" s="101"/>
      <c r="K379" s="101"/>
      <c r="L379" s="101"/>
      <c r="M379" s="104"/>
      <c r="N379" s="97"/>
      <c r="O379" s="97"/>
      <c r="P379" s="97"/>
      <c r="Q379" s="97"/>
      <c r="R379" s="105"/>
      <c r="S379" s="101"/>
      <c r="T379" s="101"/>
      <c r="U379" s="101"/>
      <c r="V379" s="101"/>
      <c r="W379" s="101"/>
      <c r="X379" s="101"/>
      <c r="Y379" s="99"/>
      <c r="Z379" s="101"/>
      <c r="AA379" s="101"/>
      <c r="AB379" s="106"/>
      <c r="AC379" s="106"/>
      <c r="AD379" s="99"/>
      <c r="AE379" s="99"/>
      <c r="AF379" s="99"/>
      <c r="AG379" s="107"/>
      <c r="AH379" s="107"/>
      <c r="AI379" s="107"/>
      <c r="AJ379" s="107"/>
    </row>
    <row r="380">
      <c r="A380" s="100"/>
      <c r="B380" s="101"/>
      <c r="C380" s="101"/>
      <c r="D380" s="101"/>
      <c r="E380" s="102"/>
      <c r="F380" s="103"/>
      <c r="G380" s="101"/>
      <c r="H380" s="101"/>
      <c r="I380" s="101"/>
      <c r="J380" s="101"/>
      <c r="K380" s="101"/>
      <c r="L380" s="101"/>
      <c r="M380" s="104"/>
      <c r="N380" s="97"/>
      <c r="O380" s="97"/>
      <c r="P380" s="97"/>
      <c r="Q380" s="97"/>
      <c r="R380" s="105"/>
      <c r="S380" s="101"/>
      <c r="T380" s="101"/>
      <c r="U380" s="101"/>
      <c r="V380" s="101"/>
      <c r="W380" s="101"/>
      <c r="X380" s="101"/>
      <c r="Y380" s="99"/>
      <c r="Z380" s="101"/>
      <c r="AA380" s="101"/>
      <c r="AB380" s="106"/>
      <c r="AC380" s="106"/>
      <c r="AD380" s="99"/>
      <c r="AE380" s="99"/>
      <c r="AF380" s="99"/>
      <c r="AG380" s="107"/>
      <c r="AH380" s="107"/>
      <c r="AI380" s="107"/>
      <c r="AJ380" s="107"/>
    </row>
    <row r="381">
      <c r="A381" s="100"/>
      <c r="B381" s="101"/>
      <c r="C381" s="101"/>
      <c r="D381" s="101"/>
      <c r="E381" s="102"/>
      <c r="F381" s="103"/>
      <c r="G381" s="101"/>
      <c r="H381" s="101"/>
      <c r="I381" s="101"/>
      <c r="J381" s="101"/>
      <c r="K381" s="101"/>
      <c r="L381" s="101"/>
      <c r="M381" s="104"/>
      <c r="N381" s="97"/>
      <c r="O381" s="97"/>
      <c r="P381" s="97"/>
      <c r="Q381" s="97"/>
      <c r="R381" s="105"/>
      <c r="S381" s="101"/>
      <c r="T381" s="101"/>
      <c r="U381" s="101"/>
      <c r="V381" s="101"/>
      <c r="W381" s="101"/>
      <c r="X381" s="101"/>
      <c r="Y381" s="99"/>
      <c r="Z381" s="101"/>
      <c r="AA381" s="101"/>
      <c r="AB381" s="106"/>
      <c r="AC381" s="106"/>
      <c r="AD381" s="99"/>
      <c r="AE381" s="99"/>
      <c r="AF381" s="99"/>
      <c r="AG381" s="107"/>
      <c r="AH381" s="107"/>
      <c r="AI381" s="107"/>
      <c r="AJ381" s="107"/>
    </row>
    <row r="382">
      <c r="A382" s="100"/>
      <c r="B382" s="101"/>
      <c r="C382" s="101"/>
      <c r="D382" s="101"/>
      <c r="E382" s="102"/>
      <c r="F382" s="103"/>
      <c r="G382" s="101"/>
      <c r="H382" s="101"/>
      <c r="I382" s="101"/>
      <c r="J382" s="101"/>
      <c r="K382" s="101"/>
      <c r="L382" s="101"/>
      <c r="M382" s="104"/>
      <c r="N382" s="97"/>
      <c r="O382" s="97"/>
      <c r="P382" s="97"/>
      <c r="Q382" s="97"/>
      <c r="R382" s="105"/>
      <c r="S382" s="101"/>
      <c r="T382" s="101"/>
      <c r="U382" s="101"/>
      <c r="V382" s="101"/>
      <c r="W382" s="101"/>
      <c r="X382" s="101"/>
      <c r="Y382" s="99"/>
      <c r="Z382" s="101"/>
      <c r="AA382" s="101"/>
      <c r="AB382" s="106"/>
      <c r="AC382" s="106"/>
      <c r="AD382" s="99"/>
      <c r="AE382" s="99"/>
      <c r="AF382" s="99"/>
      <c r="AG382" s="107"/>
      <c r="AH382" s="107"/>
      <c r="AI382" s="107"/>
      <c r="AJ382" s="107"/>
    </row>
    <row r="383">
      <c r="A383" s="100"/>
      <c r="B383" s="101"/>
      <c r="C383" s="101"/>
      <c r="D383" s="101"/>
      <c r="E383" s="102"/>
      <c r="F383" s="103"/>
      <c r="G383" s="101"/>
      <c r="H383" s="101"/>
      <c r="I383" s="101"/>
      <c r="J383" s="101"/>
      <c r="K383" s="101"/>
      <c r="L383" s="101"/>
      <c r="M383" s="104"/>
      <c r="N383" s="97"/>
      <c r="O383" s="97"/>
      <c r="P383" s="97"/>
      <c r="Q383" s="97"/>
      <c r="R383" s="105"/>
      <c r="S383" s="101"/>
      <c r="T383" s="101"/>
      <c r="U383" s="101"/>
      <c r="V383" s="101"/>
      <c r="W383" s="101"/>
      <c r="X383" s="101"/>
      <c r="Y383" s="99"/>
      <c r="Z383" s="101"/>
      <c r="AA383" s="101"/>
      <c r="AB383" s="106"/>
      <c r="AC383" s="106"/>
      <c r="AD383" s="99"/>
      <c r="AE383" s="99"/>
      <c r="AF383" s="99"/>
      <c r="AG383" s="107"/>
      <c r="AH383" s="107"/>
      <c r="AI383" s="107"/>
      <c r="AJ383" s="107"/>
    </row>
    <row r="384">
      <c r="A384" s="100"/>
      <c r="B384" s="101"/>
      <c r="C384" s="101"/>
      <c r="D384" s="101"/>
      <c r="E384" s="102"/>
      <c r="F384" s="103"/>
      <c r="G384" s="101"/>
      <c r="H384" s="101"/>
      <c r="I384" s="101"/>
      <c r="J384" s="101"/>
      <c r="K384" s="101"/>
      <c r="L384" s="101"/>
      <c r="M384" s="104"/>
      <c r="N384" s="97"/>
      <c r="O384" s="97"/>
      <c r="P384" s="97"/>
      <c r="Q384" s="97"/>
      <c r="R384" s="105"/>
      <c r="S384" s="101"/>
      <c r="T384" s="101"/>
      <c r="U384" s="101"/>
      <c r="V384" s="101"/>
      <c r="W384" s="101"/>
      <c r="X384" s="101"/>
      <c r="Y384" s="99"/>
      <c r="Z384" s="101"/>
      <c r="AA384" s="101"/>
      <c r="AB384" s="106"/>
      <c r="AC384" s="106"/>
      <c r="AD384" s="99"/>
      <c r="AE384" s="99"/>
      <c r="AF384" s="99"/>
      <c r="AG384" s="107"/>
      <c r="AH384" s="107"/>
      <c r="AI384" s="107"/>
      <c r="AJ384" s="107"/>
    </row>
    <row r="385">
      <c r="A385" s="100"/>
      <c r="B385" s="101"/>
      <c r="C385" s="101"/>
      <c r="D385" s="101"/>
      <c r="E385" s="102"/>
      <c r="F385" s="103"/>
      <c r="G385" s="101"/>
      <c r="H385" s="101"/>
      <c r="I385" s="101"/>
      <c r="J385" s="101"/>
      <c r="K385" s="101"/>
      <c r="L385" s="101"/>
      <c r="M385" s="104"/>
      <c r="N385" s="97"/>
      <c r="O385" s="97"/>
      <c r="P385" s="97"/>
      <c r="Q385" s="97"/>
      <c r="R385" s="105"/>
      <c r="S385" s="101"/>
      <c r="T385" s="101"/>
      <c r="U385" s="101"/>
      <c r="V385" s="101"/>
      <c r="W385" s="101"/>
      <c r="X385" s="101"/>
      <c r="Y385" s="99"/>
      <c r="Z385" s="101"/>
      <c r="AA385" s="101"/>
      <c r="AB385" s="106"/>
      <c r="AC385" s="106"/>
      <c r="AD385" s="99"/>
      <c r="AE385" s="99"/>
      <c r="AF385" s="99"/>
      <c r="AG385" s="107"/>
      <c r="AH385" s="107"/>
      <c r="AI385" s="107"/>
      <c r="AJ385" s="107"/>
    </row>
    <row r="386">
      <c r="A386" s="100"/>
      <c r="B386" s="101"/>
      <c r="C386" s="101"/>
      <c r="D386" s="101"/>
      <c r="E386" s="102"/>
      <c r="F386" s="103"/>
      <c r="G386" s="101"/>
      <c r="H386" s="101"/>
      <c r="I386" s="101"/>
      <c r="J386" s="101"/>
      <c r="K386" s="101"/>
      <c r="L386" s="101"/>
      <c r="M386" s="104"/>
      <c r="N386" s="97"/>
      <c r="O386" s="97"/>
      <c r="P386" s="97"/>
      <c r="Q386" s="97"/>
      <c r="R386" s="105"/>
      <c r="S386" s="101"/>
      <c r="T386" s="101"/>
      <c r="U386" s="101"/>
      <c r="V386" s="101"/>
      <c r="W386" s="101"/>
      <c r="X386" s="101"/>
      <c r="Y386" s="99"/>
      <c r="Z386" s="101"/>
      <c r="AA386" s="101"/>
      <c r="AB386" s="106"/>
      <c r="AC386" s="106"/>
      <c r="AD386" s="99"/>
      <c r="AE386" s="99"/>
      <c r="AF386" s="99"/>
      <c r="AG386" s="107"/>
      <c r="AH386" s="107"/>
      <c r="AI386" s="107"/>
      <c r="AJ386" s="107"/>
    </row>
    <row r="387">
      <c r="A387" s="100"/>
      <c r="B387" s="101"/>
      <c r="C387" s="101"/>
      <c r="D387" s="101"/>
      <c r="E387" s="102"/>
      <c r="F387" s="103"/>
      <c r="G387" s="101"/>
      <c r="H387" s="101"/>
      <c r="I387" s="101"/>
      <c r="J387" s="101"/>
      <c r="K387" s="101"/>
      <c r="L387" s="101"/>
      <c r="M387" s="104"/>
      <c r="N387" s="97"/>
      <c r="O387" s="97"/>
      <c r="P387" s="97"/>
      <c r="Q387" s="97"/>
      <c r="R387" s="105"/>
      <c r="S387" s="101"/>
      <c r="T387" s="101"/>
      <c r="U387" s="101"/>
      <c r="V387" s="101"/>
      <c r="W387" s="101"/>
      <c r="X387" s="101"/>
      <c r="Y387" s="99"/>
      <c r="Z387" s="101"/>
      <c r="AA387" s="101"/>
      <c r="AB387" s="106"/>
      <c r="AC387" s="106"/>
      <c r="AD387" s="99"/>
      <c r="AE387" s="99"/>
      <c r="AF387" s="99"/>
      <c r="AG387" s="107"/>
      <c r="AH387" s="107"/>
      <c r="AI387" s="107"/>
      <c r="AJ387" s="107"/>
    </row>
    <row r="388">
      <c r="A388" s="100"/>
      <c r="B388" s="101"/>
      <c r="C388" s="101"/>
      <c r="D388" s="101"/>
      <c r="E388" s="102"/>
      <c r="F388" s="103"/>
      <c r="G388" s="101"/>
      <c r="H388" s="101"/>
      <c r="I388" s="101"/>
      <c r="J388" s="101"/>
      <c r="K388" s="101"/>
      <c r="L388" s="101"/>
      <c r="M388" s="104"/>
      <c r="N388" s="97"/>
      <c r="O388" s="97"/>
      <c r="P388" s="97"/>
      <c r="Q388" s="97"/>
      <c r="R388" s="105"/>
      <c r="S388" s="101"/>
      <c r="T388" s="101"/>
      <c r="U388" s="101"/>
      <c r="V388" s="101"/>
      <c r="W388" s="101"/>
      <c r="X388" s="101"/>
      <c r="Y388" s="99"/>
      <c r="Z388" s="101"/>
      <c r="AA388" s="101"/>
      <c r="AB388" s="106"/>
      <c r="AC388" s="106"/>
      <c r="AD388" s="99"/>
      <c r="AE388" s="99"/>
      <c r="AF388" s="99"/>
      <c r="AG388" s="107"/>
      <c r="AH388" s="107"/>
      <c r="AI388" s="107"/>
      <c r="AJ388" s="107"/>
    </row>
    <row r="389">
      <c r="A389" s="100"/>
      <c r="B389" s="101"/>
      <c r="C389" s="101"/>
      <c r="D389" s="101"/>
      <c r="E389" s="102"/>
      <c r="F389" s="103"/>
      <c r="G389" s="101"/>
      <c r="H389" s="101"/>
      <c r="I389" s="101"/>
      <c r="J389" s="101"/>
      <c r="K389" s="101"/>
      <c r="L389" s="101"/>
      <c r="M389" s="104"/>
      <c r="N389" s="97"/>
      <c r="O389" s="97"/>
      <c r="P389" s="97"/>
      <c r="Q389" s="97"/>
      <c r="R389" s="105"/>
      <c r="S389" s="101"/>
      <c r="T389" s="101"/>
      <c r="U389" s="101"/>
      <c r="V389" s="101"/>
      <c r="W389" s="101"/>
      <c r="X389" s="101"/>
      <c r="Y389" s="99"/>
      <c r="Z389" s="101"/>
      <c r="AA389" s="101"/>
      <c r="AB389" s="106"/>
      <c r="AC389" s="106"/>
      <c r="AD389" s="99"/>
      <c r="AE389" s="99"/>
      <c r="AF389" s="99"/>
      <c r="AG389" s="107"/>
      <c r="AH389" s="107"/>
      <c r="AI389" s="107"/>
      <c r="AJ389" s="107"/>
    </row>
    <row r="390">
      <c r="A390" s="100"/>
      <c r="B390" s="101"/>
      <c r="C390" s="101"/>
      <c r="D390" s="101"/>
      <c r="E390" s="102"/>
      <c r="F390" s="103"/>
      <c r="G390" s="101"/>
      <c r="H390" s="101"/>
      <c r="I390" s="101"/>
      <c r="J390" s="101"/>
      <c r="K390" s="101"/>
      <c r="L390" s="101"/>
      <c r="M390" s="104"/>
      <c r="N390" s="97"/>
      <c r="O390" s="97"/>
      <c r="P390" s="97"/>
      <c r="Q390" s="97"/>
      <c r="R390" s="105"/>
      <c r="S390" s="101"/>
      <c r="T390" s="101"/>
      <c r="U390" s="101"/>
      <c r="V390" s="101"/>
      <c r="W390" s="101"/>
      <c r="X390" s="101"/>
      <c r="Y390" s="99"/>
      <c r="Z390" s="101"/>
      <c r="AA390" s="101"/>
      <c r="AB390" s="106"/>
      <c r="AC390" s="106"/>
      <c r="AD390" s="99"/>
      <c r="AE390" s="99"/>
      <c r="AF390" s="99"/>
      <c r="AG390" s="107"/>
      <c r="AH390" s="107"/>
      <c r="AI390" s="107"/>
      <c r="AJ390" s="107"/>
    </row>
    <row r="391">
      <c r="A391" s="100"/>
      <c r="B391" s="101"/>
      <c r="C391" s="101"/>
      <c r="D391" s="101"/>
      <c r="E391" s="102"/>
      <c r="F391" s="103"/>
      <c r="G391" s="101"/>
      <c r="H391" s="101"/>
      <c r="I391" s="101"/>
      <c r="J391" s="101"/>
      <c r="K391" s="101"/>
      <c r="L391" s="101"/>
      <c r="M391" s="104"/>
      <c r="N391" s="97"/>
      <c r="O391" s="97"/>
      <c r="P391" s="97"/>
      <c r="Q391" s="97"/>
      <c r="R391" s="105"/>
      <c r="S391" s="101"/>
      <c r="T391" s="101"/>
      <c r="U391" s="101"/>
      <c r="V391" s="101"/>
      <c r="W391" s="101"/>
      <c r="X391" s="101"/>
      <c r="Y391" s="99"/>
      <c r="Z391" s="101"/>
      <c r="AA391" s="101"/>
      <c r="AB391" s="106"/>
      <c r="AC391" s="106"/>
      <c r="AD391" s="99"/>
      <c r="AE391" s="99"/>
      <c r="AF391" s="99"/>
      <c r="AG391" s="107"/>
      <c r="AH391" s="107"/>
      <c r="AI391" s="107"/>
      <c r="AJ391" s="107"/>
    </row>
    <row r="392">
      <c r="A392" s="100"/>
      <c r="B392" s="101"/>
      <c r="C392" s="101"/>
      <c r="D392" s="101"/>
      <c r="E392" s="102"/>
      <c r="F392" s="103"/>
      <c r="G392" s="101"/>
      <c r="H392" s="101"/>
      <c r="I392" s="101"/>
      <c r="J392" s="101"/>
      <c r="K392" s="101"/>
      <c r="L392" s="101"/>
      <c r="M392" s="104"/>
      <c r="N392" s="97"/>
      <c r="O392" s="97"/>
      <c r="P392" s="97"/>
      <c r="Q392" s="97"/>
      <c r="R392" s="105"/>
      <c r="S392" s="101"/>
      <c r="T392" s="101"/>
      <c r="U392" s="101"/>
      <c r="V392" s="101"/>
      <c r="W392" s="101"/>
      <c r="X392" s="101"/>
      <c r="Y392" s="99"/>
      <c r="Z392" s="101"/>
      <c r="AA392" s="101"/>
      <c r="AB392" s="106"/>
      <c r="AC392" s="106"/>
      <c r="AD392" s="99"/>
      <c r="AE392" s="99"/>
      <c r="AF392" s="99"/>
      <c r="AG392" s="107"/>
      <c r="AH392" s="107"/>
      <c r="AI392" s="107"/>
      <c r="AJ392" s="107"/>
    </row>
    <row r="393">
      <c r="A393" s="100"/>
      <c r="B393" s="101"/>
      <c r="C393" s="101"/>
      <c r="D393" s="101"/>
      <c r="E393" s="102"/>
      <c r="F393" s="103"/>
      <c r="G393" s="101"/>
      <c r="H393" s="101"/>
      <c r="I393" s="101"/>
      <c r="J393" s="101"/>
      <c r="K393" s="101"/>
      <c r="L393" s="101"/>
      <c r="M393" s="104"/>
      <c r="N393" s="97"/>
      <c r="O393" s="97"/>
      <c r="P393" s="97"/>
      <c r="Q393" s="97"/>
      <c r="R393" s="105"/>
      <c r="S393" s="101"/>
      <c r="T393" s="101"/>
      <c r="U393" s="101"/>
      <c r="V393" s="101"/>
      <c r="W393" s="101"/>
      <c r="X393" s="101"/>
      <c r="Y393" s="99"/>
      <c r="Z393" s="101"/>
      <c r="AA393" s="101"/>
      <c r="AB393" s="106"/>
      <c r="AC393" s="106"/>
      <c r="AD393" s="99"/>
      <c r="AE393" s="99"/>
      <c r="AF393" s="99"/>
      <c r="AG393" s="107"/>
      <c r="AH393" s="107"/>
      <c r="AI393" s="107"/>
      <c r="AJ393" s="107"/>
    </row>
    <row r="394">
      <c r="A394" s="100"/>
      <c r="B394" s="101"/>
      <c r="C394" s="101"/>
      <c r="D394" s="101"/>
      <c r="E394" s="102"/>
      <c r="F394" s="103"/>
      <c r="G394" s="101"/>
      <c r="H394" s="101"/>
      <c r="I394" s="101"/>
      <c r="J394" s="101"/>
      <c r="K394" s="101"/>
      <c r="L394" s="101"/>
      <c r="M394" s="104"/>
      <c r="N394" s="97"/>
      <c r="O394" s="97"/>
      <c r="P394" s="97"/>
      <c r="Q394" s="97"/>
      <c r="R394" s="105"/>
      <c r="S394" s="101"/>
      <c r="T394" s="101"/>
      <c r="U394" s="101"/>
      <c r="V394" s="101"/>
      <c r="W394" s="101"/>
      <c r="X394" s="101"/>
      <c r="Y394" s="99"/>
      <c r="Z394" s="101"/>
      <c r="AA394" s="101"/>
      <c r="AB394" s="106"/>
      <c r="AC394" s="106"/>
      <c r="AD394" s="99"/>
      <c r="AE394" s="99"/>
      <c r="AF394" s="99"/>
      <c r="AG394" s="107"/>
      <c r="AH394" s="107"/>
      <c r="AI394" s="107"/>
      <c r="AJ394" s="107"/>
    </row>
    <row r="395">
      <c r="A395" s="100"/>
      <c r="B395" s="101"/>
      <c r="C395" s="101"/>
      <c r="D395" s="101"/>
      <c r="E395" s="102"/>
      <c r="F395" s="103"/>
      <c r="G395" s="101"/>
      <c r="H395" s="101"/>
      <c r="I395" s="101"/>
      <c r="J395" s="101"/>
      <c r="K395" s="101"/>
      <c r="L395" s="101"/>
      <c r="M395" s="104"/>
      <c r="N395" s="97"/>
      <c r="O395" s="97"/>
      <c r="P395" s="97"/>
      <c r="Q395" s="97"/>
      <c r="R395" s="105"/>
      <c r="S395" s="101"/>
      <c r="T395" s="101"/>
      <c r="U395" s="101"/>
      <c r="V395" s="101"/>
      <c r="W395" s="101"/>
      <c r="X395" s="101"/>
      <c r="Y395" s="99"/>
      <c r="Z395" s="101"/>
      <c r="AA395" s="101"/>
      <c r="AB395" s="106"/>
      <c r="AC395" s="106"/>
      <c r="AD395" s="99"/>
      <c r="AE395" s="99"/>
      <c r="AF395" s="99"/>
      <c r="AG395" s="107"/>
      <c r="AH395" s="107"/>
      <c r="AI395" s="107"/>
      <c r="AJ395" s="107"/>
    </row>
    <row r="396">
      <c r="A396" s="100"/>
      <c r="B396" s="101"/>
      <c r="C396" s="101"/>
      <c r="D396" s="101"/>
      <c r="E396" s="102"/>
      <c r="F396" s="103"/>
      <c r="G396" s="101"/>
      <c r="H396" s="101"/>
      <c r="I396" s="101"/>
      <c r="J396" s="101"/>
      <c r="K396" s="101"/>
      <c r="L396" s="101"/>
      <c r="M396" s="104"/>
      <c r="N396" s="97"/>
      <c r="O396" s="97"/>
      <c r="P396" s="97"/>
      <c r="Q396" s="97"/>
      <c r="R396" s="105"/>
      <c r="S396" s="101"/>
      <c r="T396" s="101"/>
      <c r="U396" s="101"/>
      <c r="V396" s="101"/>
      <c r="W396" s="101"/>
      <c r="X396" s="101"/>
      <c r="Y396" s="99"/>
      <c r="Z396" s="101"/>
      <c r="AA396" s="101"/>
      <c r="AB396" s="106"/>
      <c r="AC396" s="106"/>
      <c r="AD396" s="99"/>
      <c r="AE396" s="99"/>
      <c r="AF396" s="99"/>
      <c r="AG396" s="107"/>
      <c r="AH396" s="107"/>
      <c r="AI396" s="107"/>
      <c r="AJ396" s="107"/>
    </row>
    <row r="397">
      <c r="A397" s="100"/>
      <c r="B397" s="101"/>
      <c r="C397" s="101"/>
      <c r="D397" s="101"/>
      <c r="E397" s="102"/>
      <c r="F397" s="103"/>
      <c r="G397" s="101"/>
      <c r="H397" s="101"/>
      <c r="I397" s="101"/>
      <c r="J397" s="101"/>
      <c r="K397" s="101"/>
      <c r="L397" s="101"/>
      <c r="M397" s="104"/>
      <c r="N397" s="97"/>
      <c r="O397" s="97"/>
      <c r="P397" s="97"/>
      <c r="Q397" s="97"/>
      <c r="R397" s="105"/>
      <c r="S397" s="101"/>
      <c r="T397" s="101"/>
      <c r="U397" s="101"/>
      <c r="V397" s="101"/>
      <c r="W397" s="101"/>
      <c r="X397" s="101"/>
      <c r="Y397" s="99"/>
      <c r="Z397" s="101"/>
      <c r="AA397" s="101"/>
      <c r="AB397" s="106"/>
      <c r="AC397" s="106"/>
      <c r="AD397" s="99"/>
      <c r="AE397" s="99"/>
      <c r="AF397" s="99"/>
      <c r="AG397" s="107"/>
      <c r="AH397" s="107"/>
      <c r="AI397" s="107"/>
      <c r="AJ397" s="107"/>
    </row>
    <row r="398">
      <c r="A398" s="100"/>
      <c r="B398" s="101"/>
      <c r="C398" s="101"/>
      <c r="D398" s="101"/>
      <c r="E398" s="102"/>
      <c r="F398" s="103"/>
      <c r="G398" s="101"/>
      <c r="H398" s="101"/>
      <c r="I398" s="101"/>
      <c r="J398" s="101"/>
      <c r="K398" s="101"/>
      <c r="L398" s="101"/>
      <c r="M398" s="104"/>
      <c r="N398" s="97"/>
      <c r="O398" s="97"/>
      <c r="P398" s="97"/>
      <c r="Q398" s="97"/>
      <c r="R398" s="105"/>
      <c r="S398" s="101"/>
      <c r="T398" s="101"/>
      <c r="U398" s="101"/>
      <c r="V398" s="101"/>
      <c r="W398" s="101"/>
      <c r="X398" s="101"/>
      <c r="Y398" s="99"/>
      <c r="Z398" s="101"/>
      <c r="AA398" s="101"/>
      <c r="AB398" s="106"/>
      <c r="AC398" s="106"/>
      <c r="AD398" s="99"/>
      <c r="AE398" s="99"/>
      <c r="AF398" s="99"/>
      <c r="AG398" s="107"/>
      <c r="AH398" s="107"/>
      <c r="AI398" s="107"/>
      <c r="AJ398" s="107"/>
    </row>
    <row r="399">
      <c r="A399" s="100"/>
      <c r="B399" s="101"/>
      <c r="C399" s="101"/>
      <c r="D399" s="101"/>
      <c r="E399" s="102"/>
      <c r="F399" s="103"/>
      <c r="G399" s="101"/>
      <c r="H399" s="101"/>
      <c r="I399" s="101"/>
      <c r="J399" s="101"/>
      <c r="K399" s="101"/>
      <c r="L399" s="101"/>
      <c r="M399" s="104"/>
      <c r="N399" s="97"/>
      <c r="O399" s="97"/>
      <c r="P399" s="97"/>
      <c r="Q399" s="97"/>
      <c r="R399" s="105"/>
      <c r="S399" s="101"/>
      <c r="T399" s="101"/>
      <c r="U399" s="101"/>
      <c r="V399" s="101"/>
      <c r="W399" s="101"/>
      <c r="X399" s="101"/>
      <c r="Y399" s="99"/>
      <c r="Z399" s="101"/>
      <c r="AA399" s="101"/>
      <c r="AB399" s="106"/>
      <c r="AC399" s="106"/>
      <c r="AD399" s="99"/>
      <c r="AE399" s="99"/>
      <c r="AF399" s="99"/>
      <c r="AG399" s="107"/>
      <c r="AH399" s="107"/>
      <c r="AI399" s="107"/>
      <c r="AJ399" s="107"/>
    </row>
    <row r="400">
      <c r="A400" s="100"/>
      <c r="B400" s="101"/>
      <c r="C400" s="101"/>
      <c r="D400" s="101"/>
      <c r="E400" s="102"/>
      <c r="F400" s="103"/>
      <c r="G400" s="101"/>
      <c r="H400" s="101"/>
      <c r="I400" s="101"/>
      <c r="J400" s="101"/>
      <c r="K400" s="101"/>
      <c r="L400" s="101"/>
      <c r="M400" s="104"/>
      <c r="N400" s="97"/>
      <c r="O400" s="97"/>
      <c r="P400" s="97"/>
      <c r="Q400" s="97"/>
      <c r="R400" s="105"/>
      <c r="S400" s="101"/>
      <c r="T400" s="101"/>
      <c r="U400" s="101"/>
      <c r="V400" s="101"/>
      <c r="W400" s="101"/>
      <c r="X400" s="101"/>
      <c r="Y400" s="99"/>
      <c r="Z400" s="101"/>
      <c r="AA400" s="101"/>
      <c r="AB400" s="106"/>
      <c r="AC400" s="106"/>
      <c r="AD400" s="99"/>
      <c r="AE400" s="99"/>
      <c r="AF400" s="99"/>
      <c r="AG400" s="107"/>
      <c r="AH400" s="107"/>
      <c r="AI400" s="107"/>
      <c r="AJ400" s="107"/>
    </row>
    <row r="401">
      <c r="A401" s="100"/>
      <c r="B401" s="101"/>
      <c r="C401" s="101"/>
      <c r="D401" s="101"/>
      <c r="E401" s="102"/>
      <c r="F401" s="103"/>
      <c r="G401" s="101"/>
      <c r="H401" s="101"/>
      <c r="I401" s="101"/>
      <c r="J401" s="101"/>
      <c r="K401" s="101"/>
      <c r="L401" s="101"/>
      <c r="M401" s="104"/>
      <c r="N401" s="97"/>
      <c r="O401" s="97"/>
      <c r="P401" s="97"/>
      <c r="Q401" s="97"/>
      <c r="R401" s="105"/>
      <c r="S401" s="101"/>
      <c r="T401" s="101"/>
      <c r="U401" s="101"/>
      <c r="V401" s="101"/>
      <c r="W401" s="101"/>
      <c r="X401" s="101"/>
      <c r="Y401" s="99"/>
      <c r="Z401" s="101"/>
      <c r="AA401" s="101"/>
      <c r="AB401" s="106"/>
      <c r="AC401" s="106"/>
      <c r="AD401" s="99"/>
      <c r="AE401" s="99"/>
      <c r="AF401" s="99"/>
      <c r="AG401" s="107"/>
      <c r="AH401" s="107"/>
      <c r="AI401" s="107"/>
      <c r="AJ401" s="107"/>
    </row>
    <row r="402">
      <c r="A402" s="100"/>
      <c r="B402" s="101"/>
      <c r="C402" s="101"/>
      <c r="D402" s="101"/>
      <c r="E402" s="102"/>
      <c r="F402" s="103"/>
      <c r="G402" s="101"/>
      <c r="H402" s="101"/>
      <c r="I402" s="101"/>
      <c r="J402" s="101"/>
      <c r="K402" s="101"/>
      <c r="L402" s="101"/>
      <c r="M402" s="104"/>
      <c r="N402" s="97"/>
      <c r="O402" s="97"/>
      <c r="P402" s="97"/>
      <c r="Q402" s="97"/>
      <c r="R402" s="105"/>
      <c r="S402" s="101"/>
      <c r="T402" s="101"/>
      <c r="U402" s="101"/>
      <c r="V402" s="101"/>
      <c r="W402" s="101"/>
      <c r="X402" s="101"/>
      <c r="Y402" s="99"/>
      <c r="Z402" s="101"/>
      <c r="AA402" s="101"/>
      <c r="AB402" s="106"/>
      <c r="AC402" s="106"/>
      <c r="AD402" s="99"/>
      <c r="AE402" s="99"/>
      <c r="AF402" s="99"/>
      <c r="AG402" s="107"/>
      <c r="AH402" s="107"/>
      <c r="AI402" s="107"/>
      <c r="AJ402" s="107"/>
    </row>
    <row r="403">
      <c r="A403" s="100"/>
      <c r="B403" s="101"/>
      <c r="C403" s="101"/>
      <c r="D403" s="101"/>
      <c r="E403" s="102"/>
      <c r="F403" s="103"/>
      <c r="G403" s="101"/>
      <c r="H403" s="101"/>
      <c r="I403" s="101"/>
      <c r="J403" s="101"/>
      <c r="K403" s="101"/>
      <c r="L403" s="101"/>
      <c r="M403" s="104"/>
      <c r="N403" s="97"/>
      <c r="O403" s="97"/>
      <c r="P403" s="97"/>
      <c r="Q403" s="97"/>
      <c r="R403" s="105"/>
      <c r="S403" s="101"/>
      <c r="T403" s="101"/>
      <c r="U403" s="101"/>
      <c r="V403" s="101"/>
      <c r="W403" s="101"/>
      <c r="X403" s="101"/>
      <c r="Y403" s="99"/>
      <c r="Z403" s="101"/>
      <c r="AA403" s="101"/>
      <c r="AB403" s="106"/>
      <c r="AC403" s="106"/>
      <c r="AD403" s="99"/>
      <c r="AE403" s="99"/>
      <c r="AF403" s="99"/>
      <c r="AG403" s="107"/>
      <c r="AH403" s="107"/>
      <c r="AI403" s="107"/>
      <c r="AJ403" s="107"/>
    </row>
    <row r="404">
      <c r="A404" s="100"/>
      <c r="B404" s="101"/>
      <c r="C404" s="101"/>
      <c r="D404" s="101"/>
      <c r="E404" s="102"/>
      <c r="F404" s="103"/>
      <c r="G404" s="101"/>
      <c r="H404" s="101"/>
      <c r="I404" s="101"/>
      <c r="J404" s="101"/>
      <c r="K404" s="101"/>
      <c r="L404" s="101"/>
      <c r="M404" s="104"/>
      <c r="N404" s="97"/>
      <c r="O404" s="97"/>
      <c r="P404" s="97"/>
      <c r="Q404" s="97"/>
      <c r="R404" s="105"/>
      <c r="S404" s="101"/>
      <c r="T404" s="101"/>
      <c r="U404" s="101"/>
      <c r="V404" s="101"/>
      <c r="W404" s="101"/>
      <c r="X404" s="101"/>
      <c r="Y404" s="99"/>
      <c r="Z404" s="101"/>
      <c r="AA404" s="101"/>
      <c r="AB404" s="106"/>
      <c r="AC404" s="106"/>
      <c r="AD404" s="99"/>
      <c r="AE404" s="99"/>
      <c r="AF404" s="99"/>
      <c r="AG404" s="107"/>
      <c r="AH404" s="107"/>
      <c r="AI404" s="107"/>
      <c r="AJ404" s="107"/>
    </row>
    <row r="405">
      <c r="A405" s="100"/>
      <c r="B405" s="101"/>
      <c r="C405" s="101"/>
      <c r="D405" s="101"/>
      <c r="E405" s="102"/>
      <c r="F405" s="103"/>
      <c r="G405" s="101"/>
      <c r="H405" s="101"/>
      <c r="I405" s="101"/>
      <c r="J405" s="101"/>
      <c r="K405" s="101"/>
      <c r="L405" s="101"/>
      <c r="M405" s="104"/>
      <c r="N405" s="97"/>
      <c r="O405" s="97"/>
      <c r="P405" s="97"/>
      <c r="Q405" s="97"/>
      <c r="R405" s="105"/>
      <c r="S405" s="101"/>
      <c r="T405" s="101"/>
      <c r="U405" s="101"/>
      <c r="V405" s="101"/>
      <c r="W405" s="101"/>
      <c r="X405" s="101"/>
      <c r="Y405" s="99"/>
      <c r="Z405" s="101"/>
      <c r="AA405" s="101"/>
      <c r="AB405" s="106"/>
      <c r="AC405" s="106"/>
      <c r="AD405" s="99"/>
      <c r="AE405" s="99"/>
      <c r="AF405" s="99"/>
      <c r="AG405" s="107"/>
      <c r="AH405" s="107"/>
      <c r="AI405" s="107"/>
      <c r="AJ405" s="107"/>
    </row>
    <row r="406">
      <c r="A406" s="100"/>
      <c r="B406" s="101"/>
      <c r="C406" s="101"/>
      <c r="D406" s="101"/>
      <c r="E406" s="102"/>
      <c r="F406" s="103"/>
      <c r="G406" s="101"/>
      <c r="H406" s="101"/>
      <c r="I406" s="101"/>
      <c r="J406" s="101"/>
      <c r="K406" s="101"/>
      <c r="L406" s="101"/>
      <c r="M406" s="104"/>
      <c r="N406" s="97"/>
      <c r="O406" s="97"/>
      <c r="P406" s="97"/>
      <c r="Q406" s="97"/>
      <c r="R406" s="105"/>
      <c r="S406" s="101"/>
      <c r="T406" s="101"/>
      <c r="U406" s="101"/>
      <c r="V406" s="101"/>
      <c r="W406" s="101"/>
      <c r="X406" s="101"/>
      <c r="Y406" s="99"/>
      <c r="Z406" s="101"/>
      <c r="AA406" s="101"/>
      <c r="AB406" s="106"/>
      <c r="AC406" s="106"/>
      <c r="AD406" s="99"/>
      <c r="AE406" s="99"/>
      <c r="AF406" s="99"/>
      <c r="AG406" s="107"/>
      <c r="AH406" s="107"/>
      <c r="AI406" s="107"/>
      <c r="AJ406" s="107"/>
    </row>
    <row r="407">
      <c r="A407" s="100"/>
      <c r="B407" s="101"/>
      <c r="C407" s="101"/>
      <c r="D407" s="101"/>
      <c r="E407" s="102"/>
      <c r="F407" s="103"/>
      <c r="G407" s="101"/>
      <c r="H407" s="101"/>
      <c r="I407" s="101"/>
      <c r="J407" s="101"/>
      <c r="K407" s="101"/>
      <c r="L407" s="101"/>
      <c r="M407" s="104"/>
      <c r="N407" s="97"/>
      <c r="O407" s="97"/>
      <c r="P407" s="97"/>
      <c r="Q407" s="97"/>
      <c r="R407" s="105"/>
      <c r="S407" s="101"/>
      <c r="T407" s="101"/>
      <c r="U407" s="101"/>
      <c r="V407" s="101"/>
      <c r="W407" s="101"/>
      <c r="X407" s="101"/>
      <c r="Y407" s="99"/>
      <c r="Z407" s="101"/>
      <c r="AA407" s="101"/>
      <c r="AB407" s="106"/>
      <c r="AC407" s="106"/>
      <c r="AD407" s="99"/>
      <c r="AE407" s="99"/>
      <c r="AF407" s="99"/>
      <c r="AG407" s="107"/>
      <c r="AH407" s="107"/>
      <c r="AI407" s="107"/>
      <c r="AJ407" s="107"/>
    </row>
    <row r="408">
      <c r="A408" s="100"/>
      <c r="B408" s="101"/>
      <c r="C408" s="101"/>
      <c r="D408" s="101"/>
      <c r="E408" s="102"/>
      <c r="F408" s="103"/>
      <c r="G408" s="101"/>
      <c r="H408" s="101"/>
      <c r="I408" s="101"/>
      <c r="J408" s="101"/>
      <c r="K408" s="101"/>
      <c r="L408" s="101"/>
      <c r="M408" s="104"/>
      <c r="N408" s="97"/>
      <c r="O408" s="97"/>
      <c r="P408" s="97"/>
      <c r="Q408" s="97"/>
      <c r="R408" s="105"/>
      <c r="S408" s="101"/>
      <c r="T408" s="101"/>
      <c r="U408" s="101"/>
      <c r="V408" s="101"/>
      <c r="W408" s="101"/>
      <c r="X408" s="101"/>
      <c r="Y408" s="99"/>
      <c r="Z408" s="101"/>
      <c r="AA408" s="101"/>
      <c r="AB408" s="106"/>
      <c r="AC408" s="106"/>
      <c r="AD408" s="99"/>
      <c r="AE408" s="99"/>
      <c r="AF408" s="99"/>
      <c r="AG408" s="107"/>
      <c r="AH408" s="107"/>
      <c r="AI408" s="107"/>
      <c r="AJ408" s="107"/>
    </row>
  </sheetData>
  <hyperlinks>
    <hyperlink ref="E93" display="https://www.douyin.com/video/7620371187046075682" r:id="rId1"/>
    <hyperlink ref="E151" display="https://www.douyin.com/note/7627440028503106771" r:id="rId2"/>
    <hyperlink ref="E186" display="https://www.douyin.com/video/7632889897694619264" r:id="rId3"/>
    <hyperlink ref="E221" display="https://www.douyin.com/note/7639298762268064241" r:id="rId4"/>
    <hyperlink ref="E260" display="https://www.douyin.com/video/7647815865568169295" r:id="rId5"/>
    <hyperlink ref="E43" display="https://www.douyin.com/video/7615713873504923322" r:id="rId6"/>
    <hyperlink ref="E50" display="https://www.douyin.com/video/7615713873504923322" r:id="rId7"/>
    <hyperlink ref="E60" display="https://www.douyin.com/video/7615713873504923322" r:id="rId8"/>
    <hyperlink ref="E67" display="https://www.douyin.com/video/7615713873504923322" r:id="rId9"/>
    <hyperlink ref="E69" display="https://www.douyin.com/video/7615713873504923322" r:id="rId10"/>
    <hyperlink ref="E75" display="https://www.douyin.com/video/7615713873504923322" r:id="rId11"/>
    <hyperlink ref="E100" display="https://www.douyin.com/video/7620401522627016079" r:id="rId12"/>
    <hyperlink ref="E150" display="https://www.douyin.com/video/7627890045047581027" r:id="rId13"/>
    <hyperlink ref="E185" display="https://www.douyin.com/note/7632617218002329514" r:id="rId14"/>
    <hyperlink ref="E187" display="https://www.douyin.com/note/7632617218002329514" r:id="rId15"/>
    <hyperlink ref="E220" display="https://www.douyin.com/note/7639360447649575034" r:id="rId16"/>
    <hyperlink ref="E256" display="https://www.douyin.com/video/7647214379003431907" r:id="rId17"/>
    <hyperlink ref="E259" display="https://www.douyin.com/video/7647513382476541541" r:id="rId18"/>
    <hyperlink ref="E56" display="https://www.douyin.com/note/7616006793667697893" r:id="rId19"/>
    <hyperlink ref="E99" display="https://www.douyin.com/note/7620816046761141747" r:id="rId20"/>
    <hyperlink ref="E148" display="https://www.douyin.com/video/7626383694223907429" r:id="rId21"/>
    <hyperlink ref="E184" display="https://www.douyin.com/video/7632511512201008505" r:id="rId22"/>
    <hyperlink ref="E219" display="https://www.douyin.com/note/7639587991471701105" r:id="rId23"/>
    <hyperlink ref="E255" display="https://www.douyin.com/video/7646742373196733811" r:id="rId24"/>
    <hyperlink ref="E49" display="https://www.douyin.com/note/7615950184098960602" r:id="rId25"/>
    <hyperlink ref="E98" display="https://www.douyin.com/video/7620759348268759141" r:id="rId26"/>
    <hyperlink ref="E147" display="https://www.douyin.com/note/7626557894406165434" r:id="rId27"/>
    <hyperlink ref="E183" display="https://www.douyin.com/video/7632465056047360442" r:id="rId28"/>
    <hyperlink ref="E210" display="https://www.douyin.com/video/7636643841961216127" r:id="rId29"/>
    <hyperlink ref="E244" display="https://www.douyin.com/note/7644884486891055345" r:id="rId30"/>
    <hyperlink ref="E48" display="https://www.douyin.com/note/7615669310942601338" r:id="rId31"/>
    <hyperlink ref="E97" display="https://www.douyin.com/note/7620767030497210778" r:id="rId32"/>
    <hyperlink ref="E135" display="https://www.douyin.com/video/7625090564824947065" r:id="rId33"/>
    <hyperlink ref="E174" display="https://www.douyin.com/video/7630833058359450441" r:id="rId34"/>
    <hyperlink ref="E208" display="https://www.douyin.com/video/7636826521273382309" r:id="rId35"/>
    <hyperlink ref="E243" display="https://www.douyin.com/note/7643698260415278282" r:id="rId36"/>
    <hyperlink ref="E47" display="https://www.douyin.com/note/7616010066626177211" r:id="rId37"/>
    <hyperlink ref="E85" display="https://www.douyin.com/video/7619605942468253051" r:id="rId38"/>
    <hyperlink ref="E134" display="https://www.douyin.com/video/7624113880570299215" r:id="rId39"/>
    <hyperlink ref="E173" display="https://www.douyin.com/video/7631145389820062201" r:id="rId40"/>
    <hyperlink ref="E207" display="https://www.douyin.com/video/7637044455720278251" r:id="rId41"/>
    <hyperlink ref="E241" display="https://www.douyin.com/video/7642542991392131697" r:id="rId42"/>
    <hyperlink ref="E35" display="https://www.douyin.com/note/7613787027502461352" r:id="rId43"/>
    <hyperlink ref="E55" display="https://www.douyin.com/note/7613787027502461352" r:id="rId44"/>
    <hyperlink ref="E84" display="https://www.douyin.com/note/7619935329013573091" r:id="rId45"/>
    <hyperlink ref="E133" display="https://www.douyin.com/note/7623407790573423066" r:id="rId46"/>
    <hyperlink ref="E172" display="https://www.douyin.com/video/7631151287887270757" r:id="rId47"/>
    <hyperlink ref="E204" display="https://www.douyin.com/note/7636204932429437370" r:id="rId48"/>
    <hyperlink ref="E206" display="https://www.douyin.com/note/7636204932429437370" r:id="rId49"/>
    <hyperlink ref="E240" display="https://www.douyin.com/video/7642987403964425702" r:id="rId50"/>
    <hyperlink ref="E34" display="https://www.douyin.com/video/7614841048691419327" r:id="rId51"/>
    <hyperlink ref="E54" display="https://www.douyin.com/video/7614841048691419327" r:id="rId52"/>
    <hyperlink ref="E63" display="https://www.douyin.com/video/7614841048691419327" r:id="rId53"/>
    <hyperlink ref="E83" display="https://www.douyin.com/video/7619622592362705846" r:id="rId54"/>
    <hyperlink ref="E132" display="https://www.douyin.com/video/7623768838857578048" r:id="rId55"/>
    <hyperlink ref="E171" display="https://www.douyin.com/note/7630389147651540148" r:id="rId56"/>
    <hyperlink ref="E214" display="https://www.douyin.com/note/7638835615421411577" r:id="rId57"/>
    <hyperlink ref="E248" display="https://www.douyin.com/note/7645240445212140901" r:id="rId58"/>
    <hyperlink ref="E33" display="https://www.douyin.com/video/7614604940937363313" r:id="rId59"/>
    <hyperlink ref="E53" display="https://www.douyin.com/video/7614604940937363313" r:id="rId60"/>
    <hyperlink ref="E62" display="https://www.douyin.com/video/7614604940937363313" r:id="rId61"/>
    <hyperlink ref="E82" display="https://www.douyin.com/note/7619357588699109065" r:id="rId62"/>
    <hyperlink ref="E139" display="https://www.douyin.com/video/7624862115832787121" r:id="rId63"/>
    <hyperlink ref="E141" display="https://www.douyin.com/video/7624862115832787121" r:id="rId64"/>
    <hyperlink ref="E178" display="https://www.douyin.com/video/7631159721408326771" r:id="rId65"/>
    <hyperlink ref="E213" display="https://www.douyin.com/note/7638470477203931643" r:id="rId66"/>
    <hyperlink ref="E247" display="https://www.douyin.com/video/7645700319447662666" r:id="rId67"/>
    <hyperlink ref="E249" display="https://www.douyin.com/video/7645700319447662666" r:id="rId68"/>
    <hyperlink ref="E251" display="https://www.douyin.com/video/7645700319447662666" r:id="rId69"/>
    <hyperlink ref="E257" display="https://www.douyin.com/video/7645700319447662666" r:id="rId70"/>
    <hyperlink ref="E32" display="https://www.douyin.com/note/7614491818344720739" r:id="rId71"/>
    <hyperlink ref="E52" display="https://www.douyin.com/note/7614491818344720739" r:id="rId72"/>
    <hyperlink ref="E92" display="https://www.douyin.com/note/7619897380909579002" r:id="rId73"/>
    <hyperlink ref="E138" display="https://www.douyin.com/video/7624320840444438116" r:id="rId74"/>
    <hyperlink ref="E177" display="https://www.douyin.com/video/7631062852215782976" r:id="rId75"/>
    <hyperlink ref="E212" display="https://www.douyin.com/video/7637869144147080817" r:id="rId76"/>
    <hyperlink ref="E246" display="https://www.douyin.com/video/7645601096832956904" r:id="rId77"/>
    <hyperlink ref="E42" display="https://www.douyin.com/video/7615259770899058779" r:id="rId78"/>
    <hyperlink ref="E89" display="https://www.douyin.com/video/7619392937248262208" r:id="rId79"/>
    <hyperlink ref="E137" display="https://www.douyin.com/note/7625245014687938233" r:id="rId80"/>
    <hyperlink ref="E176" display="https://www.douyin.com/video/7631406422018455730" r:id="rId81"/>
    <hyperlink ref="E211" display="https://www.douyin.com/video/7637394139268615462" r:id="rId82"/>
    <hyperlink ref="E245" display="https://www.douyin.com/video/7644783522482479781" r:id="rId83"/>
    <hyperlink ref="E41" display="https://www.douyin.com/note/7615023865811614964" r:id="rId84"/>
    <hyperlink ref="E88" display="https://www.douyin.com/note/7619346681800231592" r:id="rId85"/>
    <hyperlink ref="E90" display="https://www.douyin.com/note/7619346681800231592" r:id="rId86"/>
    <hyperlink ref="E109" display="https://www.douyin.com/note/7619346681800231592" r:id="rId87"/>
    <hyperlink ref="E136" display="https://www.douyin.com/video/7624963816623740027" r:id="rId88"/>
    <hyperlink ref="E140" display="https://www.douyin.com/video/7624963816623740027" r:id="rId89"/>
    <hyperlink ref="E145" display="https://www.douyin.com/video/7624963816623740027" r:id="rId90"/>
    <hyperlink ref="E149" display="https://www.douyin.com/video/7624963816623740027" r:id="rId91"/>
    <hyperlink ref="E175" display="https://www.douyin.com/note/7631161091032347131" r:id="rId92"/>
    <hyperlink ref="E199" display="https://www.douyin.com/video/7635684064943428729" r:id="rId93"/>
    <hyperlink ref="E40" display="https://www.douyin.com/note/7615049142386066043" r:id="rId94"/>
    <hyperlink ref="E87" display="https://www.douyin.com/note/7620309274209021605" r:id="rId95"/>
    <hyperlink ref="E118" display="https://www.douyin.com/note/7623066471988239337" r:id="rId96"/>
    <hyperlink ref="E127" display="https://www.douyin.com/note/7623066471988239337" r:id="rId97"/>
    <hyperlink ref="E131" display="https://www.douyin.com/note/7623066471988239337" r:id="rId98"/>
    <hyperlink ref="E198" display="https://www.douyin.com/video/7636034872154967707" r:id="rId99"/>
    <hyperlink ref="E235" display="https://www.douyin.com/video/7641922307711110454" r:id="rId100"/>
    <hyperlink ref="E242" display="https://www.douyin.com/video/7641922307711110454" r:id="rId101"/>
    <hyperlink ref="E39" display="https://www.douyin.com/note/7614899619931912369" r:id="rId102"/>
    <hyperlink ref="E116" display="https://www.douyin.com/video/7622531685897224689" r:id="rId103"/>
    <hyperlink ref="E166" display="https://www.douyin.com/video/7630163601161398178" r:id="rId104"/>
    <hyperlink ref="E197" display="https://www.douyin.com/note/7634085219296901353" r:id="rId105"/>
    <hyperlink ref="E234" display="https://www.douyin.com/video/7641872986798179494" r:id="rId106"/>
    <hyperlink ref="E24" display="https://www.douyin.com/video/7613031533112581883" r:id="rId107"/>
    <hyperlink ref="E77" display="https://www.douyin.com/video/7618525485648050938" r:id="rId108"/>
    <hyperlink ref="E115" display="https://www.douyin.com/video/7622625731391179151" r:id="rId109"/>
    <hyperlink ref="E165" display="https://www.douyin.com/video/7630433467185514597" r:id="rId110"/>
    <hyperlink ref="E196" display="https://www.douyin.com/video/7634061256496521851" r:id="rId111"/>
    <hyperlink ref="E233" display="https://www.douyin.com/video/7641439405101877689" r:id="rId112"/>
    <hyperlink ref="E18" display="https://www.douyin.com/video/7611742459936919402" r:id="rId113"/>
    <hyperlink ref="E76" display="https://www.douyin.com/note/7619093952427614843" r:id="rId114"/>
    <hyperlink ref="E114" display="https://www.douyin.com/video/7621965075905249910" r:id="rId115"/>
    <hyperlink ref="E123" display="https://www.douyin.com/video/7621965075905249910" r:id="rId116"/>
    <hyperlink ref="E164" display="https://www.douyin.com/video/7629126711086685289" r:id="rId117"/>
    <hyperlink ref="E203" display="https://www.douyin.com/video/7636020034524274043" r:id="rId118"/>
    <hyperlink ref="E232" display="https://www.douyin.com/video/7641120212301335651" r:id="rId119"/>
    <hyperlink ref="E17" display="https://www.douyin.com/video/7612686487277578602" r:id="rId120"/>
    <hyperlink ref="E23" display="https://www.douyin.com/video/7612686487277578602" r:id="rId121"/>
    <hyperlink ref="E74" display="https://www.douyin.com/video/7617498397310715327" r:id="rId122"/>
    <hyperlink ref="E126" display="https://www.douyin.com/video/7623026166921225970" r:id="rId123"/>
    <hyperlink ref="E162" display="https://www.douyin.com/video/7628928486560089529" r:id="rId124"/>
    <hyperlink ref="E202" display="https://www.douyin.com/video/7636040612411755802" r:id="rId125"/>
    <hyperlink ref="E205" display="https://www.douyin.com/video/7636040612411755802" r:id="rId126"/>
    <hyperlink ref="E209" display="https://www.douyin.com/video/7636040612411755802" r:id="rId127"/>
    <hyperlink ref="E239" display="https://www.douyin.com/video/7641875385806374833" r:id="rId128"/>
    <hyperlink ref="E10" display="https://www.douyin.com/video/7611192244423229139" r:id="rId129"/>
    <hyperlink ref="E73" display="https://www.douyin.com/video/7618168504240308069" r:id="rId130"/>
    <hyperlink ref="E125" display="https://www.douyin.com/video/7623358535632128435" r:id="rId131"/>
    <hyperlink ref="E170" display="https://www.douyin.com/note/7630280919329366708" r:id="rId132"/>
    <hyperlink ref="E201" display="https://www.douyin.com/note/7635545727879850313" r:id="rId133"/>
    <hyperlink ref="E238" display="https://www.douyin.com/video/7641882679970377957" r:id="rId134"/>
    <hyperlink ref="E29" display="https://www.douyin.com/note/7613350700244157626" r:id="rId135"/>
    <hyperlink ref="E81" display="https://www.douyin.com/video/7619636679322387057" r:id="rId136"/>
    <hyperlink ref="E91" display="https://www.douyin.com/video/7619636679322387057" r:id="rId137"/>
    <hyperlink ref="E110" display="https://www.douyin.com/video/7619636679322387057" r:id="rId138"/>
    <hyperlink ref="E124" display="https://www.douyin.com/note/7623367834466321253" r:id="rId139"/>
    <hyperlink ref="E169" display="https://www.douyin.com/video/7629911775865505906" r:id="rId140"/>
    <hyperlink ref="E200" display="https://www.douyin.com/note/7635922915368283775" r:id="rId141"/>
    <hyperlink ref="E237" display="https://www.douyin.com/video/7641993475752266235" r:id="rId142"/>
    <hyperlink ref="E264" display="https://www.douyin.com/video/7648840710867964325" r:id="rId143"/>
    <hyperlink ref="E28" display="https://www.douyin.com/note/7612219889386191970" r:id="rId144"/>
    <hyperlink ref="E80" display="https://www.douyin.com/video/7618932945290901903" r:id="rId145"/>
    <hyperlink ref="E119" display="https://www.douyin.com/note/7622970947830529457" r:id="rId146"/>
    <hyperlink ref="E168" display="https://www.douyin.com/video/7630071089049654198" r:id="rId147"/>
    <hyperlink ref="E191" display="https://www.douyin.com/video/7633786629181727609" r:id="rId148"/>
    <hyperlink ref="E236" display="https://www.douyin.com/video/7641921320654050427" r:id="rId149"/>
    <hyperlink ref="E263" display="https://www.douyin.com/video/7647506813403365321" r:id="rId150"/>
    <hyperlink ref="E265" display="https://www.douyin.com/video/7647506813403365321" r:id="rId151"/>
    <hyperlink ref="E27" display="https://www.douyin.com/video/7613215289803536101" r:id="rId152"/>
    <hyperlink ref="E30" display="https://www.douyin.com/video/7613215289803536101" r:id="rId153"/>
    <hyperlink ref="E36" display="https://www.douyin.com/video/7613215289803536101" r:id="rId154"/>
    <hyperlink ref="E79" display="https://www.douyin.com/video/7618960753446510009" r:id="rId155"/>
    <hyperlink ref="E86" display="https://www.douyin.com/video/7618960753446510009" r:id="rId156"/>
    <hyperlink ref="E104" display="https://www.douyin.com/video/7621099857121775019" r:id="rId157"/>
    <hyperlink ref="E167" display="https://www.douyin.com/video/7630474109919557051" r:id="rId158"/>
    <hyperlink ref="E190" display="https://www.douyin.com/video/7633007885915943606" r:id="rId159"/>
    <hyperlink ref="E226" display="https://www.douyin.com/note/7640081270203342562" r:id="rId160"/>
    <hyperlink ref="E262" display="https://www.douyin.com/video/7648887011160830180" r:id="rId161"/>
    <hyperlink ref="E25" display="https://www.douyin.com/video/7612918993481033330" r:id="rId162"/>
    <hyperlink ref="E78" display="https://www.douyin.com/video/7618222573041999345" r:id="rId163"/>
    <hyperlink ref="E103" display="https://www.douyin.com/video/7621131594221657457" r:id="rId164"/>
    <hyperlink ref="E156" display="https://www.douyin.com/video/7628055768176180586" r:id="rId165"/>
    <hyperlink ref="E189" display="https://www.douyin.com/video/7632969984486313061" r:id="rId166"/>
    <hyperlink ref="E225" display="https://www.douyin.com/note/7640285558464104890" r:id="rId167"/>
    <hyperlink ref="E227" display="https://www.douyin.com/note/7640285558464104890" r:id="rId168"/>
    <hyperlink ref="E261" display="https://www.douyin.com/video/7648092654844692970" r:id="rId169"/>
    <hyperlink ref="E5" display="https://www.douyin.com/note/7612110532075037129" r:id="rId170"/>
    <hyperlink ref="E13" display="https://www.douyin.com/note/7612110532075037129" r:id="rId171"/>
    <hyperlink ref="E64" display="https://www.douyin.com/note/7617137673777764465" r:id="rId172"/>
    <hyperlink ref="E102" display="https://www.douyin.com/note/7621580768725255525" r:id="rId173"/>
    <hyperlink ref="E117" display="https://www.douyin.com/note/7621580768725255525" r:id="rId174"/>
    <hyperlink ref="E122" display="https://www.douyin.com/note/7621580768725255525" r:id="rId175"/>
    <hyperlink ref="E129" display="https://www.douyin.com/note/7621580768725255525" r:id="rId176"/>
    <hyperlink ref="E155" display="https://www.douyin.com/video/7627656361078613477" r:id="rId177"/>
    <hyperlink ref="E188" display="https://www.douyin.com/video/7633260661108049226" r:id="rId178"/>
    <hyperlink ref="E224" display="https://www.douyin.com/note/7640097613844477669" r:id="rId179"/>
    <hyperlink ref="E269" display="https://www.douyin.com/video/7648121194428425573" r:id="rId180"/>
    <hyperlink ref="E4" display="https://www.douyin.com/video/7612244922887857787" r:id="rId181"/>
    <hyperlink ref="E14" display="https://www.douyin.com/video/7612244922887857787" r:id="rId182"/>
    <hyperlink ref="E58" display="https://www.douyin.com/note/7616183547221202259" r:id="rId183"/>
    <hyperlink ref="E59" display="https://www.douyin.com/video/7616359394191938022" r:id="rId184"/>
    <hyperlink ref="E101" display="https://www.douyin.com/video/7621539907975294329" r:id="rId185"/>
    <hyperlink ref="E153" display="https://www.douyin.com/video/7627467421783603045" r:id="rId186"/>
    <hyperlink ref="E154" display="https://www.douyin.com/video/7627467421783603045" r:id="rId187"/>
    <hyperlink ref="E158" display="https://www.douyin.com/video/7627467421783603045" r:id="rId188"/>
    <hyperlink ref="E195" display="https://www.douyin.com/note/7634169978048694630" r:id="rId189"/>
    <hyperlink ref="E223" display="https://www.douyin.com/video/7640775971604485993" r:id="rId190"/>
    <hyperlink ref="E268" display="https://www.douyin.com/video/7648609080373822586" r:id="rId191"/>
    <hyperlink ref="E3" display="https://www.douyin.com/video/7611743676641705295" r:id="rId192"/>
    <hyperlink ref="E57" display="https://www.douyin.com/note/7616286705788479977" r:id="rId193"/>
    <hyperlink ref="E113" display="https://www.douyin.com/video/7622163930036053684" r:id="rId194"/>
    <hyperlink ref="E152" display="https://www.douyin.com/note/7626984999901013113" r:id="rId195"/>
    <hyperlink ref="E194" display="https://www.douyin.com/video/7634026065808580795" r:id="rId196"/>
    <hyperlink ref="E231" display="https://www.douyin.com/note/7640942718125977999" r:id="rId197"/>
    <hyperlink ref="E267" display="https://www.douyin.com/video/7648943448107741682" r:id="rId198"/>
    <hyperlink ref="E2" display="https://www.douyin.com/video/7612207816275352497" r:id="rId199"/>
    <hyperlink ref="E16" display="https://www.douyin.com/video/7612207816275352497" r:id="rId200"/>
    <hyperlink ref="E20" display="https://www.douyin.com/video/7612207816275352497" r:id="rId201"/>
    <hyperlink ref="E26" display="https://www.douyin.com/video/7612207816275352497" r:id="rId202"/>
    <hyperlink ref="E38" display="https://www.douyin.com/video/7612207816275352497" r:id="rId203"/>
    <hyperlink ref="E71" display="https://www.douyin.com/video/7617891266244423656" r:id="rId204"/>
    <hyperlink ref="E112" display="https://www.douyin.com/video/7621904670667781553" r:id="rId205"/>
    <hyperlink ref="E121" display="https://www.douyin.com/video/7621904670667781553" r:id="rId206"/>
    <hyperlink ref="E128" display="https://www.douyin.com/video/7621904670667781553" r:id="rId207"/>
    <hyperlink ref="E130" display="https://www.douyin.com/video/7621904670667781553" r:id="rId208"/>
    <hyperlink ref="E161" display="https://www.douyin.com/video/7628175992222109553" r:id="rId209"/>
    <hyperlink ref="E193" display="https://www.douyin.com/video/7633992971189784147" r:id="rId210"/>
    <hyperlink ref="E230" display="https://www.douyin.com/video/7640897437604151503" r:id="rId211"/>
    <hyperlink ref="E266" display="https://www.douyin.com/note/7649063213564689138" r:id="rId212"/>
    <hyperlink ref="E9" display="https://www.douyin.com/note/7611499522330631857" r:id="rId213"/>
    <hyperlink ref="E11" display="https://www.douyin.com/note/7611499522330631857" r:id="rId214"/>
    <hyperlink ref="E22" display="https://www.douyin.com/note/7611499522330631857" r:id="rId215"/>
    <hyperlink ref="E70" display="https://www.douyin.com/video/7617859050039070435" r:id="rId216"/>
    <hyperlink ref="E111" display="https://www.douyin.com/note/7621941211725617849" r:id="rId217"/>
    <hyperlink ref="E120" display="https://www.douyin.com/note/7621941211725617849" r:id="rId218"/>
    <hyperlink ref="E160" display="https://www.douyin.com/video/7629141999672840169" r:id="rId219"/>
    <hyperlink ref="E163" display="https://www.douyin.com/video/7629141999672840169" r:id="rId220"/>
    <hyperlink ref="E192" display="https://www.douyin.com/video/7633750886359587048" r:id="rId221"/>
    <hyperlink ref="E229" display="https://www.douyin.com/video/7640813564869112942" r:id="rId222"/>
    <hyperlink ref="E8" display="https://www.douyin.com/note/7611432494563328113" r:id="rId223"/>
    <hyperlink ref="E15" display="https://www.douyin.com/note/7611432494563328113" r:id="rId224"/>
    <hyperlink ref="E19" display="https://www.douyin.com/note/7611432494563328113" r:id="rId225"/>
    <hyperlink ref="E66" display="https://www.douyin.com/note/7617431215097004667" r:id="rId226"/>
    <hyperlink ref="E105" display="https://www.douyin.com/note/7621196315842001280" r:id="rId227"/>
    <hyperlink ref="E159" display="https://www.douyin.com/video/7628568501427008241" r:id="rId228"/>
    <hyperlink ref="E218" display="https://www.douyin.com/video/7639539369804821434" r:id="rId229"/>
    <hyperlink ref="E228" display="https://www.douyin.com/note/7641163045289481322" r:id="rId230"/>
    <hyperlink ref="E7" display="https://www.douyin.com/note/7611832044951303909" r:id="rId231"/>
    <hyperlink ref="E65" display="https://www.douyin.com/video/7616911882826256890" r:id="rId232"/>
    <hyperlink ref="E146" display="https://www.douyin.com/video/7626715483103183604" r:id="rId233"/>
    <hyperlink ref="E157" display="https://www.douyin.com/video/7628593020561465713" r:id="rId234"/>
    <hyperlink ref="E182" display="https://www.douyin.com/video/7631938177683662579" r:id="rId235"/>
    <hyperlink ref="E217" display="https://www.douyin.com/note/7639700717046112383" r:id="rId236"/>
    <hyperlink ref="E254" display="https://www.douyin.com/note/7646701552317873787" r:id="rId237"/>
    <hyperlink ref="E6" display="https://www.douyin.com/video/7612087271226903844" r:id="rId238"/>
    <hyperlink ref="E12" display="https://www.douyin.com/video/7612087271226903844" r:id="rId239"/>
    <hyperlink ref="E21" display="https://www.douyin.com/video/7612087271226903844" r:id="rId240"/>
    <hyperlink ref="E31" display="https://www.douyin.com/video/7612087271226903844" r:id="rId241"/>
    <hyperlink ref="E37" display="https://www.douyin.com/video/7612087271226903844" r:id="rId242"/>
    <hyperlink ref="E96" display="https://www.douyin.com/note/7620750244388744677" r:id="rId243"/>
    <hyperlink ref="E107" display="https://www.douyin.com/note/7620750244388744677" r:id="rId244"/>
    <hyperlink ref="E144" display="https://www.douyin.com/video/7626240521292568483" r:id="rId245"/>
    <hyperlink ref="E181" display="https://www.douyin.com/video/7631754660667995892" r:id="rId246"/>
    <hyperlink ref="E216" display="https://www.douyin.com/note/7639772595369289381" r:id="rId247"/>
    <hyperlink ref="E253" display="https://www.douyin.com/note/7646727972648596218" r:id="rId248"/>
    <hyperlink ref="E258" display="https://www.douyin.com/note/7646727972648596218" r:id="rId249"/>
    <hyperlink ref="E46" display="https://www.douyin.com/video/7615977113706843382" r:id="rId250"/>
    <hyperlink ref="E95" display="https://www.douyin.com/video/7620717387695869226" r:id="rId251"/>
    <hyperlink ref="E106" display="https://www.douyin.com/video/7620717387695869226" r:id="rId252"/>
    <hyperlink ref="E143" display="https://www.douyin.com/note/7625760714330410816" r:id="rId253"/>
    <hyperlink ref="E180" display="https://www.douyin.com/video/7631754234015477361" r:id="rId254"/>
    <hyperlink ref="E215" display="https://www.douyin.com/video/7638908016368917681" r:id="rId255"/>
    <hyperlink ref="E252" display="https://www.douyin.com/note/7646632021980156346" r:id="rId256"/>
    <hyperlink ref="E45" display="https://www.douyin.com/video/7615266309736562682" r:id="rId257"/>
    <hyperlink ref="E94" display="https://www.douyin.com/video/7620296845138728549" r:id="rId258"/>
    <hyperlink ref="E108" display="https://www.douyin.com/video/7620296845138728549" r:id="rId259"/>
    <hyperlink ref="E142" display="https://www.douyin.com/video/7625846621917471208" r:id="rId260"/>
    <hyperlink ref="E179" display="https://www.douyin.com/video/7631919828249700068" r:id="rId261"/>
    <hyperlink ref="E222" display="https://www.douyin.com/video/7640834357934858225" r:id="rId262"/>
    <hyperlink ref="E250" display="https://www.douyin.com/video/7645956165910827377" r:id="rId263"/>
    <hyperlink ref="E44" display="https://www.douyin.com/video/7615783338746236337" r:id="rId264"/>
    <hyperlink ref="E51" display="https://www.douyin.com/video/7615783338746236337" r:id="rId265"/>
    <hyperlink ref="E61" display="https://www.douyin.com/video/7615783338746236337" r:id="rId266"/>
    <hyperlink ref="E68" display="https://www.douyin.com/video/7615783338746236337" r:id="rId267"/>
    <hyperlink ref="E72" display="https://www.douyin.com/video/7615783338746236337" r:id="rId268"/>
  </hyperlinks>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s="118" t="s">
        <v>1834</v>
      </c>
      <c r="B1" s="118" t="s">
        <v>1835</v>
      </c>
      <c r="C1" s="118" t="s">
        <v>1836</v>
      </c>
      <c r="D1" s="118" t="s">
        <v>1837</v>
      </c>
    </row>
    <row r="2">
      <c r="A2" s="118" t="s">
        <v>1838</v>
      </c>
      <c r="B2" s="118">
        <v>2725473</v>
      </c>
      <c r="C2" s="118">
        <v>466700</v>
      </c>
      <c r="D2" s="119">
        <f t="shared" ref="D2:D7" si="0">C2/B2</f>
      </c>
    </row>
    <row r="3">
      <c r="A3" s="118" t="s">
        <v>1839</v>
      </c>
      <c r="B3" s="118">
        <v>149508</v>
      </c>
      <c r="C3" s="118">
        <v>33000</v>
      </c>
      <c r="D3" s="119">
        <f t="shared" si="0"/>
      </c>
    </row>
    <row r="4">
      <c r="A4" s="118" t="s">
        <v>1840</v>
      </c>
      <c r="B4">
        <v>1974887</v>
      </c>
      <c r="C4" s="120">
        <f>'3月加热汇总'!K2</f>
      </c>
      <c r="D4" s="119">
        <f t="shared" si="0"/>
      </c>
    </row>
    <row r="5">
      <c r="A5" s="118" t="s">
        <v>1841</v>
      </c>
      <c r="B5">
        <f>'4月加热汇总'!N2</f>
      </c>
      <c r="C5">
        <f>'4月加热汇总'!O2</f>
      </c>
      <c r="D5" s="119">
        <f t="shared" si="0"/>
      </c>
    </row>
    <row r="6">
      <c r="A6" s="118" t="s">
        <v>1842</v>
      </c>
      <c r="B6">
        <f>'5月加热汇总'!N2</f>
      </c>
      <c r="C6">
        <f>'5月加热汇总'!O2</f>
      </c>
      <c r="D6" s="119">
        <f t="shared" si="0"/>
      </c>
    </row>
    <row r="7">
      <c r="A7" s="121" t="s">
        <v>1843</v>
      </c>
      <c r="B7">
        <f>'6月加热汇总'!N2</f>
      </c>
      <c r="C7">
        <f>'6月加热汇总'!O2</f>
      </c>
      <c r="D7" s="122">
        <f t="shared" si="0"/>
      </c>
    </row>
    <row r="8"/>
    <row r="9"/>
    <row r="10"/>
    <row r="11"/>
    <row r="12"/>
    <row r="13"/>
    <row r="14"/>
    <row r="15"/>
    <row r="16"/>
    <row r="17"/>
    <row r="18">
      <c r="A18" s="118" t="s">
        <v>1844</v>
      </c>
      <c r="B18">
        <f>SUM(B2:B17)</f>
      </c>
      <c r="C18">
        <f>SUM(C2:C17)</f>
      </c>
      <c r="D18" s="119">
        <f>C18/B18</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