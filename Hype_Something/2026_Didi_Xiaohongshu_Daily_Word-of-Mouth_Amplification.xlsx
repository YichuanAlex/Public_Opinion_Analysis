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idi/Downloads/Public_Opinion_Analysis/Hype_Something/"/>
    </mc:Choice>
  </mc:AlternateContent>
  <xr:revisionPtr revIDLastSave="0" documentId="13_ncr:1_{5B6DACE4-2044-B549-9378-86F6062C27BA}" xr6:coauthVersionLast="47" xr6:coauthVersionMax="47" xr10:uidLastSave="{00000000-0000-0000-0000-000000000000}"/>
  <bookViews>
    <workbookView xWindow="4240" yWindow="780" windowWidth="28040" windowHeight="15800" activeTab="3" xr2:uid="{00000000-000D-0000-FFFF-FFFF00000000}"/>
  </bookViews>
  <sheets>
    <sheet name="3月口碑加热" sheetId="1" r:id="rId1"/>
    <sheet name="四月口碑加热" sheetId="2" r:id="rId2"/>
    <sheet name="5月口碑加热" sheetId="3" r:id="rId3"/>
    <sheet name="6月口碑加热" sheetId="4" r:id="rId4"/>
    <sheet name="（数据废表）薯条投放明细表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9" i="5" l="1"/>
  <c r="H99" i="5"/>
  <c r="G99" i="5"/>
  <c r="F99" i="5"/>
  <c r="E99" i="5"/>
  <c r="A99" i="5"/>
  <c r="N98" i="5"/>
  <c r="N11" i="4" s="1"/>
  <c r="P11" i="4" s="1"/>
  <c r="H98" i="5"/>
  <c r="G98" i="5"/>
  <c r="F98" i="5"/>
  <c r="E98" i="5"/>
  <c r="A98" i="5"/>
  <c r="N97" i="5"/>
  <c r="N96" i="5"/>
  <c r="N95" i="5"/>
  <c r="N10" i="4" s="1"/>
  <c r="P10" i="4" s="1"/>
  <c r="H95" i="5"/>
  <c r="G95" i="5"/>
  <c r="F95" i="5"/>
  <c r="E95" i="5"/>
  <c r="A95" i="5"/>
  <c r="N94" i="5"/>
  <c r="H94" i="5"/>
  <c r="G94" i="5"/>
  <c r="F94" i="5"/>
  <c r="E94" i="5"/>
  <c r="A94" i="5"/>
  <c r="N93" i="5"/>
  <c r="N92" i="5"/>
  <c r="H92" i="5"/>
  <c r="G92" i="5"/>
  <c r="F92" i="5"/>
  <c r="E92" i="5"/>
  <c r="A92" i="5"/>
  <c r="N91" i="5"/>
  <c r="N90" i="5"/>
  <c r="H90" i="5"/>
  <c r="G90" i="5"/>
  <c r="F90" i="5"/>
  <c r="E90" i="5"/>
  <c r="A90" i="5"/>
  <c r="N89" i="5"/>
  <c r="H89" i="5"/>
  <c r="G89" i="5"/>
  <c r="F89" i="5"/>
  <c r="E89" i="5"/>
  <c r="A89" i="5"/>
  <c r="N88" i="5"/>
  <c r="N5" i="4" s="1"/>
  <c r="H88" i="5"/>
  <c r="G88" i="5"/>
  <c r="F88" i="5"/>
  <c r="E88" i="5"/>
  <c r="A88" i="5"/>
  <c r="N87" i="5"/>
  <c r="H87" i="5"/>
  <c r="G87" i="5"/>
  <c r="F87" i="5"/>
  <c r="E87" i="5"/>
  <c r="A87" i="5"/>
  <c r="N86" i="5"/>
  <c r="N3" i="4" s="1"/>
  <c r="H86" i="5"/>
  <c r="G86" i="5"/>
  <c r="F86" i="5"/>
  <c r="E86" i="5"/>
  <c r="A86" i="5"/>
  <c r="N85" i="5"/>
  <c r="H85" i="5"/>
  <c r="G85" i="5"/>
  <c r="F85" i="5"/>
  <c r="E85" i="5"/>
  <c r="A85" i="5"/>
  <c r="N84" i="5"/>
  <c r="N83" i="5"/>
  <c r="H83" i="5"/>
  <c r="G83" i="5"/>
  <c r="E83" i="5"/>
  <c r="A83" i="5"/>
  <c r="N82" i="5"/>
  <c r="I82" i="5"/>
  <c r="H82" i="5"/>
  <c r="G82" i="5"/>
  <c r="E82" i="5"/>
  <c r="A82" i="5"/>
  <c r="N81" i="5"/>
  <c r="H81" i="5"/>
  <c r="G81" i="5"/>
  <c r="E81" i="5"/>
  <c r="A81" i="5"/>
  <c r="N80" i="5"/>
  <c r="A80" i="5"/>
  <c r="N79" i="5"/>
  <c r="H79" i="5"/>
  <c r="G79" i="5"/>
  <c r="E79" i="5"/>
  <c r="A79" i="5"/>
  <c r="N78" i="5"/>
  <c r="H78" i="5"/>
  <c r="G78" i="5"/>
  <c r="E78" i="5"/>
  <c r="A78" i="5"/>
  <c r="N77" i="5"/>
  <c r="H77" i="5"/>
  <c r="G77" i="5"/>
  <c r="E77" i="5"/>
  <c r="A77" i="5"/>
  <c r="N76" i="5"/>
  <c r="H76" i="5"/>
  <c r="G76" i="5"/>
  <c r="E76" i="5"/>
  <c r="A76" i="5"/>
  <c r="N75" i="5"/>
  <c r="H75" i="5"/>
  <c r="G75" i="5"/>
  <c r="E75" i="5"/>
  <c r="A75" i="5"/>
  <c r="N74" i="5"/>
  <c r="H74" i="5"/>
  <c r="I74" i="5" s="1"/>
  <c r="J48" i="3" s="1" a="1"/>
  <c r="J48" i="3" s="1"/>
  <c r="G74" i="5"/>
  <c r="E74" i="5"/>
  <c r="A74" i="5"/>
  <c r="N73" i="5"/>
  <c r="N72" i="5"/>
  <c r="N71" i="5"/>
  <c r="N70" i="5"/>
  <c r="N69" i="5"/>
  <c r="H69" i="5"/>
  <c r="N68" i="5"/>
  <c r="H68" i="5"/>
  <c r="G68" i="5"/>
  <c r="E68" i="5"/>
  <c r="A68" i="5"/>
  <c r="N67" i="5"/>
  <c r="H67" i="5"/>
  <c r="G67" i="5"/>
  <c r="E67" i="5"/>
  <c r="A67" i="5"/>
  <c r="N66" i="5"/>
  <c r="H66" i="5"/>
  <c r="G66" i="5"/>
  <c r="E66" i="5"/>
  <c r="A66" i="5"/>
  <c r="N65" i="5"/>
  <c r="H65" i="5"/>
  <c r="I65" i="5" s="1"/>
  <c r="J44" i="3" s="1" a="1"/>
  <c r="J44" i="3" s="1"/>
  <c r="G65" i="5"/>
  <c r="E65" i="5"/>
  <c r="A65" i="5"/>
  <c r="N64" i="5"/>
  <c r="H64" i="5"/>
  <c r="G64" i="5"/>
  <c r="E64" i="5"/>
  <c r="A64" i="5"/>
  <c r="N63" i="5"/>
  <c r="I63" i="5"/>
  <c r="H63" i="5"/>
  <c r="G63" i="5"/>
  <c r="E63" i="5"/>
  <c r="A63" i="5"/>
  <c r="N62" i="5"/>
  <c r="H62" i="5"/>
  <c r="G62" i="5"/>
  <c r="E62" i="5"/>
  <c r="A62" i="5"/>
  <c r="N61" i="5"/>
  <c r="H61" i="5"/>
  <c r="G61" i="5"/>
  <c r="E61" i="5"/>
  <c r="A61" i="5"/>
  <c r="N60" i="5"/>
  <c r="H60" i="5"/>
  <c r="G60" i="5"/>
  <c r="E60" i="5"/>
  <c r="A60" i="5"/>
  <c r="N59" i="5"/>
  <c r="H59" i="5"/>
  <c r="G59" i="5"/>
  <c r="E59" i="5"/>
  <c r="A59" i="5"/>
  <c r="N58" i="5"/>
  <c r="H58" i="5"/>
  <c r="N57" i="5"/>
  <c r="H57" i="5"/>
  <c r="N56" i="5"/>
  <c r="H56" i="5"/>
  <c r="N55" i="5"/>
  <c r="H55" i="5"/>
  <c r="N54" i="5"/>
  <c r="H54" i="5"/>
  <c r="N53" i="5"/>
  <c r="H53" i="5"/>
  <c r="G53" i="5"/>
  <c r="E53" i="5"/>
  <c r="A53" i="5"/>
  <c r="N52" i="5"/>
  <c r="H52" i="5"/>
  <c r="G52" i="5"/>
  <c r="E52" i="5"/>
  <c r="A52" i="5"/>
  <c r="N51" i="5"/>
  <c r="N50" i="5"/>
  <c r="N49" i="5"/>
  <c r="N48" i="5"/>
  <c r="H48" i="5"/>
  <c r="G48" i="5"/>
  <c r="E48" i="5"/>
  <c r="A48" i="5"/>
  <c r="N47" i="5"/>
  <c r="H47" i="5"/>
  <c r="G47" i="5"/>
  <c r="E47" i="5"/>
  <c r="A47" i="5"/>
  <c r="N46" i="5"/>
  <c r="H46" i="5"/>
  <c r="G46" i="5"/>
  <c r="E46" i="5"/>
  <c r="A46" i="5"/>
  <c r="N45" i="5"/>
  <c r="H45" i="5"/>
  <c r="G45" i="5"/>
  <c r="E45" i="5"/>
  <c r="A45" i="5"/>
  <c r="N44" i="5"/>
  <c r="H44" i="5"/>
  <c r="G44" i="5"/>
  <c r="E44" i="5"/>
  <c r="A44" i="5"/>
  <c r="N43" i="5"/>
  <c r="H43" i="5"/>
  <c r="G43" i="5"/>
  <c r="E43" i="5"/>
  <c r="A43" i="5"/>
  <c r="N42" i="5"/>
  <c r="H42" i="5"/>
  <c r="G42" i="5"/>
  <c r="E42" i="5"/>
  <c r="A42" i="5"/>
  <c r="N41" i="5"/>
  <c r="H41" i="5"/>
  <c r="G41" i="5"/>
  <c r="E41" i="5"/>
  <c r="A41" i="5"/>
  <c r="N40" i="5"/>
  <c r="H40" i="5"/>
  <c r="I40" i="5" s="1"/>
  <c r="J27" i="3" s="1" a="1"/>
  <c r="J27" i="3" s="1"/>
  <c r="G40" i="5"/>
  <c r="E40" i="5"/>
  <c r="A40" i="5"/>
  <c r="N39" i="5"/>
  <c r="H39" i="5"/>
  <c r="G39" i="5"/>
  <c r="E39" i="5"/>
  <c r="A39" i="5"/>
  <c r="N38" i="5"/>
  <c r="H38" i="5"/>
  <c r="G38" i="5"/>
  <c r="E38" i="5"/>
  <c r="A38" i="5"/>
  <c r="N37" i="5"/>
  <c r="H37" i="5"/>
  <c r="G37" i="5"/>
  <c r="E37" i="5"/>
  <c r="A37" i="5"/>
  <c r="N36" i="5"/>
  <c r="H36" i="5"/>
  <c r="G36" i="5"/>
  <c r="E36" i="5"/>
  <c r="A36" i="5"/>
  <c r="N35" i="5"/>
  <c r="H35" i="5"/>
  <c r="I35" i="5" s="1"/>
  <c r="J22" i="3" s="1" a="1"/>
  <c r="J22" i="3" s="1"/>
  <c r="G35" i="5"/>
  <c r="E35" i="5"/>
  <c r="A35" i="5"/>
  <c r="N34" i="5"/>
  <c r="H34" i="5"/>
  <c r="G34" i="5"/>
  <c r="E34" i="5"/>
  <c r="A34" i="5"/>
  <c r="N33" i="5"/>
  <c r="H33" i="5"/>
  <c r="G33" i="5"/>
  <c r="E33" i="5"/>
  <c r="A33" i="5"/>
  <c r="N32" i="5"/>
  <c r="H32" i="5"/>
  <c r="G32" i="5"/>
  <c r="E32" i="5"/>
  <c r="A32" i="5"/>
  <c r="N31" i="5"/>
  <c r="I31" i="5"/>
  <c r="H31" i="5"/>
  <c r="G31" i="5"/>
  <c r="E31" i="5"/>
  <c r="A31" i="5"/>
  <c r="N30" i="5"/>
  <c r="H30" i="5"/>
  <c r="G30" i="5"/>
  <c r="E30" i="5"/>
  <c r="A30" i="5"/>
  <c r="N29" i="5"/>
  <c r="I29" i="5"/>
  <c r="H29" i="5"/>
  <c r="G29" i="5"/>
  <c r="E29" i="5"/>
  <c r="A29" i="5"/>
  <c r="N28" i="5"/>
  <c r="H28" i="5"/>
  <c r="G28" i="5"/>
  <c r="E28" i="5"/>
  <c r="A28" i="5"/>
  <c r="N27" i="5"/>
  <c r="H27" i="5"/>
  <c r="G27" i="5"/>
  <c r="E27" i="5"/>
  <c r="A27" i="5"/>
  <c r="N26" i="5"/>
  <c r="N25" i="5"/>
  <c r="N24" i="5"/>
  <c r="H24" i="5"/>
  <c r="G24" i="5"/>
  <c r="E24" i="5"/>
  <c r="A24" i="5"/>
  <c r="N23" i="5"/>
  <c r="H23" i="5"/>
  <c r="G23" i="5"/>
  <c r="E23" i="5"/>
  <c r="A23" i="5"/>
  <c r="N22" i="5"/>
  <c r="H22" i="5"/>
  <c r="G22" i="5"/>
  <c r="E22" i="5"/>
  <c r="A22" i="5"/>
  <c r="N21" i="5"/>
  <c r="H21" i="5"/>
  <c r="G21" i="5"/>
  <c r="E21" i="5"/>
  <c r="A21" i="5"/>
  <c r="N20" i="5"/>
  <c r="H20" i="5"/>
  <c r="G20" i="5"/>
  <c r="E20" i="5"/>
  <c r="A20" i="5"/>
  <c r="N19" i="5"/>
  <c r="H19" i="5"/>
  <c r="G19" i="5"/>
  <c r="E19" i="5"/>
  <c r="A19" i="5"/>
  <c r="N18" i="5"/>
  <c r="H18" i="5"/>
  <c r="G18" i="5"/>
  <c r="E18" i="5"/>
  <c r="A18" i="5"/>
  <c r="N17" i="5"/>
  <c r="H17" i="5"/>
  <c r="G17" i="5"/>
  <c r="E17" i="5"/>
  <c r="A17" i="5"/>
  <c r="N16" i="5"/>
  <c r="J16" i="5"/>
  <c r="H16" i="5"/>
  <c r="G16" i="5"/>
  <c r="E16" i="5"/>
  <c r="A16" i="5"/>
  <c r="N15" i="5"/>
  <c r="H15" i="5"/>
  <c r="G15" i="5"/>
  <c r="E15" i="5"/>
  <c r="A15" i="5"/>
  <c r="N14" i="5"/>
  <c r="H14" i="5"/>
  <c r="G14" i="5"/>
  <c r="E14" i="5"/>
  <c r="A14" i="5"/>
  <c r="N13" i="5"/>
  <c r="H13" i="5"/>
  <c r="G13" i="5"/>
  <c r="E13" i="5"/>
  <c r="A13" i="5"/>
  <c r="N12" i="5"/>
  <c r="H12" i="5"/>
  <c r="G12" i="5"/>
  <c r="E12" i="5"/>
  <c r="A12" i="5"/>
  <c r="N11" i="5"/>
  <c r="H11" i="5"/>
  <c r="G11" i="5"/>
  <c r="E11" i="5"/>
  <c r="A11" i="5"/>
  <c r="N10" i="5"/>
  <c r="H10" i="5"/>
  <c r="G10" i="5"/>
  <c r="E10" i="5"/>
  <c r="A10" i="5"/>
  <c r="N9" i="5"/>
  <c r="H9" i="5"/>
  <c r="G9" i="5"/>
  <c r="E9" i="5"/>
  <c r="A9" i="5"/>
  <c r="N8" i="5"/>
  <c r="H8" i="5"/>
  <c r="G8" i="5"/>
  <c r="E8" i="5"/>
  <c r="A8" i="5"/>
  <c r="N7" i="5"/>
  <c r="H7" i="5"/>
  <c r="G7" i="5"/>
  <c r="E7" i="5"/>
  <c r="A7" i="5"/>
  <c r="N6" i="5"/>
  <c r="H6" i="5"/>
  <c r="G6" i="5"/>
  <c r="E6" i="5"/>
  <c r="A6" i="5"/>
  <c r="N5" i="5"/>
  <c r="H5" i="5"/>
  <c r="G5" i="5"/>
  <c r="E5" i="5"/>
  <c r="A5" i="5"/>
  <c r="N4" i="5"/>
  <c r="H4" i="5"/>
  <c r="G4" i="5"/>
  <c r="E4" i="5"/>
  <c r="A4" i="5"/>
  <c r="N3" i="5"/>
  <c r="H3" i="5"/>
  <c r="G3" i="5"/>
  <c r="E3" i="5"/>
  <c r="A3" i="5"/>
  <c r="N2" i="5"/>
  <c r="H2" i="5"/>
  <c r="G2" i="5"/>
  <c r="E2" i="5"/>
  <c r="A2" i="5"/>
  <c r="U11" i="4"/>
  <c r="O11" i="4"/>
  <c r="M11" i="4"/>
  <c r="L11" i="4"/>
  <c r="K11" i="4"/>
  <c r="J11" i="4"/>
  <c r="Q11" i="4" s="1"/>
  <c r="B11" i="4"/>
  <c r="U10" i="4"/>
  <c r="O10" i="4"/>
  <c r="M10" i="4"/>
  <c r="L10" i="4"/>
  <c r="K10" i="4"/>
  <c r="J10" i="4"/>
  <c r="Q10" i="4" s="1"/>
  <c r="B10" i="4"/>
  <c r="U9" i="4"/>
  <c r="Q9" i="4"/>
  <c r="M9" i="4"/>
  <c r="L9" i="4"/>
  <c r="K9" i="4"/>
  <c r="N9" i="4" s="1"/>
  <c r="P9" i="4" s="1"/>
  <c r="B9" i="4"/>
  <c r="U8" i="4"/>
  <c r="Q8" i="4"/>
  <c r="P8" i="4"/>
  <c r="O8" i="4"/>
  <c r="N8" i="4"/>
  <c r="M8" i="4"/>
  <c r="L8" i="4"/>
  <c r="K8" i="4"/>
  <c r="B8" i="4"/>
  <c r="U7" i="4"/>
  <c r="O7" i="4"/>
  <c r="Q7" i="4" s="1"/>
  <c r="N7" i="4"/>
  <c r="M7" i="4"/>
  <c r="L7" i="4"/>
  <c r="K7" i="4"/>
  <c r="J7" i="4"/>
  <c r="G7" i="4"/>
  <c r="B7" i="4"/>
  <c r="P6" i="4"/>
  <c r="O6" i="4"/>
  <c r="N6" i="4"/>
  <c r="M6" i="4"/>
  <c r="L6" i="4"/>
  <c r="K6" i="4"/>
  <c r="J6" i="4"/>
  <c r="U6" i="4" s="1"/>
  <c r="G6" i="4"/>
  <c r="B6" i="4"/>
  <c r="Q5" i="4"/>
  <c r="O5" i="4"/>
  <c r="O2" i="4" s="1"/>
  <c r="M5" i="4"/>
  <c r="L5" i="4"/>
  <c r="K5" i="4"/>
  <c r="J5" i="4"/>
  <c r="U5" i="4" s="1"/>
  <c r="G5" i="4"/>
  <c r="B5" i="4"/>
  <c r="U4" i="4"/>
  <c r="Q4" i="4"/>
  <c r="O4" i="4"/>
  <c r="M4" i="4"/>
  <c r="L4" i="4"/>
  <c r="K4" i="4"/>
  <c r="N4" i="4" s="1"/>
  <c r="P4" i="4" s="1"/>
  <c r="G4" i="4"/>
  <c r="B4" i="4"/>
  <c r="U3" i="4"/>
  <c r="O3" i="4"/>
  <c r="M3" i="4"/>
  <c r="L3" i="4"/>
  <c r="K3" i="4"/>
  <c r="J3" i="4"/>
  <c r="J2" i="4" s="1"/>
  <c r="G3" i="4"/>
  <c r="B3" i="4"/>
  <c r="N57" i="3"/>
  <c r="T57" i="3" s="1"/>
  <c r="J57" i="3" a="1"/>
  <c r="J57" i="3" s="1"/>
  <c r="P57" i="3" s="1"/>
  <c r="B57" i="3"/>
  <c r="M56" i="3"/>
  <c r="L56" i="3"/>
  <c r="K56" i="3"/>
  <c r="N56" i="3" s="1"/>
  <c r="T56" i="3" s="1"/>
  <c r="J56" i="3" a="1"/>
  <c r="J56" i="3" s="1"/>
  <c r="P56" i="3" s="1"/>
  <c r="B56" i="3"/>
  <c r="M55" i="3"/>
  <c r="L55" i="3"/>
  <c r="K55" i="3"/>
  <c r="N55" i="3" s="1"/>
  <c r="T55" i="3" s="1"/>
  <c r="J55" i="3" a="1"/>
  <c r="J55" i="3" s="1"/>
  <c r="P55" i="3" s="1"/>
  <c r="B55" i="3"/>
  <c r="O54" i="3"/>
  <c r="M54" i="3"/>
  <c r="L54" i="3"/>
  <c r="K54" i="3"/>
  <c r="N54" i="3" s="1"/>
  <c r="T54" i="3" s="1"/>
  <c r="J54" i="3" a="1"/>
  <c r="J54" i="3" s="1"/>
  <c r="B54" i="3"/>
  <c r="T53" i="3"/>
  <c r="N53" i="3"/>
  <c r="P53" i="3" s="1"/>
  <c r="J53" i="3" a="1"/>
  <c r="J53" i="3" s="1"/>
  <c r="B53" i="3"/>
  <c r="O52" i="3"/>
  <c r="N52" i="3"/>
  <c r="T52" i="3" s="1"/>
  <c r="M52" i="3"/>
  <c r="L52" i="3"/>
  <c r="K52" i="3"/>
  <c r="J52" i="3" a="1"/>
  <c r="J52" i="3" s="1"/>
  <c r="B52" i="3"/>
  <c r="O51" i="3"/>
  <c r="N51" i="3"/>
  <c r="T51" i="3" s="1"/>
  <c r="M51" i="3"/>
  <c r="L51" i="3"/>
  <c r="K51" i="3"/>
  <c r="J51" i="3" a="1"/>
  <c r="J51" i="3" s="1"/>
  <c r="B51" i="3"/>
  <c r="O50" i="3"/>
  <c r="N50" i="3"/>
  <c r="T50" i="3" s="1"/>
  <c r="M50" i="3"/>
  <c r="L50" i="3"/>
  <c r="K50" i="3"/>
  <c r="J50" i="3" a="1"/>
  <c r="J50" i="3" s="1"/>
  <c r="B50" i="3"/>
  <c r="O49" i="3"/>
  <c r="N49" i="3"/>
  <c r="T49" i="3" s="1"/>
  <c r="M49" i="3"/>
  <c r="L49" i="3"/>
  <c r="K49" i="3"/>
  <c r="J49" i="3" a="1"/>
  <c r="J49" i="3" s="1"/>
  <c r="B49" i="3"/>
  <c r="O48" i="3"/>
  <c r="N48" i="3"/>
  <c r="T48" i="3" s="1"/>
  <c r="M48" i="3"/>
  <c r="L48" i="3"/>
  <c r="K48" i="3"/>
  <c r="B48" i="3"/>
  <c r="O47" i="3"/>
  <c r="N47" i="3"/>
  <c r="T47" i="3" s="1"/>
  <c r="M47" i="3"/>
  <c r="L47" i="3"/>
  <c r="K47" i="3"/>
  <c r="B47" i="3"/>
  <c r="O46" i="3"/>
  <c r="P46" i="3" s="1"/>
  <c r="M46" i="3"/>
  <c r="L46" i="3"/>
  <c r="N46" i="3" s="1"/>
  <c r="T46" i="3" s="1"/>
  <c r="K46" i="3"/>
  <c r="J46" i="3" a="1"/>
  <c r="J46" i="3" s="1"/>
  <c r="B46" i="3"/>
  <c r="O45" i="3"/>
  <c r="M45" i="3"/>
  <c r="L45" i="3"/>
  <c r="N45" i="3" s="1"/>
  <c r="T45" i="3" s="1"/>
  <c r="K45" i="3"/>
  <c r="B45" i="3"/>
  <c r="O44" i="3"/>
  <c r="M44" i="3"/>
  <c r="L44" i="3"/>
  <c r="K44" i="3"/>
  <c r="N44" i="3" s="1"/>
  <c r="B44" i="3"/>
  <c r="O43" i="3"/>
  <c r="M43" i="3"/>
  <c r="L43" i="3"/>
  <c r="K43" i="3"/>
  <c r="N43" i="3" s="1"/>
  <c r="J43" i="3" a="1"/>
  <c r="J43" i="3" s="1"/>
  <c r="B43" i="3"/>
  <c r="O42" i="3"/>
  <c r="M42" i="3"/>
  <c r="L42" i="3"/>
  <c r="K42" i="3"/>
  <c r="N42" i="3" s="1"/>
  <c r="J42" i="3" a="1"/>
  <c r="J42" i="3" s="1"/>
  <c r="B42" i="3"/>
  <c r="O41" i="3"/>
  <c r="M41" i="3"/>
  <c r="L41" i="3"/>
  <c r="K41" i="3"/>
  <c r="N41" i="3" s="1"/>
  <c r="J41" i="3" a="1"/>
  <c r="J41" i="3" s="1"/>
  <c r="B41" i="3"/>
  <c r="O40" i="3"/>
  <c r="M40" i="3"/>
  <c r="L40" i="3"/>
  <c r="K40" i="3"/>
  <c r="N40" i="3" s="1"/>
  <c r="J40" i="3" a="1"/>
  <c r="J40" i="3" s="1"/>
  <c r="B40" i="3"/>
  <c r="O39" i="3"/>
  <c r="M39" i="3"/>
  <c r="L39" i="3"/>
  <c r="K39" i="3"/>
  <c r="N39" i="3" s="1"/>
  <c r="J39" i="3" a="1"/>
  <c r="J39" i="3" s="1"/>
  <c r="B39" i="3"/>
  <c r="O38" i="3"/>
  <c r="M38" i="3"/>
  <c r="L38" i="3"/>
  <c r="K38" i="3"/>
  <c r="N38" i="3" s="1"/>
  <c r="J38" i="3" a="1"/>
  <c r="J38" i="3" s="1"/>
  <c r="B38" i="3"/>
  <c r="O37" i="3"/>
  <c r="M37" i="3"/>
  <c r="L37" i="3"/>
  <c r="K37" i="3"/>
  <c r="N37" i="3" s="1"/>
  <c r="J37" i="3" a="1"/>
  <c r="J37" i="3" s="1"/>
  <c r="B37" i="3"/>
  <c r="O36" i="3"/>
  <c r="M36" i="3"/>
  <c r="L36" i="3"/>
  <c r="K36" i="3"/>
  <c r="N36" i="3" s="1"/>
  <c r="J36" i="3" a="1"/>
  <c r="J36" i="3" s="1"/>
  <c r="B36" i="3"/>
  <c r="O35" i="3"/>
  <c r="M35" i="3"/>
  <c r="L35" i="3"/>
  <c r="K35" i="3"/>
  <c r="N35" i="3" s="1"/>
  <c r="J35" i="3" a="1"/>
  <c r="J35" i="3" s="1"/>
  <c r="B35" i="3"/>
  <c r="O34" i="3"/>
  <c r="M34" i="3"/>
  <c r="L34" i="3"/>
  <c r="K34" i="3"/>
  <c r="N34" i="3" s="1"/>
  <c r="J34" i="3" a="1"/>
  <c r="J34" i="3" s="1"/>
  <c r="B34" i="3"/>
  <c r="O33" i="3"/>
  <c r="M33" i="3"/>
  <c r="L33" i="3"/>
  <c r="K33" i="3"/>
  <c r="N33" i="3" s="1"/>
  <c r="J33" i="3" a="1"/>
  <c r="J33" i="3" s="1"/>
  <c r="B33" i="3"/>
  <c r="O32" i="3"/>
  <c r="M32" i="3"/>
  <c r="L32" i="3"/>
  <c r="K32" i="3"/>
  <c r="N32" i="3" s="1"/>
  <c r="J32" i="3" a="1"/>
  <c r="J32" i="3" s="1"/>
  <c r="B32" i="3"/>
  <c r="O31" i="3"/>
  <c r="M31" i="3"/>
  <c r="L31" i="3"/>
  <c r="K31" i="3"/>
  <c r="N31" i="3" s="1"/>
  <c r="J31" i="3" a="1"/>
  <c r="J31" i="3" s="1"/>
  <c r="B31" i="3"/>
  <c r="O30" i="3"/>
  <c r="M30" i="3"/>
  <c r="L30" i="3"/>
  <c r="K30" i="3"/>
  <c r="N30" i="3" s="1"/>
  <c r="J30" i="3" a="1"/>
  <c r="J30" i="3" s="1"/>
  <c r="B30" i="3"/>
  <c r="O29" i="3"/>
  <c r="M29" i="3"/>
  <c r="L29" i="3"/>
  <c r="K29" i="3"/>
  <c r="N29" i="3" s="1"/>
  <c r="J29" i="3" a="1"/>
  <c r="J29" i="3" s="1"/>
  <c r="B29" i="3"/>
  <c r="O28" i="3"/>
  <c r="M28" i="3"/>
  <c r="L28" i="3"/>
  <c r="K28" i="3"/>
  <c r="N28" i="3" s="1"/>
  <c r="B28" i="3"/>
  <c r="O27" i="3"/>
  <c r="N27" i="3"/>
  <c r="T27" i="3" s="1"/>
  <c r="M27" i="3"/>
  <c r="L27" i="3"/>
  <c r="K27" i="3"/>
  <c r="B27" i="3"/>
  <c r="O26" i="3"/>
  <c r="N26" i="3"/>
  <c r="T26" i="3" s="1"/>
  <c r="M26" i="3"/>
  <c r="L26" i="3"/>
  <c r="K26" i="3"/>
  <c r="J26" i="3" a="1"/>
  <c r="J26" i="3" s="1"/>
  <c r="B26" i="3"/>
  <c r="O25" i="3"/>
  <c r="N25" i="3"/>
  <c r="T25" i="3" s="1"/>
  <c r="M25" i="3"/>
  <c r="L25" i="3"/>
  <c r="K25" i="3"/>
  <c r="J25" i="3" a="1"/>
  <c r="J25" i="3" s="1"/>
  <c r="B25" i="3"/>
  <c r="O24" i="3"/>
  <c r="N24" i="3"/>
  <c r="T24" i="3" s="1"/>
  <c r="M24" i="3"/>
  <c r="L24" i="3"/>
  <c r="K24" i="3"/>
  <c r="J24" i="3" a="1"/>
  <c r="J24" i="3" s="1"/>
  <c r="B24" i="3"/>
  <c r="O23" i="3"/>
  <c r="N23" i="3"/>
  <c r="T23" i="3" s="1"/>
  <c r="M23" i="3"/>
  <c r="L23" i="3"/>
  <c r="K23" i="3"/>
  <c r="J23" i="3" a="1"/>
  <c r="J23" i="3" s="1"/>
  <c r="B23" i="3"/>
  <c r="O22" i="3"/>
  <c r="N22" i="3"/>
  <c r="T22" i="3" s="1"/>
  <c r="M22" i="3"/>
  <c r="L22" i="3"/>
  <c r="K22" i="3"/>
  <c r="B22" i="3"/>
  <c r="O21" i="3"/>
  <c r="N21" i="3"/>
  <c r="T21" i="3" s="1"/>
  <c r="M21" i="3"/>
  <c r="L21" i="3"/>
  <c r="K21" i="3"/>
  <c r="B21" i="3"/>
  <c r="O20" i="3"/>
  <c r="M20" i="3"/>
  <c r="L20" i="3"/>
  <c r="N20" i="3" s="1"/>
  <c r="K20" i="3"/>
  <c r="J20" i="3" a="1"/>
  <c r="J20" i="3" s="1"/>
  <c r="B20" i="3"/>
  <c r="O19" i="3"/>
  <c r="M19" i="3"/>
  <c r="L19" i="3"/>
  <c r="N19" i="3" s="1"/>
  <c r="K19" i="3"/>
  <c r="J19" i="3" a="1"/>
  <c r="J19" i="3" s="1"/>
  <c r="B19" i="3"/>
  <c r="O18" i="3"/>
  <c r="M18" i="3"/>
  <c r="L18" i="3"/>
  <c r="N18" i="3" s="1"/>
  <c r="K18" i="3"/>
  <c r="J18" i="3" a="1"/>
  <c r="J18" i="3" s="1"/>
  <c r="B18" i="3"/>
  <c r="O17" i="3"/>
  <c r="M17" i="3"/>
  <c r="L17" i="3"/>
  <c r="N17" i="3" s="1"/>
  <c r="K17" i="3"/>
  <c r="J17" i="3" a="1"/>
  <c r="J17" i="3" s="1"/>
  <c r="B17" i="3"/>
  <c r="O16" i="3"/>
  <c r="M16" i="3"/>
  <c r="L16" i="3"/>
  <c r="N16" i="3" s="1"/>
  <c r="K16" i="3"/>
  <c r="J16" i="3" a="1"/>
  <c r="J16" i="3" s="1"/>
  <c r="B16" i="3"/>
  <c r="O15" i="3"/>
  <c r="M15" i="3"/>
  <c r="L15" i="3"/>
  <c r="N15" i="3" s="1"/>
  <c r="K15" i="3"/>
  <c r="J15" i="3" a="1"/>
  <c r="J15" i="3" s="1"/>
  <c r="B15" i="3"/>
  <c r="O14" i="3"/>
  <c r="M14" i="3"/>
  <c r="L14" i="3"/>
  <c r="N14" i="3" s="1"/>
  <c r="K14" i="3"/>
  <c r="J14" i="3" a="1"/>
  <c r="J14" i="3" s="1"/>
  <c r="B14" i="3"/>
  <c r="O13" i="3"/>
  <c r="M13" i="3"/>
  <c r="L13" i="3"/>
  <c r="N13" i="3" s="1"/>
  <c r="K13" i="3"/>
  <c r="J13" i="3" a="1"/>
  <c r="J13" i="3" s="1"/>
  <c r="B13" i="3"/>
  <c r="O12" i="3"/>
  <c r="M12" i="3"/>
  <c r="L12" i="3"/>
  <c r="N12" i="3" s="1"/>
  <c r="K12" i="3"/>
  <c r="J12" i="3" a="1"/>
  <c r="J12" i="3" s="1"/>
  <c r="B12" i="3"/>
  <c r="O11" i="3"/>
  <c r="M11" i="3"/>
  <c r="L11" i="3"/>
  <c r="N11" i="3" s="1"/>
  <c r="K11" i="3"/>
  <c r="J11" i="3" a="1"/>
  <c r="J11" i="3" s="1"/>
  <c r="B11" i="3"/>
  <c r="O10" i="3"/>
  <c r="M10" i="3"/>
  <c r="L10" i="3"/>
  <c r="N10" i="3" s="1"/>
  <c r="K10" i="3"/>
  <c r="J10" i="3" a="1"/>
  <c r="J10" i="3" s="1"/>
  <c r="B10" i="3"/>
  <c r="O9" i="3"/>
  <c r="M9" i="3"/>
  <c r="L9" i="3"/>
  <c r="N9" i="3" s="1"/>
  <c r="K9" i="3"/>
  <c r="J9" i="3" a="1"/>
  <c r="J9" i="3" s="1"/>
  <c r="B9" i="3"/>
  <c r="O8" i="3"/>
  <c r="M8" i="3"/>
  <c r="L8" i="3"/>
  <c r="N8" i="3" s="1"/>
  <c r="K8" i="3"/>
  <c r="J8" i="3" a="1"/>
  <c r="J8" i="3" s="1"/>
  <c r="B8" i="3"/>
  <c r="O7" i="3"/>
  <c r="M7" i="3"/>
  <c r="L7" i="3"/>
  <c r="N7" i="3" s="1"/>
  <c r="K7" i="3"/>
  <c r="J7" i="3" a="1"/>
  <c r="J7" i="3" s="1"/>
  <c r="B7" i="3"/>
  <c r="O6" i="3"/>
  <c r="M6" i="3"/>
  <c r="L6" i="3"/>
  <c r="N6" i="3" s="1"/>
  <c r="K6" i="3"/>
  <c r="J6" i="3" a="1"/>
  <c r="J6" i="3" s="1"/>
  <c r="B6" i="3"/>
  <c r="O5" i="3"/>
  <c r="M5" i="3"/>
  <c r="L5" i="3"/>
  <c r="N5" i="3" s="1"/>
  <c r="K5" i="3"/>
  <c r="J5" i="3" a="1"/>
  <c r="J5" i="3" s="1"/>
  <c r="B5" i="3"/>
  <c r="O4" i="3"/>
  <c r="M4" i="3"/>
  <c r="L4" i="3"/>
  <c r="N4" i="3" s="1"/>
  <c r="K4" i="3"/>
  <c r="J4" i="3" a="1"/>
  <c r="J4" i="3" s="1"/>
  <c r="B4" i="3"/>
  <c r="O3" i="3"/>
  <c r="M3" i="3"/>
  <c r="L3" i="3"/>
  <c r="N3" i="3" s="1"/>
  <c r="K3" i="3"/>
  <c r="J3" i="3" a="1"/>
  <c r="J3" i="3" s="1"/>
  <c r="B3" i="3"/>
  <c r="O2" i="3"/>
  <c r="O106" i="2"/>
  <c r="P106" i="2" s="1"/>
  <c r="N106" i="2"/>
  <c r="P105" i="2"/>
  <c r="P104" i="2"/>
  <c r="O100" i="2"/>
  <c r="M100" i="2"/>
  <c r="L100" i="2"/>
  <c r="K100" i="2"/>
  <c r="N100" i="2" s="1"/>
  <c r="T100" i="2" s="1"/>
  <c r="J100" i="2"/>
  <c r="B100" i="2"/>
  <c r="O99" i="2"/>
  <c r="N99" i="2"/>
  <c r="T99" i="2" s="1"/>
  <c r="M99" i="2"/>
  <c r="L99" i="2"/>
  <c r="K99" i="2"/>
  <c r="J99" i="2"/>
  <c r="B99" i="2"/>
  <c r="O98" i="2"/>
  <c r="P98" i="2" s="1"/>
  <c r="M98" i="2"/>
  <c r="N98" i="2" s="1"/>
  <c r="T98" i="2" s="1"/>
  <c r="L98" i="2"/>
  <c r="K98" i="2"/>
  <c r="J98" i="2"/>
  <c r="B98" i="2"/>
  <c r="O97" i="2"/>
  <c r="M97" i="2"/>
  <c r="L97" i="2"/>
  <c r="N97" i="2" s="1"/>
  <c r="K97" i="2"/>
  <c r="J97" i="2"/>
  <c r="B97" i="2"/>
  <c r="O96" i="2"/>
  <c r="P96" i="2" s="1"/>
  <c r="M96" i="2"/>
  <c r="L96" i="2"/>
  <c r="K96" i="2"/>
  <c r="N96" i="2" s="1"/>
  <c r="T96" i="2" s="1"/>
  <c r="J96" i="2"/>
  <c r="B96" i="2"/>
  <c r="O95" i="2"/>
  <c r="M95" i="2"/>
  <c r="L95" i="2"/>
  <c r="N95" i="2" s="1"/>
  <c r="K95" i="2"/>
  <c r="J95" i="2"/>
  <c r="B95" i="2"/>
  <c r="O94" i="2"/>
  <c r="P94" i="2" s="1"/>
  <c r="M94" i="2"/>
  <c r="L94" i="2"/>
  <c r="K94" i="2"/>
  <c r="N94" i="2" s="1"/>
  <c r="T94" i="2" s="1"/>
  <c r="J94" i="2"/>
  <c r="B94" i="2"/>
  <c r="O93" i="2"/>
  <c r="M93" i="2"/>
  <c r="L93" i="2"/>
  <c r="N93" i="2" s="1"/>
  <c r="K93" i="2"/>
  <c r="J93" i="2"/>
  <c r="B93" i="2"/>
  <c r="O92" i="2"/>
  <c r="P92" i="2" s="1"/>
  <c r="M92" i="2"/>
  <c r="L92" i="2"/>
  <c r="K92" i="2"/>
  <c r="N92" i="2" s="1"/>
  <c r="T92" i="2" s="1"/>
  <c r="J92" i="2"/>
  <c r="B92" i="2"/>
  <c r="O91" i="2"/>
  <c r="M91" i="2"/>
  <c r="L91" i="2"/>
  <c r="N91" i="2" s="1"/>
  <c r="K91" i="2"/>
  <c r="J91" i="2"/>
  <c r="B91" i="2"/>
  <c r="O90" i="2"/>
  <c r="M90" i="2"/>
  <c r="L90" i="2"/>
  <c r="K90" i="2"/>
  <c r="N90" i="2" s="1"/>
  <c r="T90" i="2" s="1"/>
  <c r="J90" i="2"/>
  <c r="B90" i="2"/>
  <c r="T89" i="2"/>
  <c r="P89" i="2"/>
  <c r="B89" i="2"/>
  <c r="O88" i="2"/>
  <c r="M88" i="2"/>
  <c r="L88" i="2"/>
  <c r="K88" i="2"/>
  <c r="N88" i="2" s="1"/>
  <c r="J88" i="2"/>
  <c r="B88" i="2"/>
  <c r="P87" i="2"/>
  <c r="B87" i="2"/>
  <c r="P86" i="2"/>
  <c r="B86" i="2"/>
  <c r="T85" i="2"/>
  <c r="P85" i="2"/>
  <c r="B85" i="2"/>
  <c r="T84" i="2"/>
  <c r="P84" i="2"/>
  <c r="B84" i="2"/>
  <c r="T83" i="2"/>
  <c r="P83" i="2"/>
  <c r="B83" i="2"/>
  <c r="B82" i="2"/>
  <c r="B81" i="2"/>
  <c r="B80" i="2"/>
  <c r="B79" i="2"/>
  <c r="T78" i="2"/>
  <c r="P78" i="2"/>
  <c r="B78" i="2"/>
  <c r="B77" i="2"/>
  <c r="B76" i="2"/>
  <c r="B75" i="2"/>
  <c r="B74" i="2"/>
  <c r="B73" i="2"/>
  <c r="B72" i="2"/>
  <c r="B71" i="2"/>
  <c r="T70" i="2"/>
  <c r="P70" i="2"/>
  <c r="B70" i="2"/>
  <c r="B69" i="2"/>
  <c r="T68" i="2"/>
  <c r="P68" i="2"/>
  <c r="B68" i="2"/>
  <c r="T67" i="2"/>
  <c r="P67" i="2"/>
  <c r="B67" i="2"/>
  <c r="B66" i="2"/>
  <c r="B65" i="2"/>
  <c r="B64" i="2"/>
  <c r="B63" i="2"/>
  <c r="B62" i="2"/>
  <c r="B61" i="2"/>
  <c r="B60" i="2"/>
  <c r="B59" i="2"/>
  <c r="T58" i="2"/>
  <c r="P58" i="2"/>
  <c r="B58" i="2"/>
  <c r="T57" i="2"/>
  <c r="P57" i="2"/>
  <c r="B57" i="2"/>
  <c r="T56" i="2"/>
  <c r="P56" i="2"/>
  <c r="B56" i="2"/>
  <c r="B55" i="2"/>
  <c r="B54" i="2"/>
  <c r="T53" i="2"/>
  <c r="P53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P38" i="2"/>
  <c r="B38" i="2"/>
  <c r="B37" i="2"/>
  <c r="B36" i="2"/>
  <c r="B35" i="2"/>
  <c r="B34" i="2"/>
  <c r="T33" i="2"/>
  <c r="P33" i="2"/>
  <c r="B33" i="2"/>
  <c r="B32" i="2"/>
  <c r="B31" i="2"/>
  <c r="B30" i="2"/>
  <c r="T29" i="2"/>
  <c r="P29" i="2"/>
  <c r="B29" i="2"/>
  <c r="B28" i="2"/>
  <c r="T27" i="2"/>
  <c r="P27" i="2"/>
  <c r="B27" i="2"/>
  <c r="B26" i="2"/>
  <c r="B25" i="2"/>
  <c r="B24" i="2"/>
  <c r="T23" i="2"/>
  <c r="P23" i="2"/>
  <c r="B23" i="2"/>
  <c r="B22" i="2"/>
  <c r="B21" i="2"/>
  <c r="B20" i="2"/>
  <c r="B19" i="2"/>
  <c r="B18" i="2"/>
  <c r="B17" i="2"/>
  <c r="B16" i="2"/>
  <c r="B15" i="2"/>
  <c r="T14" i="2"/>
  <c r="P14" i="2"/>
  <c r="B14" i="2"/>
  <c r="B13" i="2"/>
  <c r="B12" i="2"/>
  <c r="B11" i="2"/>
  <c r="B10" i="2"/>
  <c r="B9" i="2"/>
  <c r="B8" i="2"/>
  <c r="B7" i="2"/>
  <c r="B6" i="2"/>
  <c r="B5" i="2"/>
  <c r="B4" i="2"/>
  <c r="T3" i="2"/>
  <c r="P3" i="2"/>
  <c r="B3" i="2"/>
  <c r="B172" i="1"/>
  <c r="B171" i="1"/>
  <c r="B170" i="1"/>
  <c r="B169" i="1"/>
  <c r="B168" i="1"/>
  <c r="B167" i="1"/>
  <c r="B166" i="1"/>
  <c r="B165" i="1"/>
  <c r="B164" i="1"/>
  <c r="B163" i="1"/>
  <c r="P162" i="1"/>
  <c r="L162" i="1"/>
  <c r="B162" i="1"/>
  <c r="B161" i="1"/>
  <c r="B160" i="1"/>
  <c r="B159" i="1"/>
  <c r="B158" i="1"/>
  <c r="B157" i="1"/>
  <c r="B156" i="1"/>
  <c r="B155" i="1"/>
  <c r="P154" i="1"/>
  <c r="L154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P141" i="1"/>
  <c r="L141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P127" i="1"/>
  <c r="L127" i="1"/>
  <c r="B127" i="1"/>
  <c r="P126" i="1"/>
  <c r="L126" i="1"/>
  <c r="B126" i="1"/>
  <c r="B125" i="1"/>
  <c r="B124" i="1"/>
  <c r="B123" i="1"/>
  <c r="B122" i="1"/>
  <c r="B121" i="1"/>
  <c r="B120" i="1"/>
  <c r="B119" i="1"/>
  <c r="B118" i="1"/>
  <c r="B117" i="1"/>
  <c r="B116" i="1"/>
  <c r="P115" i="1"/>
  <c r="L115" i="1"/>
  <c r="B115" i="1"/>
  <c r="B114" i="1"/>
  <c r="B113" i="1"/>
  <c r="B112" i="1"/>
  <c r="B111" i="1"/>
  <c r="B110" i="1"/>
  <c r="B109" i="1"/>
  <c r="B108" i="1"/>
  <c r="P107" i="1"/>
  <c r="L107" i="1"/>
  <c r="B107" i="1"/>
  <c r="B106" i="1"/>
  <c r="P105" i="1"/>
  <c r="L105" i="1"/>
  <c r="B105" i="1"/>
  <c r="B104" i="1"/>
  <c r="B103" i="1"/>
  <c r="B102" i="1"/>
  <c r="B101" i="1"/>
  <c r="P100" i="1"/>
  <c r="L100" i="1"/>
  <c r="B100" i="1"/>
  <c r="P99" i="1"/>
  <c r="L99" i="1"/>
  <c r="B99" i="1"/>
  <c r="P98" i="1"/>
  <c r="L98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P83" i="1"/>
  <c r="L83" i="1"/>
  <c r="B83" i="1"/>
  <c r="P82" i="1"/>
  <c r="L82" i="1"/>
  <c r="B82" i="1"/>
  <c r="P81" i="1"/>
  <c r="L81" i="1"/>
  <c r="B81" i="1"/>
  <c r="P80" i="1"/>
  <c r="L80" i="1"/>
  <c r="B80" i="1"/>
  <c r="P79" i="1"/>
  <c r="L79" i="1"/>
  <c r="B79" i="1"/>
  <c r="B78" i="1"/>
  <c r="B77" i="1"/>
  <c r="B76" i="1"/>
  <c r="B75" i="1"/>
  <c r="B74" i="1"/>
  <c r="B73" i="1"/>
  <c r="B72" i="1"/>
  <c r="B71" i="1"/>
  <c r="P70" i="1"/>
  <c r="L70" i="1"/>
  <c r="B70" i="1"/>
  <c r="B69" i="1"/>
  <c r="B68" i="1"/>
  <c r="B67" i="1"/>
  <c r="B66" i="1"/>
  <c r="B65" i="1"/>
  <c r="B64" i="1"/>
  <c r="P63" i="1"/>
  <c r="L63" i="1"/>
  <c r="B63" i="1"/>
  <c r="B62" i="1"/>
  <c r="B61" i="1"/>
  <c r="B60" i="1"/>
  <c r="B59" i="1"/>
  <c r="B58" i="1"/>
  <c r="P57" i="1"/>
  <c r="L57" i="1"/>
  <c r="B57" i="1"/>
  <c r="B56" i="1"/>
  <c r="B55" i="1"/>
  <c r="B54" i="1"/>
  <c r="B53" i="1"/>
  <c r="B52" i="1"/>
  <c r="B51" i="1"/>
  <c r="B50" i="1"/>
  <c r="B49" i="1"/>
  <c r="B48" i="1"/>
  <c r="B47" i="1"/>
  <c r="P46" i="1"/>
  <c r="L46" i="1"/>
  <c r="B46" i="1"/>
  <c r="B45" i="1"/>
  <c r="B44" i="1"/>
  <c r="P43" i="1"/>
  <c r="L43" i="1"/>
  <c r="B43" i="1"/>
  <c r="B42" i="1"/>
  <c r="B41" i="1"/>
  <c r="B40" i="1"/>
  <c r="P39" i="1"/>
  <c r="L39" i="1"/>
  <c r="B39" i="1"/>
  <c r="B38" i="1"/>
  <c r="B37" i="1"/>
  <c r="B36" i="1"/>
  <c r="P35" i="1"/>
  <c r="L35" i="1"/>
  <c r="B35" i="1"/>
  <c r="L34" i="1"/>
  <c r="B34" i="1"/>
  <c r="B33" i="1"/>
  <c r="E32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P14" i="1"/>
  <c r="L14" i="1"/>
  <c r="B14" i="1"/>
  <c r="B13" i="1"/>
  <c r="B12" i="1"/>
  <c r="B11" i="1"/>
  <c r="B10" i="1"/>
  <c r="B9" i="1"/>
  <c r="B8" i="1"/>
  <c r="B7" i="1"/>
  <c r="B6" i="1"/>
  <c r="E5" i="1"/>
  <c r="B5" i="1"/>
  <c r="E4" i="1"/>
  <c r="B4" i="1"/>
  <c r="P3" i="1"/>
  <c r="L3" i="1"/>
  <c r="E3" i="1"/>
  <c r="B3" i="1"/>
  <c r="K2" i="1"/>
  <c r="L2" i="1" s="1"/>
  <c r="J2" i="1"/>
  <c r="T91" i="2" l="1"/>
  <c r="P91" i="2"/>
  <c r="T12" i="3"/>
  <c r="P12" i="3"/>
  <c r="T30" i="3"/>
  <c r="P30" i="3"/>
  <c r="T88" i="2"/>
  <c r="N2" i="2"/>
  <c r="J2" i="3"/>
  <c r="T6" i="3"/>
  <c r="P6" i="3"/>
  <c r="T11" i="3"/>
  <c r="P11" i="3"/>
  <c r="T16" i="3"/>
  <c r="P16" i="3"/>
  <c r="T29" i="3"/>
  <c r="P29" i="3"/>
  <c r="T34" i="3"/>
  <c r="P34" i="3"/>
  <c r="T39" i="3"/>
  <c r="P39" i="3"/>
  <c r="P90" i="2"/>
  <c r="T97" i="2"/>
  <c r="P97" i="2"/>
  <c r="T3" i="3"/>
  <c r="P3" i="3"/>
  <c r="N2" i="3"/>
  <c r="P2" i="3" s="1"/>
  <c r="T8" i="3"/>
  <c r="P8" i="3"/>
  <c r="T13" i="3"/>
  <c r="P13" i="3"/>
  <c r="T18" i="3"/>
  <c r="P18" i="3"/>
  <c r="T31" i="3"/>
  <c r="P31" i="3"/>
  <c r="T36" i="3"/>
  <c r="P36" i="3"/>
  <c r="T41" i="3"/>
  <c r="P41" i="3"/>
  <c r="P88" i="2"/>
  <c r="P100" i="2"/>
  <c r="P54" i="3"/>
  <c r="N2" i="4"/>
  <c r="P3" i="4"/>
  <c r="T5" i="3"/>
  <c r="P5" i="3"/>
  <c r="T10" i="3"/>
  <c r="P10" i="3"/>
  <c r="T15" i="3"/>
  <c r="P15" i="3"/>
  <c r="T20" i="3"/>
  <c r="P20" i="3"/>
  <c r="T28" i="3"/>
  <c r="P28" i="3"/>
  <c r="T33" i="3"/>
  <c r="P33" i="3"/>
  <c r="T38" i="3"/>
  <c r="P38" i="3"/>
  <c r="T43" i="3"/>
  <c r="P43" i="3"/>
  <c r="T35" i="3"/>
  <c r="P35" i="3"/>
  <c r="P45" i="3"/>
  <c r="T7" i="3"/>
  <c r="P7" i="3"/>
  <c r="T17" i="3"/>
  <c r="P17" i="3"/>
  <c r="T40" i="3"/>
  <c r="P40" i="3"/>
  <c r="T93" i="2"/>
  <c r="P93" i="2"/>
  <c r="T4" i="3"/>
  <c r="P4" i="3"/>
  <c r="T9" i="3"/>
  <c r="P9" i="3"/>
  <c r="T14" i="3"/>
  <c r="P14" i="3"/>
  <c r="T19" i="3"/>
  <c r="P19" i="3"/>
  <c r="T32" i="3"/>
  <c r="P32" i="3"/>
  <c r="T37" i="3"/>
  <c r="P37" i="3"/>
  <c r="T42" i="3"/>
  <c r="P42" i="3"/>
  <c r="T44" i="3"/>
  <c r="P44" i="3"/>
  <c r="Q2" i="4"/>
  <c r="P2" i="4"/>
  <c r="T95" i="2"/>
  <c r="P95" i="2"/>
  <c r="Q3" i="4"/>
  <c r="P5" i="4"/>
  <c r="O2" i="2"/>
  <c r="P2" i="2" s="1"/>
  <c r="P21" i="3"/>
  <c r="P22" i="3"/>
  <c r="P23" i="3"/>
  <c r="P24" i="3"/>
  <c r="P25" i="3"/>
  <c r="P26" i="3"/>
  <c r="P27" i="3"/>
  <c r="Q6" i="4"/>
  <c r="P7" i="4"/>
  <c r="P99" i="2"/>
  <c r="P47" i="3"/>
  <c r="P48" i="3"/>
  <c r="P49" i="3"/>
  <c r="P50" i="3"/>
  <c r="P51" i="3"/>
  <c r="P52" i="3"/>
</calcChain>
</file>

<file path=xl/sharedStrings.xml><?xml version="1.0" encoding="utf-8"?>
<sst xmlns="http://schemas.openxmlformats.org/spreadsheetml/2006/main" count="2330" uniqueCount="1275">
  <si>
    <t>发布日期</t>
  </si>
  <si>
    <t>投放截止</t>
  </si>
  <si>
    <t>状态</t>
  </si>
  <si>
    <t>链接</t>
  </si>
  <si>
    <t>笔记ID</t>
  </si>
  <si>
    <t>投放记录
xx日投放xx元</t>
  </si>
  <si>
    <t>标题</t>
  </si>
  <si>
    <t>投前互动量</t>
  </si>
  <si>
    <t>投后互动量</t>
  </si>
  <si>
    <t>总互动量</t>
  </si>
  <si>
    <t>总投放金额</t>
  </si>
  <si>
    <t>综合cpe
*投入/笔记外层互动数据</t>
  </si>
  <si>
    <t>一级分类</t>
  </si>
  <si>
    <t>二级分类</t>
  </si>
  <si>
    <t>备注</t>
  </si>
  <si>
    <t>爆款定级</t>
  </si>
  <si>
    <t>汇总</t>
  </si>
  <si>
    <t>-</t>
  </si>
  <si>
    <t>停投</t>
  </si>
  <si>
    <t>https://www.xiaohongshu.com/explore/69a1791c000000001d010e81?source=webshare&amp;xhsshare=pc_web&amp;xsec_token=ABUfS-RvMXp__59TETeHFmyVM5vzKBFdGWn4rXtF_Kl7w=&amp;xsec_source=pc_share</t>
  </si>
  <si>
    <t>3.1投放200元
3.2投放1000元</t>
  </si>
  <si>
    <t>🈚️</t>
  </si>
  <si>
    <t>产品力</t>
  </si>
  <si>
    <t>网约公交</t>
  </si>
  <si>
    <t>待授权</t>
  </si>
  <si>
    <t>https://www.xiaohongshu.com/explore/69a13438000000001a037eb5?source=webshare&amp;xhsshare=pc_web&amp;xsec_token=ABUfS-RvMXp__59TETeHFmyUBKzvnQuCTM5-TEr30k98s=&amp;xsec_source=pc_share</t>
  </si>
  <si>
    <t>鹰潭网约公交车</t>
  </si>
  <si>
    <t>无法授权</t>
  </si>
  <si>
    <t>https://www.xiaohongshu.com/explore/69996f83000000000a03ca57?source=webshare&amp;xhsshare=pc_web&amp;xsec_token=ABdBENtNaEkfvHeP20RfnHpkNNw77RVpQMLqLC9oXopCk=&amp;xsec_source=pc_share</t>
  </si>
  <si>
    <t>天天包公交车出门玩</t>
  </si>
  <si>
    <t>该笔记作者未完成实名认证</t>
  </si>
  <si>
    <t>https://www.xiaohongshu.com/explore/69a784900000000028023a0c?xsec_token=ABhEzY5LNPbk3JF1yT1cY_GeUbiWH0M3H3c0zWKNjVngw=</t>
  </si>
  <si>
    <t>69a784900000000028023a0c</t>
  </si>
  <si>
    <t>被滴滴司机治愈的牛马</t>
  </si>
  <si>
    <t>司机</t>
  </si>
  <si>
    <t>司机自发装置</t>
  </si>
  <si>
    <t>https://www.xiaohongshu.com/discovery/item/69a62c050000000022030f93?source=webshare&amp;xhsshare=pc_web&amp;xsec_token=ABp0muHcbaTtF6hVhmEgnmyj7i30JWyr1OZXye5_7ebc8=&amp;xsec_source=pc_share</t>
  </si>
  <si>
    <t>69a62c050000000022030f93</t>
  </si>
  <si>
    <t>大学生就这样幸福通勤☺️打车还能薅到羊毛</t>
  </si>
  <si>
    <t>价格优惠</t>
  </si>
  <si>
    <t>https://www.xiaohongshu.com/explore/69a69a950000000015021dc4?xsec_token=ABvxR5VM6bWTCOtA48xqCfnWOCjy16qXPuVrSPFRYzRr0=</t>
  </si>
  <si>
    <t>69a69a950000000015021dc4</t>
  </si>
  <si>
    <t>北京打车看到小巴的选项，对司机来说就是拼车，会拼顺路的人。对我们来说和拼车稍微不一样的是，坐车点和目的地可能需要走两步。挺合适的，比快车拼车都要便宜。</t>
  </si>
  <si>
    <t>场景</t>
  </si>
  <si>
    <t>站点巴士</t>
  </si>
  <si>
    <t>https://www.xiaohongshu.com/explore/69a7beeb000000001b01dfa9?xsec_token=ABhEzY5LNPbk3JF1yT1cY_GQ6cUecWNIePwXLffO7iRng=</t>
  </si>
  <si>
    <t>69a7beeb000000001b01dfa9</t>
  </si>
  <si>
    <t>第一次在广州打宠物滴滴，师傅都很友好，遇上的司机都很好～猫猫可以放座位上#宠物专车</t>
  </si>
  <si>
    <t>宠物出行</t>
  </si>
  <si>
    <t>https://www.xiaohongshu.com/explore/69a7cda3000000001a01febe?xsec_token=ABhEzY5LNPbk3JF1yT1cY_Gfu62g4eGcn4p3c7odsORNM=</t>
  </si>
  <si>
    <t>69a7cda3000000001a01febe</t>
  </si>
  <si>
    <t>🥹只有女生才懂的安心！滴滴你真的很会！</t>
  </si>
  <si>
    <t>可选女司机</t>
  </si>
  <si>
    <t>https://www.xiaohongshu.com/explore/69a79b0f0000000028020815?xsec_token=ABhEzY5LNPbk3JF1yT1cY_GU_cUtPy2R5VWJW39Rjy7_g=</t>
  </si>
  <si>
    <t>69a79b0f0000000028020815</t>
  </si>
  <si>
    <t>寒假明明还阳光明媚的，一开学就阴雨连绵，拖着行李箱手上还有大包小包的整个人狼狈不堪，下雨天打车还不好打😢一点也不想返校。在雨棚下等了一会终于在滴滴打到车了，因为女性友好计划偏好选了优先女司机😭成功打到了一位女司机，司机看到我裤子湿了立马下车帮我搬东西，上车还给我毛巾和纸巾擦，本来这个天在安徽是不开空调的，但她居然把车载空调开了！！一路上对我嘘寒问暖，问我是哪个学校的，一个人这么多东西方不方便omg，虽然本人是i人不太会聊天但heart暖暖滴呀
我爱女司机！！世界不能没有女性友好！🥹
#大学生返校 #下雨打车 #女性友好 #温暖的瞬间 #治愈 #女司机 #人间自有温情在 #雨天出行 #温馨时刻 #日常</t>
  </si>
  <si>
    <t>https://www.xiaohongshu.com/explore/69a69a72000000002603db53?xsec_token=ABvxR5VM6bWTCOtA48xqCfna_NrHkoGWw8-hWuWjFyT4M=</t>
  </si>
  <si>
    <t>69a69a72000000002603db53</t>
  </si>
  <si>
    <t>Day4 大理古城-丽江古城｜交通、行程</t>
  </si>
  <si>
    <t>https://www.xiaohongshu.com/explore/69a69266000000001a0223cc?xsec_token=ABp0muHcbaTtF6hVhmEgnmymhV0Ij4Ko6orZGmGua8KRA=&amp;xsec_source=pc_user</t>
  </si>
  <si>
    <t>69a69266000000001a0223cc</t>
  </si>
  <si>
    <t>滴滴开启了女性友好计划</t>
  </si>
  <si>
    <t>https://www.xiaohongshu.com/explore/69a8e38d000000001503a3a7?xsec_token=ABti5UUL7otvHinRdQXMziCKQKwU9CJCzBPyja9fO64iU=</t>
  </si>
  <si>
    <t>69a8e38d000000001503a3a7</t>
  </si>
  <si>
    <t>3.5投放9.95元
3.6投放13.18元
3.7投放25.48元
3.8投放34.19元</t>
  </si>
  <si>
    <t>🌸打车遇到的司机姐姐 比春天还治愈</t>
  </si>
  <si>
    <t>司乘温暖</t>
  </si>
  <si>
    <t>https://www.xiaohongshu.com/explore/69a90171000000001b01675b?xsec_token=ABinpLgNAriBkbhkwVaaqtM3QpmZe2v7KYf4ls_nSuq-U=</t>
  </si>
  <si>
    <t>69a90171000000001b01675b</t>
  </si>
  <si>
    <t>在广州尝试打宠物滴滴，师傅都很友好</t>
  </si>
  <si>
    <t>https://www.xiaohongshu.com/explore/69a8602f0000000016008481?xsec_token=ABti5UUL7otvHinRdQXMziCOV5xvAiu8K7ABrTtOudOBA=</t>
  </si>
  <si>
    <t>69a8602f0000000016008481</t>
  </si>
  <si>
    <t>下雪的夜晚🎑</t>
  </si>
  <si>
    <t>滴滴豪华车</t>
  </si>
  <si>
    <t>https://www.xiaohongshu.com/explore/69aa40df000000001a0300e8?xsec_token=ABfP4oNWV5tmkPBEICXG5Pblg8XGvD36TVl5tP8Hr0u1E=</t>
  </si>
  <si>
    <t>69aa40df000000001a0300e8</t>
  </si>
  <si>
    <t>凌晨两点，打到女司机的那一刻，我真的破防</t>
  </si>
  <si>
    <t>该笔记非公开可见</t>
  </si>
  <si>
    <t>https://www.xiaohongshu.com/explore/69a9956a000000002303afb2?xsec_token=ABinpLgNAriBkbhkwVaaqtMxW3Gw7pxUavRoUWEUcZ-y8=</t>
  </si>
  <si>
    <t>69a9956a000000002303afb2</t>
  </si>
  <si>
    <t>西双版纳的滴滴雨林巴士也太用心了</t>
  </si>
  <si>
    <t>https://www.xiaohongshu.com/explore/69a71941000000001a035d4f?xsec_token=ABhEzY5LNPbk3JF1yT1cY_GTGwMWnNJStW-20guiuVRGo=</t>
  </si>
  <si>
    <t>69a71941000000001a035d4f</t>
  </si>
  <si>
    <t>蘑菇蘑菇Mush🍄</t>
  </si>
  <si>
    <t>https://www.xiaohongshu.com/explore/69a96dec000000000e00faab?xsec_token=ABinpLgNAriBkbhkwVaaqtM63P_ZB7O3UC_oyaPE9wiK4=</t>
  </si>
  <si>
    <t>69a96dec000000000e00faab</t>
  </si>
  <si>
    <t>3.5早八、虐完上班</t>
  </si>
  <si>
    <t>https://www.xiaohongshu.com/explore/69a9b676000000002202c77c?xsec_token=ABinpLgNAriBkbhkwVaaqtM_4_PDzigqfokF3H1vfcYTU=</t>
  </si>
  <si>
    <t>69a9b676000000002202c77c</t>
  </si>
  <si>
    <t>真的要爱死滴滴了</t>
  </si>
  <si>
    <t>https://www.xiaohongshu.com/explore/69aa66f1000000002800bfc8?xsec_token=ABfP4oNWV5tmkPBEICXG5Pbt0nEkg82Q93CPYV198L9R8=</t>
  </si>
  <si>
    <t>69aa66f1000000002800bfc8</t>
  </si>
  <si>
    <t>滴滴女性友好打车</t>
  </si>
  <si>
    <t>https://www.xiaohongshu.com/explore/69aa5cb3000000000e03c064?xsec_token=ABfP4oNWV5tmkPBEICXG5PbpG4ZZ5WJVhPQ1sR6CqRJAM=</t>
  </si>
  <si>
    <t>69aa5cb3000000000e03c064</t>
  </si>
  <si>
    <t>独居的第一步，是让妈妈放心</t>
  </si>
  <si>
    <t>https://www.xiaohongshu.com/explore/69ad163e000000001a036bbb</t>
  </si>
  <si>
    <t>69ad163e000000001a036bbb</t>
  </si>
  <si>
    <t>38妇女节给我最好的礼物就是遇见滴滴女司机</t>
  </si>
  <si>
    <t>1.6w</t>
  </si>
  <si>
    <t>https://www.xiaohongshu.com/explore/69ad8ead000000001a01cd19?xsec_token=ABXhk24rjMe1jIKbJRi8Emtc6YrwaeJ_WhIGHhgoCgqrM=</t>
  </si>
  <si>
    <t>69ad8ead000000001a01cd19</t>
  </si>
  <si>
    <t>周五晚上深圳到惠州的大巴，真静音车厢！</t>
  </si>
  <si>
    <t>https://www.xiaohongshu.com/explore/69ad8490000000001a02e236?xsec_token=ABXhk24rjMe1jIKbJRi8EmtQg7jXzJIj5TSTfEjIH-UrU=</t>
  </si>
  <si>
    <t>69ad8490000000001a02e236</t>
  </si>
  <si>
    <t>西双版纳的滴滴巴士，我要说你好夯！</t>
  </si>
  <si>
    <t>https://www.xiaohongshu.com/explore/69af7c040000000022022bfa?xsec_token=ABcOPnb0grNW1USjMZaatAj7rGkgq2C77ESfKCNk5AL2I=</t>
  </si>
  <si>
    <t>69af7c040000000022022bfa</t>
  </si>
  <si>
    <t>今天打车上班</t>
  </si>
  <si>
    <t>https://www.xiaohongshu.com/explore/69ae50ea0000000022021855?xsec_token=AB8MBxx4TMDwyvH_4vLDYtp8E9BtUN0Q7GEXFDbTCX9Oo=</t>
  </si>
  <si>
    <t>69ae50ea0000000022021855</t>
  </si>
  <si>
    <t>滴滴出行夜间可以优先选择女司机了❤️</t>
  </si>
  <si>
    <t>https://www.xiaohongshu.com/explore/69af96ae000000000600ee92?xsec_token=ABcOPnb0grNW1USjMZaatAj59qZaiqHZTQEOzwfwEwuS0=</t>
  </si>
  <si>
    <t>69af96ae000000000600ee92</t>
  </si>
  <si>
    <t>妇女节，想对女司机说谢谢</t>
  </si>
  <si>
    <t>https://www.xiaohongshu.com/explore/69aee66f000000002202e892?xsec_token=ABahDZd6U7F2gKY1ZKZmEoQdWDLnUo5Ca6qnwyqLssXvU=</t>
  </si>
  <si>
    <t>69aee66f000000002202e892</t>
  </si>
  <si>
    <t>滴滴的女性友好服务真的很好</t>
  </si>
  <si>
    <t>https://www.xiaohongshu.com/explore/69aebe8c000000002303b317?xsec_token=ABahDZd6U7F2gKY1ZKZmEoQRzr6np0tKRpECODpKO7ph4=</t>
  </si>
  <si>
    <t>69aebe8c000000002303b317</t>
  </si>
  <si>
    <t>看完唐香玉的打车路上，听了一对母女的故事</t>
  </si>
  <si>
    <t>https://www.xiaohongshu.com/explore/69ae8994000000000d008e1c</t>
  </si>
  <si>
    <t>打车遇到师傅正在放我的歌 儿子特兴奋 直</t>
  </si>
  <si>
    <t>https://www.xiaohongshu.com/explore/69aeac570000000016008b38</t>
  </si>
  <si>
    <t>69aeac570000000016008b38</t>
  </si>
  <si>
    <t>女性可以做任何职业，靠自己握住人生方向盘</t>
  </si>
  <si>
    <t>该笔记作者粉丝数超过1000</t>
  </si>
  <si>
    <t>拒绝授权</t>
  </si>
  <si>
    <t>https://www.xiaohongshu.com/explore/69b079a20000000023039059?xsec_token=ABxcM-eyF_j3KzqyE-f6D92VAi5pNNrAWs0jI0CDLEIQk=</t>
  </si>
  <si>
    <t>69b079a20000000023039059</t>
  </si>
  <si>
    <t>3.12投放200.51元</t>
  </si>
  <si>
    <t>滴滴出行女司机优先</t>
  </si>
  <si>
    <t>作者于2026-03-12 23:28:21主动解除授权</t>
  </si>
  <si>
    <t>https://www.xiaohongshu.com/explore/69affbc10000000015032a56?xsec_token=ABcOPnb0grNW1USjMZaatAj7Iqr_BNA86ssQuWCiqrv6o=</t>
  </si>
  <si>
    <t>69affbc10000000015032a56</t>
  </si>
  <si>
    <t>3.11投放54.00元
3.12投放135.91元
3.13投放140.52元
3.14投放65.88元</t>
  </si>
  <si>
    <t>现在的专车也太卷了吧！</t>
  </si>
  <si>
    <t>专车/豪华车</t>
  </si>
  <si>
    <t>https://www.xiaohongshu.com/explore/69abd7ef000000000e03ca0f?xsec_token=ABgbL2QR8jyKwHB72kS9TCOX1krxcx7dye8NX_0-Pn7F0=</t>
  </si>
  <si>
    <t>69abd7ef000000000e03ca0f</t>
  </si>
  <si>
    <t>厨师的滴滴v8私享家通勤日常🚗</t>
  </si>
  <si>
    <t>https://www.xiaohongshu.com/explore/69afd07f000000001503ae72?xsec_token=ABcOPnb0grNW1USjMZaatAj2_YqOhnflStsNLEd-6xt6Q=</t>
  </si>
  <si>
    <t>69afd07f000000001503ae72</t>
  </si>
  <si>
    <t>滴滴你真是好事做尽</t>
  </si>
  <si>
    <t>https://www.xiaohongshu.com/explore/69b0f18a000000001d013bce?xsec_token=ABxcM-eyF_j3KzqyE-f6D92REVTX0vME4-GSCNwq1j7sg=</t>
  </si>
  <si>
    <t>69b0f18a000000001d013bce</t>
  </si>
  <si>
    <t>突然发现滴滴新出了女性友好出行诶</t>
  </si>
  <si>
    <t>https://www.xiaohongshu.com/explore/69b01dc1000000001b01ed03?xsec_token=ABxcM-eyF_j3KzqyE-f6D92XpYQ37jZYU5liR-c3cd3uM=</t>
  </si>
  <si>
    <t>69b01dc1000000001b01ed03</t>
  </si>
  <si>
    <t>3.11投放202.14元</t>
  </si>
  <si>
    <t>女性友好</t>
  </si>
  <si>
    <t>女性友好计划</t>
  </si>
  <si>
    <t>https://www.xiaohongshu.com/explore/69afbd03000000002202d5aa?xsec_token=ABcOPnb0grNW1USjMZaatAjxb8_ASXoKVRFA0--UrPw5k=</t>
  </si>
  <si>
    <t>69afbd03000000002202d5aa</t>
  </si>
  <si>
    <t>被女司机戳到了(ಥ_ಥ)</t>
  </si>
  <si>
    <t>https://www.xiaohongshu.com/explore/69afa32b000000001b0166d5?xsec_token=ABcOPnb0grNW1USjMZaatAjxK5HU98LET8pN82AgU0SHA=</t>
  </si>
  <si>
    <t>69afa32b000000001b0166d5</t>
  </si>
  <si>
    <t>夜里打车遇见的女司机</t>
  </si>
  <si>
    <t>https://www.xiaohongshu.com/explore/69af76c0000000001503995d?xsec_token=ABcOPnb0grNW1USjMZaatAj8mWNzd8hRUPkhtlETEosr4=</t>
  </si>
  <si>
    <t>69af76c0000000001503995d</t>
  </si>
  <si>
    <t>滴滴打车打到女司机</t>
  </si>
  <si>
    <t>https://www.xiaohongshu.com/explore/69b21bd0000000001d0138fd?xsec_token=ABdoX6O_JHSaJWE4cS8BMj_B0N9KtS6x8Cvx9-ApbL_mk=</t>
  </si>
  <si>
    <t>69b21bd0000000001d0138fd</t>
  </si>
  <si>
    <t>3.13投放211.14元</t>
  </si>
  <si>
    <t>所有人立刻加入滴滴女性友好计划！</t>
  </si>
  <si>
    <t>该笔记在投放中因社区规则被判定为有风险笔记,已暂停投放。</t>
  </si>
  <si>
    <t>https://www.xiaohongshu.com/explore/69b136d0000000000b036256?xsec_token=ABy_kBwzk7ZO3VzUAlmz2vDx3V8HpRMt3MENIlXLOrUfI=</t>
  </si>
  <si>
    <t>69b136d0000000000b036256</t>
  </si>
  <si>
    <t>人类不能没有实心的比猪煤气罐！</t>
  </si>
  <si>
    <t>https://www.xiaohongshu.com/explore/69b212030000000016009a77?xsec_token=ABdoX6O_JHSaJWE4cS8BMj_PxT15wdCkLxFQTOD3DHZBU=</t>
  </si>
  <si>
    <t>69b212030000000016009a77</t>
  </si>
  <si>
    <t>深夜加班约到温柔大姐姐，安全感upupup!</t>
  </si>
  <si>
    <t>https://www.xiaohongshu.com/explore/69b37a8a000000001d024cd1?xsec_token=ABHvyKgHL3h-usA6hmqw2VubRDcm0NysHrBTztEpztnkg=&amp;xsec_source=pc_search&amp;source=web_explore_feed</t>
  </si>
  <si>
    <t>69b37a8a000000001d024cd1</t>
  </si>
  <si>
    <t>3.13投放51.60元
3.14投放150.14元</t>
  </si>
  <si>
    <t>滴滴宠物快车分享🧐</t>
  </si>
  <si>
    <t>https://www.xiaohongshu.com/explore/69b2af73000000000902262c?xsec_token=ABdoX6O_JHSaJWE4cS8BMj_I57QMjqRLgS4K3ZREDMPWA=</t>
  </si>
  <si>
    <t>69b2af73000000000902262c</t>
  </si>
  <si>
    <t>🤫悄悄告诉独居姐妹！滴滴里有个“保命”</t>
  </si>
  <si>
    <t>https://www.xiaohongshu.com/explore/69b26090000000000c00b541?xsec_token=ABdoX6O_JHSaJWE4cS8BMj_LXQswDtIxZIZrapG9Y9Y2g=</t>
  </si>
  <si>
    <t>69b26090000000000c00b541</t>
  </si>
  <si>
    <t>🚖滴滴出行</t>
  </si>
  <si>
    <t>https://www.xiaohongshu.com/explore/69b386da0000000006030b1a?xsec_token=ABHvyKgHL3h-usA6hmqw2VudFSla61LsWbIulSwsSxmGM=</t>
  </si>
  <si>
    <t>69b386da0000000006030b1a</t>
  </si>
  <si>
    <t>滴滴女性友好你很好🥹</t>
  </si>
  <si>
    <t>https://www.xiaohongshu.com/explore/69b2e4cd0000000005030694?xsec_token=ABdoX6O_JHSaJWE4cS8BMj_JWOzYK5GYaBCuVz_b_37I0=</t>
  </si>
  <si>
    <t>69b2e4cd0000000005030694</t>
  </si>
  <si>
    <t>哇塞哇塞 女性友好！</t>
  </si>
  <si>
    <t>https://www.xiaohongshu.com/explore/69b2d053000000000b036593?xsec_token=ABdoX6O_JHSaJWE4cS8BMj_Oky_OIUsGXo2Z0P-08pD8c=</t>
  </si>
  <si>
    <t>69b2d053000000000b036593</t>
  </si>
  <si>
    <t>太好了是女司机！</t>
  </si>
  <si>
    <t>https://www.xiaohongshu.com/explore/69b23c37000000000c009db5?xsec_token=ABdoX6O_JHSaJWE4cS8BMj_AM6kBwr-p3ksJpEHqO7kxU=</t>
  </si>
  <si>
    <t>69b23c37000000000c009db5</t>
  </si>
  <si>
    <t>以后打车都是可以是女司机了耶🫶</t>
  </si>
  <si>
    <t>https://www.xiaohongshu.com/explore/69b6b1f70000000021004299?xsec_token=ABxhKnj0hSGD4cm4BEreWtqznxvPpymL5PwIzZzkydGd0=</t>
  </si>
  <si>
    <t>69b6b1f70000000021004299</t>
  </si>
  <si>
    <t>滴滴女性友好计划极好😍</t>
  </si>
  <si>
    <t>https://www.xiaohongshu.com/explore/69b62cd5000000001f007bf4?xsec_token=ABxhKnj0hSGD4cm4BEreWtq0zmWStGYzKBex-Mtcy9CRw=</t>
  </si>
  <si>
    <t>69b62cd5000000001f007bf4</t>
  </si>
  <si>
    <t>突然发现！</t>
  </si>
  <si>
    <t>https://www.xiaohongshu.com/explore/69b54251000000002200f9da</t>
  </si>
  <si>
    <t>69b54251000000002200f9da</t>
  </si>
  <si>
    <t>安徽省考结束，回家！</t>
  </si>
  <si>
    <t>https://www.xiaohongshu.com/explore/69b42bcf000000001f0066c3</t>
  </si>
  <si>
    <t>69b42bcf000000001f0066c3</t>
  </si>
  <si>
    <t>大学牲剧女就这样半夜破防！！</t>
  </si>
  <si>
    <t>https://www.xiaohongshu.com/explore/69b792a9000000001a02afc2</t>
  </si>
  <si>
    <t>69b792a9000000001a02afc2</t>
  </si>
  <si>
    <t>3.18投放201.48元
3.19投放523.21元</t>
  </si>
  <si>
    <t>女司机真好啊我要坐一辈子女司机的车</t>
  </si>
  <si>
    <t>女司机</t>
  </si>
  <si>
    <t>https://www.xiaohongshu.com/explore/69b7ddae0000000022026fb6?xsec_token=ABteGb-9QARrhINS_6dgyLbUS4i6AFMe7ISIBXqC3LllE=</t>
  </si>
  <si>
    <t>69b7ddae0000000022026fb6</t>
  </si>
  <si>
    <t>我妈每周要去做康复，普通快车轮椅不一定能放进后备箱（要看司机在后备箱放了啥），经常司机到了一看后备箱，重新打一辆（真的很耽误事儿）... 自从发现滴滴六座快车，真的打开了新世界！</t>
  </si>
  <si>
    <t>https://www.xiaohongshu.com/explore/69b89936000000002200e26d?xsec_token=ABy9GdyUHHj8huXADrLRJXms3TyPBUKOrK0lNDLBcMp2A=</t>
  </si>
  <si>
    <t>69b89936000000002200e26d</t>
  </si>
  <si>
    <t>大家都知道了这个功能吗</t>
  </si>
  <si>
    <t>https://www.xiaohongshu.com/explore/69b79ed4000000002102c05e?xsec_token=ABteGb-9QARrhINS_6dgyLbTOItfnLhcj-nkzXLMHcgqQ=</t>
  </si>
  <si>
    <t>69b79ed4000000002102c05e</t>
  </si>
  <si>
    <t>今晚打到一辆女司机，全程被暖到了 💕</t>
  </si>
  <si>
    <t>https://www.xiaohongshu.com/explore/69b7b5aa0000000023013707?xsec_token=ABteGb-9QARrhINS_6dgyLbViW42_K3CmTB9gwuzFWcLA=</t>
  </si>
  <si>
    <t>69b7b5aa0000000023013707</t>
  </si>
  <si>
    <t>支持女司机</t>
  </si>
  <si>
    <t>https://www.xiaohongshu.com/explore/69b88f2a000000001f001ffb?xsec_token=ABy9GdyUHHj8huXADrLRJXmpizJKxK_vzxUCAp4IK8DTw=</t>
  </si>
  <si>
    <t>69b88f2a000000001f001ffb</t>
  </si>
  <si>
    <t>滴滴出行打车遇见女司机真好</t>
  </si>
  <si>
    <t>https://www.xiaohongshu.com/explore/69b97f4b000000001a025f04?xsec_token=AB98dphKY-NFEQethyEEoheEt7QrFzcolAAGr0aSCjQ38=</t>
  </si>
  <si>
    <t>69b97f4b000000001a025f04</t>
  </si>
  <si>
    <t>3.18投放34.12元
3.19投放326.13元
3.20投放331.12元</t>
  </si>
  <si>
    <t>滴滴的这个优先女司机🌸 功能 好评</t>
  </si>
  <si>
    <t>https://www.xiaohongshu.com/explore/69b957a800000000230173fd?xsec_token=AB98dphKY-NFEQethyEEoheGfukpfeYuNu8ayrksslzYc=</t>
  </si>
  <si>
    <t>69b957a800000000230173fd</t>
  </si>
  <si>
    <t>也就是女司机 我才愿意等这么久 甚至更久</t>
  </si>
  <si>
    <t>https://www.xiaohongshu.com/explore/69b91593000000001d01df4b?xsec_token=AB98dphKY-NFEQethyEEoheHLCsPOsZJ3B7_r43Hu4U3c=</t>
  </si>
  <si>
    <t>69b91593000000001d01df4b</t>
  </si>
  <si>
    <t>滴滴女司机跟我说“谢谢宝贝”</t>
  </si>
  <si>
    <t>https://www.xiaohongshu.com/explore/69b902cf000000001a034eb5?xsec_token=AB98dphKY-NFEQethyEEoheJPJf6xcjDrqVQwsuH3A4Fo=</t>
  </si>
  <si>
    <t>69b902cf000000001a034eb5</t>
  </si>
  <si>
    <t>上车后，我俩同时松了口气</t>
  </si>
  <si>
    <t>https://www.xiaohongshu.com/explore/69b937cd0000000021005ff0?xsec_token=AB98dphKY-NFEQethyEEoheKvvGH8wv1qVt2wY-n7fBNE=</t>
  </si>
  <si>
    <t>69b937cd0000000021005ff0</t>
  </si>
  <si>
    <t>无论在哪里，出租车司机的故事好像都很多。</t>
  </si>
  <si>
    <t>https://www.xiaohongshu.com/explore/69bace87000000002103adde?xsec_token=AB1pr7zz5_duWgBKxFlN4SmPhCEMET4akPTIAPTrg0DPI=</t>
  </si>
  <si>
    <t>69bace87000000002103adde</t>
  </si>
  <si>
    <t>带宠打车被司机温柔到了✨</t>
  </si>
  <si>
    <t>https://www.xiaohongshu.com/explore/69baae47000000001b0001f1?xsec_token=AB1pr7zz5_duWgBKxFlN4SmP1NOVrpB8fWsBPMPmMKaEs=</t>
  </si>
  <si>
    <t>69baae47000000001b0001f1</t>
  </si>
  <si>
    <t>滴滴宠物出行初体验</t>
  </si>
  <si>
    <t>https://www.xiaohongshu.com/explore/69bb56c40000000022000ad3?xsec_token=ABEmVnt27AS9ByoQNUMpJIsCsnFl5yxBFb2Ml8asGLKCU=</t>
  </si>
  <si>
    <t>69bb56c40000000022000ad3</t>
  </si>
  <si>
    <t>3.19投放189.49元</t>
  </si>
  <si>
    <t>可以选女司机了</t>
  </si>
  <si>
    <t>https://www.xiaohongshu.com/explore/69bac0c70000000020039a5f?xsec_token=AB1pr7zz5_duWgBKxFlN4SmErTxHxHM2xShtd80BAZYtE=</t>
  </si>
  <si>
    <t>69bac0c70000000020039a5f</t>
  </si>
  <si>
    <t>我将拥护女司机一辈子！</t>
  </si>
  <si>
    <t>https://www.xiaohongshu.com/explore/69bab84e000000001f003083?xsec_token=AB1pr7zz5_duWgBKxFlN4SmKmR_L_Sj--9PaIULPHMsoU=</t>
  </si>
  <si>
    <t>69bab84e000000001f003083</t>
  </si>
  <si>
    <t>女孩子就是世界上最美好的生物！</t>
  </si>
  <si>
    <t>https://www.xiaohongshu.com/explore/69bab19a0000000022024d66?xsec_token=AB1pr7zz5_duWgBKxFlN4SmNtxig-pJquqp-z15Z8I4QM=</t>
  </si>
  <si>
    <t>69bab19a0000000022024d66</t>
  </si>
  <si>
    <t>爽了！咱们女人就这样拿下晚场😍</t>
  </si>
  <si>
    <t>https://www.xiaohongshu.com/explore/69baa89200000000210123ef?xsec_token=AB1pr7zz5_duWgBKxFlN4SmIB6GwD8AkqndubUkcpljOM=</t>
  </si>
  <si>
    <t>69baa89200000000210123ef</t>
  </si>
  <si>
    <t>滴滴 优先女司机 真的很香</t>
  </si>
  <si>
    <t>https://www.xiaohongshu.com/explore/69ba81d1000000002102fba5?xsec_token=AB1pr7zz5_duWgBKxFlN4SmNlBGNQPp-WDDg1cz5rStlw=</t>
  </si>
  <si>
    <t>69ba81d1000000002102fba5</t>
  </si>
  <si>
    <t>睡了二十分钟，怎么就长大了</t>
  </si>
  <si>
    <t>该笔记作者年龄未满18岁</t>
  </si>
  <si>
    <t>https://www.xiaohongshu.com/explore/69ba80a9000000001a02169b?xsec_token=AB1pr7zz5_duWgBKxFlN4SmHG0GNMY1sba16xIGSOJr7Y=</t>
  </si>
  <si>
    <t>69ba80a9000000001a02169b</t>
  </si>
  <si>
    <t>别再跟我说“女孩子晚上不要出门”</t>
  </si>
  <si>
    <t>https://www.xiaohongshu.com/explore/69ba51390000000023026846?xsec_token=AB1pr7zz5_duWgBKxFlN4SmNncCwIU0SBlPgPHNPB2jiM=</t>
  </si>
  <si>
    <t>69ba51390000000023026846</t>
  </si>
  <si>
    <t>刷到了滴滴可以设置女司机，立刻开启！</t>
  </si>
  <si>
    <t>https://www.xiaohongshu.com/explore/69bac505000000002301fe84?xsec_token=AB1pr7zz5_duWgBKxFlN4SmCgfrDwHYAEUYPDEBR471kc=</t>
  </si>
  <si>
    <t>69bac505000000002301fe84</t>
  </si>
  <si>
    <t>打滴滴豪华车还可以选指定的车型太方便#驾驶模式选择 #滴滴出行</t>
  </si>
  <si>
    <t>https://www.xiaohongshu.com/explore/69b54315000000001a020481?xsec_token=WBG6lqhuyR6fLntc1H_asxiMeKjgfQBcXNucgSOOaSDfw=&amp;xsec_source=pc_ad</t>
  </si>
  <si>
    <t>69b54315000000001a020481</t>
  </si>
  <si>
    <t>3.19投放200.23元</t>
  </si>
  <si>
    <t>来横店，滴滴司机都是NPC</t>
  </si>
  <si>
    <t>司乘互动</t>
  </si>
  <si>
    <t>https://www.xiaohongshu.com/explore/69b65943000000001a027ac3?xsec_token=WB34nkkdslWtIDvgdFF-Q5Gt71epM-Osm8_16SCJ6drVM=&amp;xsec_source=pc_ad</t>
  </si>
  <si>
    <t>69b65943000000001a027ac3</t>
  </si>
  <si>
    <t>3.19投放202.10元</t>
  </si>
  <si>
    <t>女性友好是说走就走的保障</t>
  </si>
  <si>
    <t>https://www.xiaohongshu.com/explore/69b6b3a0000000002202ae4c?xsec_token=WB34nkkdslWtIDvgdFF-Q5GswMdhDnOdwCTYgr8DPkr58=&amp;xsec_source=pc_ad</t>
  </si>
  <si>
    <t>69b6b3a0000000002202ae4c</t>
  </si>
  <si>
    <t>3.20投放200.90元</t>
  </si>
  <si>
    <t>当你坐进一辆满是鲜花的滴滴</t>
  </si>
  <si>
    <t>车内</t>
  </si>
  <si>
    <t>https://www.xiaohongshu.com/explore/69b5f9a00000000023005fd7?xsec_token=WBG6lqhuyR6fLntc1H_asxiCHcTvXPimu_fPLdomMG6Gk=&amp;xsec_source=pc_ad</t>
  </si>
  <si>
    <t>69b5f9a00000000023005fd7</t>
  </si>
  <si>
    <t>3.19投放55.56元
3.20投放146.06元</t>
  </si>
  <si>
    <t>滴滴好香</t>
  </si>
  <si>
    <t>香卡</t>
  </si>
  <si>
    <t>https://www.xiaohongshu.com/explore/69b7f81a000000002200f24c?source=webshare&amp;xhsshare=pc_web&amp;xsec_token=ABclzOmwReMyydPW2joQTjQi73LlGJxUABkBlWR3YOxbA=&amp;xsec_source=pc_share</t>
  </si>
  <si>
    <t>69b7f81a000000002200f24c</t>
  </si>
  <si>
    <t>3.22投放203.98元</t>
  </si>
  <si>
    <t>美好事物会随时出现</t>
  </si>
  <si>
    <t>https://www.xiaohongshu.com/explore/69bcb45e0000000022028502?xsec_token=ABPMsgV-vpoJ3-Y7OMGmYctFIVCr6WI7CA5hKnkP0brps=</t>
  </si>
  <si>
    <t>69bcb45e0000000022028502</t>
  </si>
  <si>
    <t>为什么一上车我的🐱就叫？</t>
  </si>
  <si>
    <t>https://www.xiaohongshu.com/explore/69bcb3ca000000001a026eb4?xsec_token=ABPMsgV-vpoJ3-Y7OMGmYctM5cvVpfhC2CLijwfHOIGpI=</t>
  </si>
  <si>
    <t>69bcb3ca000000001a026eb4</t>
  </si>
  <si>
    <t>滴滴司机送我一根P绳</t>
  </si>
  <si>
    <t>https://www.xiaohongshu.com/explore/69bbd503000000001a025368?xsec_token=ABEmVnt27AS9ByoQNUMpJIsLoQa1Kik7yvt_l5JzQv0qM=</t>
  </si>
  <si>
    <t>69bbd503000000001a025368</t>
  </si>
  <si>
    <t>喜欢养宠物的人，社会化程度都好高啊</t>
  </si>
  <si>
    <t>https://www.xiaohongshu.com/explore/69bc1b1a000000001a0218d6?xsec_token=ABPMsgV-vpoJ3-Y7OMGmYctHqPj9C9WR_3bhWKdYnNJss=</t>
  </si>
  <si>
    <t>69bc1b1a000000001a0218d6</t>
  </si>
  <si>
    <t>滴滴优先呼叫女司机</t>
  </si>
  <si>
    <t>https://www.xiaohongshu.com/explore/69bbe06f000000002103849f?xsec_token=ABEmVnt27AS9ByoQNUMpJIsOiEZgDPWQE045R44a9ZaDA=</t>
  </si>
  <si>
    <t>69bbe06f000000002103849f</t>
  </si>
  <si>
    <t>雨夜的滴滴，给了打工人女孩稳稳的安全感</t>
  </si>
  <si>
    <t>https://www.xiaohongshu.com/explore/69bb9f43000000002301fa2b?xsec_token=ABEmVnt27AS9ByoQNUMpJIsBayDuyy7yMHdmbCZkFLols=</t>
  </si>
  <si>
    <t>69bb9f43000000002301fa2b</t>
  </si>
  <si>
    <t>尊贵的蔚来车主开特惠？</t>
  </si>
  <si>
    <t>拒审</t>
  </si>
  <si>
    <t>https://www.xiaohongshu.com/explore/69bb2e43000000001b002fc3?xsec_token=ABEmVnt27AS9ByoQNUMpJIsIfIeKpSJ075IlLgaiGbodc=</t>
  </si>
  <si>
    <t>69bb2e43000000001b002fc3</t>
  </si>
  <si>
    <t>🇨🇳 滴滴站点巴士 🇲🇾人也能乘坐</t>
  </si>
  <si>
    <t>【国内审核规则】物料【国旗emoji】涉及不当使用国家标志性元素、军警元素等内容，请修改后重新提交；</t>
  </si>
  <si>
    <t>https://www.xiaohongshu.com/explore/69bcca56000000001a034129?xsec_token=ABPMsgV-vpoJ3-Y7OMGmYctJsN16vOFM4_p9doHdemngA=</t>
  </si>
  <si>
    <t>69bcca56000000001a034129</t>
  </si>
  <si>
    <t>第一次打到中共党员的车</t>
  </si>
  <si>
    <t>https://www.xiaohongshu.com/explore/69bbccee000000002103939e?xsec_token=ABEmVnt27AS9ByoQNUMpJIsDghrU5U-gBLQ0H-JRiaOVI=</t>
  </si>
  <si>
    <t>69bbccee000000002103939e</t>
  </si>
  <si>
    <t>滴滴女司机的图标都有小红花吗？</t>
  </si>
  <si>
    <t>https://www.xiaohongshu.com/explore/69b7d9340000000023026409?xsec_token=WBHYzJ4AeZ6gB3iAhGNPSNaE9sYsR6Grv4ENAgVuctdi8=&amp;xsec_source=pc_ad</t>
  </si>
  <si>
    <t>69b7d9340000000023026409</t>
  </si>
  <si>
    <t>这一程，是女性之间的温柔奔赴</t>
  </si>
  <si>
    <t>https://www.xiaohongshu.com/explore/69bb70700000000023011736</t>
  </si>
  <si>
    <t>69bb70700000000023011736</t>
  </si>
  <si>
    <t>居然还有这回事</t>
  </si>
  <si>
    <t>笔记非公开可见，暂无法获取授权。</t>
  </si>
  <si>
    <t>https://www.xiaohongshu.com/explore/69c0b2c2000000001a032410?xsec_token=AB5J6D-5Z2lrH4vToiJjqGe5J9c4w5ad4gF1fuZLY2BZ4=</t>
  </si>
  <si>
    <t>69c0b2c2000000001a032410</t>
  </si>
  <si>
    <t>AI时代，我祝你有随时出发的勇气</t>
  </si>
  <si>
    <t>https://www.xiaohongshu.com/explore/69c0b0030000000023007285?xsec_token=AB5J6D-5Z2lrH4vToiJjqGe4Q4nFEdnvTM9-rGLU4RXXM=</t>
  </si>
  <si>
    <t>69c0b0030000000023007285</t>
  </si>
  <si>
    <t>什么？1句话滴滴AI就能帮你打到满意的车</t>
  </si>
  <si>
    <t>https://www.xiaohongshu.com/explore/69c0a681000000002200e337?xsec_token=AB5J6D-5Z2lrH4vToiJjqGezcwfzEgO_bIHiSC4HkWJpM=</t>
  </si>
  <si>
    <t>69c0a681000000002200e337</t>
  </si>
  <si>
    <t>如图，滴滴打车的车型丰富了</t>
  </si>
  <si>
    <t>https://www.xiaohongshu.com/explore/69bfd8c8000000001f000976?xsec_token=ABPOYeXkqi8W0XzpKpSvnlc3tulkZTnNxw_hzXIKDIGdc=</t>
  </si>
  <si>
    <t>69bfd8c8000000001f000976</t>
  </si>
  <si>
    <t>3.23投放203.19元</t>
  </si>
  <si>
    <t>想给司机师傅加鸡腿</t>
  </si>
  <si>
    <t>司机服务</t>
  </si>
  <si>
    <t>https://www.xiaohongshu.com/explore/69bccc140000000023005ca2?xsec_token=ABPMsgV-vpoJ3-Y7OMGmYctFfa8oNbS5iMzmXB7fSGbuA=</t>
  </si>
  <si>
    <t>69bccc140000000023005ca2</t>
  </si>
  <si>
    <t>3.24投放4.77元
3.26投放6.05元</t>
  </si>
  <si>
    <t>100个滴滴司机的故事-你有在认真生活吗</t>
  </si>
  <si>
    <t>https://www.xiaohongshu.com/explore/69bea7b60000000022000a56?xsec_token=ABwo9qQXRpr8gwjGe71zKGiIbZTXCC3jsJzYLpGUVfWqU=</t>
  </si>
  <si>
    <t>69bea7b60000000022000a56</t>
  </si>
  <si>
    <t>3.23投放199.63元</t>
  </si>
  <si>
    <t>女生打车刚需：优先女司机</t>
  </si>
  <si>
    <t>https://www.xiaohongshu.com/explore/69bde13f0000000023027446?xsec_token=AB5RX-GjFoRjnmp2fjU04ktkr8L995YYPPX1spvyt6Qlw=</t>
  </si>
  <si>
    <t>69bde13f0000000023027446</t>
  </si>
  <si>
    <t>滴滴打车女性友好计划☑️</t>
  </si>
  <si>
    <t>https://www.xiaohongshu.com/explore/69c0c8220000000022002443?xsec_token=AB5J6D-5Z2lrH4vToiJjqGe1wCAfePeTdjZcRLOE5A23c=</t>
  </si>
  <si>
    <t>69c0c8220000000022002443</t>
  </si>
  <si>
    <t>美好的一天从打到女司机的车开始</t>
  </si>
  <si>
    <t>https://www.xiaohongshu.com/explore/69c0b6d00000000021005753?xsec_token=AB5J6D-5Z2lrH4vToiJjqGey4M5Dmb-8CVNt-21Pz8O4Q=</t>
  </si>
  <si>
    <t>69c0b6d00000000021005753</t>
  </si>
  <si>
    <t>深夜回家也安心</t>
  </si>
  <si>
    <t>https://www.xiaohongshu.com/explore/69c09405000000002800ab23?xsec_token=AB5J6D-5Z2lrH4vToiJjqGezn3lZLNR8FbT7MXQfJZbko=</t>
  </si>
  <si>
    <t>69c09405000000002800ab23</t>
  </si>
  <si>
    <t>滴滴女性友好计划，臭车概率大大降低</t>
  </si>
  <si>
    <t>https://www.xiaohongshu.com/explore/69bf60530000000028008789?xsec_token=ABPOYeXkqi8W0XzpKpSvnlc8_DUDXpKtJIVGp7EPV1k3k=</t>
  </si>
  <si>
    <t>69bf60530000000028008789</t>
  </si>
  <si>
    <t>3.23投放29.73元
3.24投放132.30元
3.25投放36.72元</t>
  </si>
  <si>
    <t>不想再打到臭车？快去打开🚗女性友好模式</t>
  </si>
  <si>
    <t>https://www.xiaohongshu.com/explore/69c010e4000000002102f9dd?xsec_token=AB5J6D-5Z2lrH4vToiJjqGe41Ah-cXzWWa6DTVTo6gXBk=</t>
  </si>
  <si>
    <t>69c010e4000000002102f9dd</t>
  </si>
  <si>
    <t>终于可以选女司机了</t>
  </si>
  <si>
    <t>https://www.xiaohongshu.com/explore/69c00ef00000000023024dd2?xsec_token=AB5J6D-5Z2lrH4vToiJjqGe12agNkuVAzyVlUHOHgY1vI=</t>
  </si>
  <si>
    <t>69c00ef00000000023024dd2</t>
  </si>
  <si>
    <t>3.23投放204.28元</t>
  </si>
  <si>
    <t>滴滴可以选女司机了！</t>
  </si>
  <si>
    <t>https://www.xiaohongshu.com/explore/69bd4271000000001b023932?xsec_token=AB5RX-GjFoRjnmp2fjU04ktmfr_02bP33vccrL9nWHOVw=</t>
  </si>
  <si>
    <t>69bd4271000000001b023932</t>
  </si>
  <si>
    <t>为在各行各业闪闪发光的妇女同志感到骄傲！</t>
  </si>
  <si>
    <t>https://www.xiaohongshu.com/explore/69be626e0000000023014618?xsec_token=ABwo9qQXRpr8gwjGe71zKGiG_htT-pbO2kYwSzYqroYnI=</t>
  </si>
  <si>
    <t>69be626e0000000023014618</t>
  </si>
  <si>
    <t>滴滴将春天装进了车里，这次真的上大分！</t>
  </si>
  <si>
    <t>https://www.xiaohongshu.com/explore/69bd2078000000001a0234bc?xsec_token=AB5RX-GjFoRjnmp2fjU04ktjHSSL68jbMKVi0yBK0ICoY=</t>
  </si>
  <si>
    <t>69bd2078000000001a0234bc</t>
  </si>
  <si>
    <t>春天的好心情是滴滴给的～🌺</t>
  </si>
  <si>
    <t>https://www.xiaohongshu.com/explore/69bd1d8a000000002301f061?xsec_token=AB5RX-GjFoRjnmp2fjU04ktnpk_Uf9191r18e4OPkGClM=</t>
  </si>
  <si>
    <t>69bd1d8a000000002301f061</t>
  </si>
  <si>
    <t>翻开书后📖比文字先来的是滴滴香卡的气味</t>
  </si>
  <si>
    <t>https://www.xiaohongshu.com/explore/69bd11a600000000200395a0?xsec_token=AB5RX-GjFoRjnmp2fjU04ktuFD0yjpX3bL1Rs8hsiqYJg=</t>
  </si>
  <si>
    <t>69bd11a600000000200395a0</t>
  </si>
  <si>
    <t>这枚香卡让春天让自己的神经都变松软了</t>
  </si>
  <si>
    <t>https://www.xiaohongshu.com/explore/69bd086b000000001b00365d?xsec_token=AB5RX-GjFoRjnmp2fjU04ktoWMk7WXJDQa8qlQwgUVTLo=</t>
  </si>
  <si>
    <t>69bd086b000000001b00365d</t>
  </si>
  <si>
    <t>无锡滴滴打车，你们遇到过这样的香香车吗？</t>
  </si>
  <si>
    <t>https://www.xiaohongshu.com/explore/69bd06ac000000001b002b73?xsec_token=AB5RX-GjFoRjnmp2fjU04ktpYbTZrI4WMMJP3fh0bscCE=</t>
  </si>
  <si>
    <t>69bd06ac000000001b002b73</t>
  </si>
  <si>
    <t>打到香车～滴滴的香卡和春天一起回来了</t>
  </si>
  <si>
    <t>https://www.xiaohongshu.com/explore/69c015000000000023015743?xsec_token=AB5J6D-5Z2lrH4vToiJjqGexDIEVUrPyA0PmM5NK230dQ=</t>
  </si>
  <si>
    <t>69c015000000000023015743</t>
  </si>
  <si>
    <t>3.23投放204.36元</t>
  </si>
  <si>
    <t>这就是滴滴特快的速度！👍</t>
  </si>
  <si>
    <t>叫车快</t>
  </si>
  <si>
    <t>https://www.xiaohongshu.com/explore/69c0c7090000000023027b9e?xsec_token=AB5J6D-5Z2lrH4vToiJjqGe89dD1mAnWnAwXilVDrcRkI=</t>
  </si>
  <si>
    <t>69c0c7090000000023027b9e</t>
  </si>
  <si>
    <t>现在的AI打车已经进化成这样了！🤯</t>
  </si>
  <si>
    <t>https://www.xiaohongshu.com/explore/69c0fba7000000001b00079e</t>
  </si>
  <si>
    <t>69c0fba7000000001b00079e</t>
  </si>
  <si>
    <t>绍兴！至今为止我最爱的旅游城市（含攻略）</t>
  </si>
  <si>
    <t>https://www.xiaohongshu.com/explore/69c124d3000000002202ae67?xsec_token=ABDYj0Jlw2N8NDwhBvYIMU10liktEY6MLWVgZeZ-KeeJk=</t>
  </si>
  <si>
    <t>69c124d3000000002202ae67</t>
  </si>
  <si>
    <t>滴滴打车，你的福气在后头！</t>
  </si>
  <si>
    <t>https://www.xiaohongshu.com/explore/69c12815000000001d01d51d?xsec_token=ABDYj0Jlw2N8NDwhBvYIMU14jD4TxW4YGyqjQTfl5o-sE=</t>
  </si>
  <si>
    <t>69c12815000000001d01d51d</t>
  </si>
  <si>
    <t>女性友好计划我坚持做了！</t>
  </si>
  <si>
    <t>https://www.xiaohongshu.com/explore/69c11c27000000002100483b?xsec_token=ABDYj0Jlw2N8NDwhBvYIMU19KakjHuwl2P63WHdZo3No0=</t>
  </si>
  <si>
    <t>69c11c27000000002100483b</t>
  </si>
  <si>
    <t>愿世界上多一些女司机</t>
  </si>
  <si>
    <t>https://www.xiaohongshu.com/explore/69c1094a0000000023010fd4?xsec_token=ABDYj0Jlw2N8NDwhBvYIMU1xN8S-DOs_Fc_kEjFTuH7lw=</t>
  </si>
  <si>
    <t>69c1094a0000000023010fd4</t>
  </si>
  <si>
    <t>女乘客匹配女司机功能，迎来反转</t>
  </si>
  <si>
    <t>https://www.xiaohongshu.com/explore/69c0ec0e0000000023015098?xsec_token=AB5J6D-5Z2lrH4vToiJjqGe4ZnzuL7l-3PaGtY5EYxeGw=</t>
  </si>
  <si>
    <t>69c0ec0e0000000023015098</t>
  </si>
  <si>
    <t>发现以前打到女司机很“稀奇”</t>
  </si>
  <si>
    <t>https://www.xiaohongshu.com/explore/69c1232c000000001b00372f?xsec_token=ABDYj0Jlw2N8NDwhBvYIMU1-PD_VIlo98n1IUEB2hAMww=</t>
  </si>
  <si>
    <t>69c1232c000000001b00372f</t>
  </si>
  <si>
    <t>打个滴滴，享受下班的第一缕解压香</t>
  </si>
  <si>
    <t>https://www.xiaohongshu.com/explore/69c0f867000000001d01ad52?xsec_token=AB5J6D-5Z2lrH4vToiJjqGey8KcU-j4n3S8aWCkDkuxKk=</t>
  </si>
  <si>
    <t>69c0f867000000001d01ad52</t>
  </si>
  <si>
    <t>滴滴的一抹春香，伴打工人解锁春日街头</t>
  </si>
  <si>
    <t>https://www.xiaohongshu.com/explore/69c0f8c80000000023007720?xsec_token=AB5J6D-5Z2lrH4vToiJjqGeyhQBB2BfkB_imShDlYbHUk=</t>
  </si>
  <si>
    <t>69c0f8c80000000023007720</t>
  </si>
  <si>
    <t>plog | 和滴滴一起看看北京的春天</t>
  </si>
  <si>
    <t>https://www.xiaohongshu.com/explore/69c203f7000000002102fd4f?xsec_token=ABqcgmRylZh1W59G1mu8qab42ivyejOGRLcUJ0quwfVl8=</t>
  </si>
  <si>
    <t>69c203f7000000002102fd4f</t>
  </si>
  <si>
    <t>3.24投放61.15元
3.25投放142.03元</t>
  </si>
  <si>
    <t>滴滴这个AI叫车PM出来挨夸</t>
  </si>
  <si>
    <t>AI叫车/AI小滴</t>
  </si>
  <si>
    <t>https://www.xiaohongshu.com/explore/69c33b140000000021004e52?xsec_token=ABdpONJOjt_de_peMQG2PK03LflFSQyqpNIkh1iKCxZOs=</t>
  </si>
  <si>
    <t>69c33b140000000021004e52</t>
  </si>
  <si>
    <t>3.25投放16.16元
3.26投放13.50元
3.27投放8.69元
3.28投放24.19元</t>
  </si>
  <si>
    <t>感谢滴滴打车😘</t>
  </si>
  <si>
    <t>https://www.xiaohongshu.com/explore/69c26077000000001a0275f3</t>
  </si>
  <si>
    <t>69c26077000000001a0275f3</t>
  </si>
  <si>
    <t>滴滴司机说：“下车别扔，这是春天的证据”</t>
  </si>
  <si>
    <t>https://www.xiaohongshu.com/explore/69c2056e000000002101044c#ocr</t>
  </si>
  <si>
    <t>69c2056e000000002101044c</t>
  </si>
  <si>
    <t>异地出差不踩雷！AI推荐本地靠谱车型</t>
  </si>
  <si>
    <t>https://www.xiaohongshu.com/explore/69c26f3a00000000230115f9?xsec_token=ABqcgmRylZh1W59G1mu8qab7d9h9gEWt9pk54nZNdd8v4=</t>
  </si>
  <si>
    <t>69c26f3a00000000230115f9</t>
  </si>
  <si>
    <t>80后，第一次打车丢人吗？</t>
  </si>
  <si>
    <t>https://www.xiaohongshu.com/explore/69c26c960000000023006571?xsec_token=ABqcgmRylZh1W59G1mu8qab7wWRkl1ivNo9IZYJk_nnoY=</t>
  </si>
  <si>
    <t>69c26c960000000023006571</t>
  </si>
  <si>
    <t>把滴滴的小蝴蝶装进书里，下班的美丽时刻🌸</t>
  </si>
  <si>
    <t>https://www.xiaohongshu.com/explore/69c24b43000000001a021d3e?xsec_token=ABqcgmRylZh1W59G1mu8qab1byJZ7EcBaCKOMNHjPz1zA=</t>
  </si>
  <si>
    <t>69c24b43000000001a021d3e</t>
  </si>
  <si>
    <t>这个春天，滴滴香卡给了点小温暖</t>
  </si>
  <si>
    <t>https://www.xiaohongshu.com/explore/69c24023000000001a031922?xsec_token=ABqcgmRylZh1W59G1mu8qab1IQ9exsoahEW95o0mJbjRc=</t>
  </si>
  <si>
    <t>69c24023000000001a031922</t>
  </si>
  <si>
    <t>上海的滴滴师傅，在车里“养”上郁金香🌷了</t>
  </si>
  <si>
    <t>https://www.xiaohongshu.com/explore/69c250b0000000001a033d1d?xsec_token=ABqcgmRylZh1W59G1mu8qabzH_O1TKfgniqkdtnVgV-CA=</t>
  </si>
  <si>
    <t>69c250b0000000001a033d1d</t>
  </si>
  <si>
    <t>春天打工人 收到滴滴给的万物复苏的惊喜</t>
  </si>
  <si>
    <t>https://www.xiaohongshu.com/explore/69c24cb9000000001d01cfa9?xsec_token=ABqcgmRylZh1W59G1mu8qabzf1g7Q7NzusqMBFzQ52xEc=</t>
  </si>
  <si>
    <t>69c24cb9000000001d01cfa9</t>
  </si>
  <si>
    <t>😭收到了司机师傅的香卡 做成书签真香了</t>
  </si>
  <si>
    <t>https://www.xiaohongshu.com/explore/69c2458c0000000023011a38?xsec_token=ABqcgmRylZh1W59G1mu8qab-UEAuXaXzXKZa2cafg__-o=</t>
  </si>
  <si>
    <t>69c2458c0000000023011a38</t>
  </si>
  <si>
    <t>救命！打车打到一辆“春天”🚖滴滴真香</t>
  </si>
  <si>
    <t>https://www.xiaohongshu.com/explore/69c24007000000001f00660b?xsec_token=ABqcgmRylZh1W59G1mu8qab84vtkBJ12CLdzwj0KzSTbk=</t>
  </si>
  <si>
    <t>69c24007000000001f00660b</t>
  </si>
  <si>
    <t>滴滴！我的春天的美好，藏在一只小燕子里</t>
  </si>
  <si>
    <t>https://www.xiaohongshu.com/explore/69c23f9f000000001a03699c?xsec_token=ABqcgmRylZh1W59G1mu8qab9yl2YkfA-4S02idrne9UyY=</t>
  </si>
  <si>
    <t>69c23f9f000000001a03699c</t>
  </si>
  <si>
    <t>打滴滴竟然领到了上海限定郁金香香卡！</t>
  </si>
  <si>
    <t>https://www.xiaohongshu.com/explore/69c3dd20000000001d019efc?xsec_token=ABdpONJOjt_de_peMQG2PK0697ljQ4sb-IqrJ5tCvSQzQ=</t>
  </si>
  <si>
    <t>69c3dd20000000001d019efc</t>
  </si>
  <si>
    <t>他们只认你的脆弱，我理解你脆弱的原因</t>
  </si>
  <si>
    <t>https://www.xiaohongshu.com/explore/69c3d5b7000000002102d3f1?xsec_token=ABdpONJOjt_de_peMQG2PK0-36yaRLWr8UXRajPd_Gako=</t>
  </si>
  <si>
    <t>69c3d5b7000000002102d3f1</t>
  </si>
  <si>
    <t>下班的雨夜打到滴滴专车女司机</t>
  </si>
  <si>
    <t>https://www.xiaohongshu.com/explore/69c3c7bf0000000022027d94?xsec_token=ABdpONJOjt_de_peMQG2PK04P2ZS2XxO8KgAIcCQqSi-s=</t>
  </si>
  <si>
    <t>69c3c7bf0000000022027d94</t>
  </si>
  <si>
    <t>3.27投放203.38元</t>
  </si>
  <si>
    <t>凌晨三点，被一束温暖的光接走了🌟</t>
  </si>
  <si>
    <t>https://www.xiaohongshu.com/explore/69c3c25a000000002800adcc?xsec_token=ABdpONJOjt_de_peMQG2PK04H3mx0I0Sncq8zS5Mh-rSA=</t>
  </si>
  <si>
    <t>69c3c25a000000002800adcc</t>
  </si>
  <si>
    <t>女性友好，让我一周相遇8位女司机</t>
  </si>
  <si>
    <t>https://www.xiaohongshu.com/explore/69c38ed2000000001a020246?xsec_token=ABdpONJOjt_de_peMQG2PK0zJD0h0CdR4MpFqUir-A0-c=</t>
  </si>
  <si>
    <t>69c38ed2000000001a020246</t>
  </si>
  <si>
    <t>背井离乡的小姐姐们，我们来相互温暖一下吧</t>
  </si>
  <si>
    <t>https://www.xiaohongshu.com/explore/69c3e3db0000000023014421?xsec_token=ABdpONJOjt_de_peMQG2PK0wPtOQCEhkq_KviV7XkFKTQ=</t>
  </si>
  <si>
    <t>69c3e3db0000000023014421</t>
  </si>
  <si>
    <t>一次非常好的乘车体验</t>
  </si>
  <si>
    <t>https://www.xiaohongshu.com/explore/69c3f9aa000000002301d093?xsec_token=ABdpONJOjt_de_peMQG2PK0_NMoMNcLz9EUctmD9fK-Zs=</t>
  </si>
  <si>
    <t>69c3f9aa000000002301d093</t>
  </si>
  <si>
    <t>滴滴AI打车，居然优惠了30！</t>
  </si>
  <si>
    <t>https://www.xiaohongshu.com/explore/69c51f1e000000001f006ad1?xsec_token=ABxbP1LLMZy5jH2HvPmgbg0l74MPtmVpRZGCnkSTBwFuA=</t>
  </si>
  <si>
    <t>69c51f1e000000001f006ad1</t>
  </si>
  <si>
    <t>以前打车凭运气，现在打车靠“指令”</t>
  </si>
  <si>
    <t>https://www.xiaohongshu.com/explore/69c518a30000000021007de0?xsec_token=ABxbP1LLMZy5jH2HvPmgbg0gjLPrGBGLoT1oWHE0paH7U=</t>
  </si>
  <si>
    <t>69c518a30000000021007de0</t>
  </si>
  <si>
    <t>职场人通勤封神！滴滴AI叫车把出行托管了✨</t>
  </si>
  <si>
    <t>https://www.xiaohongshu.com/explore/69c4dacf0000000023025402?xsec_token=ABFyW7dPMfHpn4-Y9HuuXJYGY_-T2B4D9BfRIufb5_V4k=</t>
  </si>
  <si>
    <t>69c4dacf0000000023025402</t>
  </si>
  <si>
    <t>打滴滴遇到的牌子</t>
  </si>
  <si>
    <t>https://www.xiaohongshu.com/explore/69c54186000000002202603b?xsec_token=ABxbP1LLMZy5jH2HvPmgbg0iyXhJlMvmew33KwLFn7jRY=</t>
  </si>
  <si>
    <t>69c54186000000002202603b</t>
  </si>
  <si>
    <t>日常打车小惊喜✨ 女生选滴滴，真的太省心</t>
  </si>
  <si>
    <t>https://www.xiaohongshu.com/explore/69c4e5630000000023023d57?xsec_token=ABFyW7dPMfHpn4-Y9HuuXJYHQRsx2Eo5O6nxeDynaDnrE=</t>
  </si>
  <si>
    <t>69c4e5630000000023023d57</t>
  </si>
  <si>
    <t>晕车党狂喜👌查收这个AI邪修大法</t>
  </si>
  <si>
    <t>https://www.xiaohongshu.com/explore/69c79dd4000000001b002957?xsec_token=ABwM1JOy6Cdlfn6PuZZk4ICiBjOKTIs2Kl-MIXVYZXeZE=</t>
  </si>
  <si>
    <t>69c79dd4000000001b002957</t>
  </si>
  <si>
    <t>打车不敢跟司机提需求怎么办？</t>
  </si>
  <si>
    <t>该笔记作者粉丝数超过1001</t>
  </si>
  <si>
    <t>https://www.xiaohongshu.com/explore/69c77ef6000000002100633d?xsec_token=ABwM1JOy6Cdlfn6PuZZk4IClnxwe9WPHt1e8YKSb05vTk=</t>
  </si>
  <si>
    <t>69c77ef6000000002100633d</t>
  </si>
  <si>
    <t>我宣布 打车踩雷从此被我判处终身孤寂</t>
  </si>
  <si>
    <t>该笔记作者粉丝数超过1002</t>
  </si>
  <si>
    <t>https://www.xiaohongshu.com/explore/69c78df5000000001f0011ad?xsec_token=ABwM1JOy6Cdlfn6PuZZk4ICsn1rbBSdPXp4f2pf9xGo48=</t>
  </si>
  <si>
    <t>69c78df5000000001f0011ad</t>
  </si>
  <si>
    <t>支持滴滴女性友好计划！</t>
  </si>
  <si>
    <t>该笔记作者粉丝数超过1003</t>
  </si>
  <si>
    <t>https://www.xiaohongshu.com/explore/69c9282a0000000021038b68?xsec_token=ABO0Y-_R8pz7wpNyVv3Mbex17pVNR8OgiO1jDl24wqWkY=</t>
  </si>
  <si>
    <t>69c9282a0000000021038b68</t>
  </si>
  <si>
    <t>3.30投放173.60元</t>
  </si>
  <si>
    <t>爱死滴滴的女性友好订单了</t>
  </si>
  <si>
    <t>https://www.xiaohongshu.com/explore/69c7a0490000000022003edb?xsec_token=ABwM1JOy6Cdlfn6PuZZk4ICs2G2HUnFIkBemxNxzTlyyc=</t>
  </si>
  <si>
    <t>69c7a0490000000022003edb</t>
  </si>
  <si>
    <t>广东滴滴巴士太赞啦！</t>
  </si>
  <si>
    <t>https://www.xiaohongshu.com/explore/69c6336a00000000210054b4?xsec_token=ABAXyY1WDzJoeoqJny442lVr6T8sFOnp1esNAaxCO-zMU=</t>
  </si>
  <si>
    <t>69c6336a00000000210054b4</t>
  </si>
  <si>
    <t>从丽江古城到大理古城的省钱方法</t>
  </si>
  <si>
    <t>https://www.xiaohongshu.com/explore/69c9da42000000001a029c35?xsec_token=ABO0Y-_R8pz7wpNyVv3Mbex2xbe88kwOxxEcVT-c8wIqI=</t>
  </si>
  <si>
    <t>69c9da42000000001a029c35</t>
  </si>
  <si>
    <t>带娃出门真的是场修炼👶</t>
  </si>
  <si>
    <t>https://www.xiaohongshu.com/explore/69c79df900000000210065df?xsec_token=ABwM1JOy6Cdlfn6PuZZk4ICoIV0fZCwkDA6KpjlkUo478=</t>
  </si>
  <si>
    <t>69c79df900000000210065df</t>
  </si>
  <si>
    <t>滴滴的产品经理进来挨夸！</t>
  </si>
  <si>
    <t>https://www.xiaohongshu.com/explore/69c69dd2000000002103b07d?xsec_token=ABAXyY1WDzJoeoqJny442lVkps3XSLVQBoR_mWx7Agzws=</t>
  </si>
  <si>
    <t>69c69dd2000000002103b07d</t>
  </si>
  <si>
    <t>二胎宝妈出门，全靠这个AI给我兜底😭</t>
  </si>
  <si>
    <t>https://www.xiaohongshu.com/explore/69c66133000000001a02a558?xsec_token=ABAXyY1WDzJoeoqJny442lVnfrhn_BADhcD2GzuLQwNZk=</t>
  </si>
  <si>
    <t>69c66133000000001a02a558</t>
  </si>
  <si>
    <t>当个事儿办 滴滴真听进去了！</t>
  </si>
  <si>
    <t>https://www.xiaohongshu.com/explore/69c88c71000000001a023318?app_platform=android&amp;ignoreEngage=true&amp;app_version=9.20.0&amp;share_from_user_hidden=true&amp;xsec_source=app_share&amp;type=normal&amp;xsec_token=CBZKPaAACOIFyXB6wLfeLx2rbSTL5ai7Bf3CW9aDhrsns=&amp;author_share=1&amp;shareRedId=N0pFMjk6SkI2NzUyOTgwNjY0OTc6NTc8&amp;apptime=1774845808&amp;share_id=4f3b3bd4592b47178eec5cc4e7e1e8e5&amp;share_channel=copy_link&amp;appuid=5dc265f90000000001006013&amp;xhsshare=CopyLink</t>
  </si>
  <si>
    <t>69c88c71000000001a023318</t>
  </si>
  <si>
    <t>终于坐上丽江到大理的滴滴巴士了</t>
  </si>
  <si>
    <t>https://www.xiaohongshu.com/explore/69c7829a00000000230244d5?app_platform=android&amp;ignoreEngage=true&amp;app_version=9.20.0&amp;share_from_user_hidden=true&amp;xsec_source=app_share&amp;type=normal&amp;xsec_token=CBCwtZZ2dohOrf7XFciMfj1scdOINORWe1MuP6MIJ0XI8=&amp;author_share=1&amp;shareRedId=N0pFMjk6SkI2NzUyOTgwNjY0OTc6NTc8&amp;apptime=1774845901&amp;share_id=a4a14dd6bd7349be877fe658158a995b&amp;share_channel=copy_link&amp;appuid=5dc265f90000000001006013&amp;xhsshare=CopyLink</t>
  </si>
  <si>
    <t>69c7829a00000000230244d5</t>
  </si>
  <si>
    <t>3.31投放34.74元
4.01投放46.15元
4.02投放114.55元</t>
  </si>
  <si>
    <t>昆明到大理，站点巴士超方便！</t>
  </si>
  <si>
    <t>https://www.xiaohongshu.com/explore/69c77678000000001a027cfa</t>
  </si>
  <si>
    <t>69c77678000000001a027cfa</t>
  </si>
  <si>
    <t>澳洲滴滴悉尼机场价格吊打uber</t>
  </si>
  <si>
    <t>https://www.xiaohongshu.com/explore/69ca8944000000001d01bdde?xsec_token=ABl6QhAT9DB-zoREU_awNvvF_RmiwZ7PjMEg1V_iDi5g8=</t>
  </si>
  <si>
    <t>69ca8944000000001d01bdde</t>
  </si>
  <si>
    <t>滴滴打车可以优选女司机</t>
  </si>
  <si>
    <t>https://www.xiaohongshu.com/explore/69ca1a75000000001e00d401?xsec_token=ABl6QhAT9DB-zoREU_awNvvPIKCIbMTf0rcMntUIfVsEA=</t>
  </si>
  <si>
    <t>69ca1a75000000001e00d401</t>
  </si>
  <si>
    <t>爸妈，可以不用害怕我一个人出门了</t>
  </si>
  <si>
    <t>https://www.xiaohongshu.com/explore/69ca4ed8000000001a021b67?xsec_token=ABl6QhAT9DB-zoREU_awNvvJviunXafLJtKCN4eRKOybE=</t>
  </si>
  <si>
    <t>69ca4ed8000000001a021b67</t>
  </si>
  <si>
    <t>打车偶遇春日高级感✨滴滴香卡太会了</t>
  </si>
  <si>
    <t>https://www.xiaohongshu.com/explore/69ca4f35000000001b020437?xsec_token=ABl6QhAT9DB-zoREU_awNvvHvderKdAbB4zo694Zvy44w=</t>
  </si>
  <si>
    <t>69ca4f35000000001b020437</t>
  </si>
  <si>
    <t>Plog｜哇噻！是被滴滴香卡包围的春天🌺</t>
  </si>
  <si>
    <t>https://www.xiaohongshu.com/explore/69ca36e3000000002102dd99?xsec_token=ABl6QhAT9DB-zoREU_awNvvIFX9tGuao5NhTT-ISNeEnI=</t>
  </si>
  <si>
    <t>69ca36e3000000002102dd99</t>
  </si>
  <si>
    <t>打工日记 | 通勤幸福感被拉满的瞬间</t>
  </si>
  <si>
    <t>https://www.xiaohongshu.com/explore/69c257f40000000023010972#ocr</t>
  </si>
  <si>
    <t>69c257f40000000023010972</t>
  </si>
  <si>
    <t>苏州Citywalk｜从西园寺到平江路</t>
  </si>
  <si>
    <t>https://www.xiaohongshu.com/explore/69cbc548000000001a033b46?xsec_token=ABzWEjKPCczI2PRI32tEIZ1MkVvSUY9KI50Wp5vY7SozU=</t>
  </si>
  <si>
    <t>69cbc548000000001a033b46</t>
  </si>
  <si>
    <t>所有女生现在开始在滴滴打女司机车</t>
  </si>
  <si>
    <t>https://www.xiaohongshu.com/explore/69cc907d000000002200ecac</t>
  </si>
  <si>
    <t>69cc907d000000002200ecac</t>
  </si>
  <si>
    <t>坐滴滴竟被送了春天｜上海限定太会了！</t>
  </si>
  <si>
    <t>https://www.xiaohongshu.com/explore/69ccc46400000000230110cb</t>
  </si>
  <si>
    <t>69ccc46400000000230110cb</t>
  </si>
  <si>
    <t>亚庇小记-太平洋丝绸酒店1</t>
  </si>
  <si>
    <t>作者昵称</t>
  </si>
  <si>
    <t>投放后点赞量</t>
  </si>
  <si>
    <t>投放后收藏量</t>
  </si>
  <si>
    <t>投放后评论量</t>
  </si>
  <si>
    <t>呼呼再也不睡懒觉</t>
  </si>
  <si>
    <t>https://www.xiaohongshu.com/explore/69cdd2910000000023011fd6?xsec_token=ABMZD-8KEsL9pDypjf5pvIR5OGffRJ6NNI9LFtF7k-3Hs=</t>
  </si>
  <si>
    <t>69cdd2910000000023011fd6</t>
  </si>
  <si>
    <t>4.02投放236.43元</t>
  </si>
  <si>
    <t>被宠物治愈的瞬间</t>
  </si>
  <si>
    <t>陪你成长</t>
  </si>
  <si>
    <t>https://www.xiaohongshu.com/explore/69cc84e70000000023005861?xsec_token=ABC1Rz8ntxdGac-0OCOPiJKunuW9vAPWwI3mgz5qHfEdo=</t>
  </si>
  <si>
    <t>69cc84e70000000023005861</t>
  </si>
  <si>
    <t>春天就要赏花！今天打滴滴真的被惊喜到了</t>
  </si>
  <si>
    <t>小芊崽溜溜记</t>
  </si>
  <si>
    <t>https://www.xiaohongshu.com/explore/69cc9065000000001e00fcba?xsec_token=ABC1Rz8ntxdGac-0OCOPiJKv6s0uypjNb4LSn9pq-JZlc=</t>
  </si>
  <si>
    <t>69cc9065000000001e00fcba</t>
  </si>
  <si>
    <t>双休日带娃踏春，被武汉的滴滴温柔到了</t>
  </si>
  <si>
    <t>杨肉泡馍</t>
  </si>
  <si>
    <t>https://www.xiaohongshu.com/explore/69cc97cc000000001a032a71?xsec_token=ABC1Rz8ntxdGac-0OCOPiJKsV0DFJqstkNaad4VOTdhVw=</t>
  </si>
  <si>
    <t>69cc97cc000000001a032a71</t>
  </si>
  <si>
    <t>咖啡脑袋狂喜！日常找店打车太省心了</t>
  </si>
  <si>
    <t>mikouo</t>
  </si>
  <si>
    <t>https://www.xiaohongshu.com/explore/69ce0fee000000001a02a7a8?xsec_token=ABKO8PaGl15RSIUyOh8LgedU3X4c0GlaJSZFZ8IwprpR4=</t>
  </si>
  <si>
    <t>69ce0fee000000001a02a7a8</t>
  </si>
  <si>
    <t>女司机，女乘客</t>
  </si>
  <si>
    <t>Lililililili</t>
  </si>
  <si>
    <t>https://www.xiaohongshu.com/explore/69ce72c5000000001b0005af?xsec_token=ABKO8PaGl15RSIUyOh8LgedV16Wqv70oYUCbRSrTcFG3c=</t>
  </si>
  <si>
    <t>69ce72c5000000001b0005af</t>
  </si>
  <si>
    <t>加班打到女司机的车，很幸福</t>
  </si>
  <si>
    <t>橙.</t>
  </si>
  <si>
    <t>https://www.xiaohongshu.com/explore/69ce3d56000000002301015b?xsec_token=ABKO8PaGl15RSIUyOh8LgedfHl8OMj2V0Qqk9ovkGtu8E=</t>
  </si>
  <si>
    <t>69ce3d56000000002301015b</t>
  </si>
  <si>
    <t>坐小江来广州玩啦！</t>
  </si>
  <si>
    <t>黄浦江的潜水艇</t>
  </si>
  <si>
    <t>https://www.xiaohongshu.com/explore/69ce00da000000002200048b?xsec_token=ABKO8PaGl15RSIUyOh8LgedVTGqK7M7iCjTdzslj4bpsE=</t>
  </si>
  <si>
    <t>69ce00da000000002200048b</t>
  </si>
  <si>
    <t>🚗奔驰豪华专车司机吟诗</t>
  </si>
  <si>
    <t>雨遐</t>
  </si>
  <si>
    <t>https://www.xiaohongshu.com/explore/69cf8182000000001f003ed4?xsec_token=ABoSvQFJ0f3PYK4Jsl071AAWDX4bAAn_7zXMolTpPtZXI=</t>
  </si>
  <si>
    <t>69cf8182000000001f003ed4</t>
  </si>
  <si>
    <t>上海打车又出金了！</t>
  </si>
  <si>
    <t>。。。。。</t>
  </si>
  <si>
    <t>https://www.xiaohongshu.com/explore/69c7363c000000001a022c03?app_platform=android&amp;ignoreEngage=true&amp;app_version=9.20.0&amp;share_from_user_hidden=true&amp;xsec_source=app_share&amp;type=normal&amp;xsec_token=CBCwtZZ2dohOrf7XFciMfj1jlzfYjNRn4HaCsf4JD8-Bk=&amp;author_share=1&amp;shareRedId=N0pFMjk6SkI2NzUyOTgwNjY0OTc6NTc8&amp;apptime=1775531907&amp;share_id=a9285918a261442dba0373afe0721bf7&amp;share_channel=copy_link&amp;appuid=5dc265f90000000001006013&amp;xhsshare=CopyLink</t>
  </si>
  <si>
    <t>69c7363c000000001a022c03</t>
  </si>
  <si>
    <t>📍 梅州五洲城</t>
  </si>
  <si>
    <t>王高高🐎</t>
  </si>
  <si>
    <t>https://www.xiaohongshu.com/explore/69d0db47000000001f003f94?app_platform=android&amp;ignoreEngage=true&amp;app_version=9.20.0&amp;share_from_user_hidden=true&amp;xsec_source=app_share&amp;type=normal&amp;xsec_token=CBwobPjDPmOOxyIAxfE9zk4GpWsNlPUqKx0CHedw-ql-4=&amp;author_share=1&amp;shareRedId=N0pFMjk6SkI2NzUyOTgwNjY0OTc6NTc8&amp;apptime=1775531966&amp;share_id=c3595e2f69ef4efd98cc4ee414f66d7f&amp;share_channel=copy_link&amp;appuid=5dc265f90000000001006013&amp;xhsshare=CopyLink</t>
  </si>
  <si>
    <t>69d0db47000000001f003f94</t>
  </si>
  <si>
    <t>大理到昆明城际站点巴士只要66元！</t>
  </si>
  <si>
    <t>美食部书记</t>
  </si>
  <si>
    <t>https://www.xiaohongshu.com/explore/69d091da000000001b001175?app_platform=android&amp;ignoreEngage=true&amp;app_version=9.20.0&amp;share_from_user_hidden=true&amp;xsec_source=app_share&amp;type=normal&amp;xsec_token=CBwobPjDPmOOxyIAxfE9zk4PKG3AVKxgxu8tsekq8vqsk=&amp;author_share=1&amp;shareRedId=N0pFMjk6SkI2NzUyOTgwNjY0OTc6NTc8&amp;apptime=1775531987&amp;share_id=90c15ce089e04ad3b6946fd47e53ce0b&amp;share_channel=copy_link&amp;appuid=5dc265f90000000001006013&amp;xhsshare=CopyLink</t>
  </si>
  <si>
    <t>69d091da000000001b001175</t>
  </si>
  <si>
    <t>4.08投放203.37元</t>
  </si>
  <si>
    <t>滴滴打车可以打公交车啊🚌只要三块！</t>
  </si>
  <si>
    <t>在想昵称的小透明</t>
  </si>
  <si>
    <t>https://www.xiaohongshu.com/explore/69cde1010000000023024115?app_platform=android&amp;ignoreEngage=true&amp;app_version=9.20.0&amp;share_from_user_hidden=true&amp;xsec_source=app_share&amp;type=normal&amp;xsec_token=CBULY2uMAH1IeyA4C8LVnwhjKnLHO0p3Au2VZZpi-OoUU=&amp;author_share=1&amp;shareRedId=N0pFMjk6SkI2NzUyOTgwNjY0OTc6NTc8&amp;apptime=1775532035&amp;share_id=a23491bc97bd4be9bb3b3e704e6b6392&amp;share_channel=copy_link&amp;appuid=5dc265f90000000001006013&amp;xhsshare=CopyLink</t>
  </si>
  <si>
    <t>69cde1010000000023024115</t>
  </si>
  <si>
    <t>清明来天津五大道看海棠花可以坐滴滴🆓巴士</t>
  </si>
  <si>
    <t>草莓汽水</t>
  </si>
  <si>
    <t>https://www.xiaohongshu.com/explore/69d386a0000000001f006f81?app_platform=android&amp;ignoreEngage=true&amp;app_version=9.20.0&amp;share_from_user_hidden=true&amp;xsec_source=app_share&amp;type=normal&amp;xsec_token=CBczBodANeTxLZOq_OziYxMMy0FVMjbBAh3v7oT9wUL-s=&amp;author_share=1&amp;shareRedId=N0pFMjk6SkI2NzUyOTgwNjY0OTc6NTc8&amp;apptime=1775532141&amp;share_id=3e91c35fa6bd4d06b8b81016f5947fd2&amp;share_channel=copy_link&amp;appuid=5dc265f90000000001006013&amp;xhsshare=CopyLink</t>
  </si>
  <si>
    <t>69d386a0000000001f006f81</t>
  </si>
  <si>
    <t>好神奇啊！！云南的大巴车里长菌子了！！！🍄</t>
  </si>
  <si>
    <t>奶绿装鹅</t>
  </si>
  <si>
    <t>https://www.xiaohongshu.com/explore/69d3a908000000002102d34d?app_platform=android&amp;ignoreEngage=true&amp;app_version=9.20.0&amp;share_from_user_hidden=true&amp;xsec_source=app_share&amp;type=normal&amp;xsec_token=CBczBodANeTxLZOq_OziYxMB_44NGhAV8t9nPQsU0cGv0=&amp;author_share=1&amp;shareRedId=N0pFMjk6SkI2NzUyOTgwNjY0OTc6NTc8&amp;apptime=1775532189&amp;share_id=dab19b1861de4c628d4daaeac1e3eaed&amp;share_channel=copy_link&amp;appuid=5dc265f90000000001006013&amp;xhsshare=CopyLink</t>
  </si>
  <si>
    <t>69d3a908000000002102d34d</t>
  </si>
  <si>
    <t>enfj 小鹅的版纳旅行计划分享📕</t>
  </si>
  <si>
    <t>噗噗</t>
  </si>
  <si>
    <t>https://www.xiaohongshu.com/explore/69d28e34000000001d01cb53?xsec_token=ABrGwg2WGlotmJDV_mnZ_n_na77V5q_3YYILOa7eINVHg=</t>
  </si>
  <si>
    <t>69d28e34000000001d01cb53</t>
  </si>
  <si>
    <t>特别感谢滴滴上的宠物出行</t>
  </si>
  <si>
    <t>耀耀不吃药</t>
  </si>
  <si>
    <t>https://www.xiaohongshu.com/explore/69d4e7df000000001a02ec24?xsec_token=ABGtHAg_jNt7KKuA6ggEf8RmAIzUKLmSXHQ8fEYGZbnwc=</t>
  </si>
  <si>
    <t>69d4e7df000000001a02ec24</t>
  </si>
  <si>
    <t>谁懂</t>
  </si>
  <si>
    <t>栗子一只</t>
  </si>
  <si>
    <t>https://www.xiaohongshu.com/explore/69d623c5000000001a024f22?xsec_token=ABTMSPL7peDrTIZMOGwPwSP7RKj0iTsfzf8evfyey8-gA=</t>
  </si>
  <si>
    <t>69d623c5000000001a024f22</t>
  </si>
  <si>
    <t>在大同 滴滴打到一辆佛小伴专车</t>
  </si>
  <si>
    <t>芝士爆妮妮</t>
  </si>
  <si>
    <t>https://www.xiaohongshu.com/explore/69d480da0000000021039ef0?xsec_token=ABYYUFgY2v0W4mFyyQWIChwgygSJvxgXmoCrazzTTW-oM=</t>
  </si>
  <si>
    <t>69d480da0000000021039ef0</t>
  </si>
  <si>
    <t>滴滴出发！🫧果然对北京的春天祛魅不了一点…</t>
  </si>
  <si>
    <t>吴所胃</t>
  </si>
  <si>
    <t>https://www.xiaohongshu.com/explore/69d4d4b90000000023013ba3?xsec_token=ABYYUFgY2v0W4mFyyQWIChwp260KjDNNBSx3glYz24ces=</t>
  </si>
  <si>
    <t>69d4d4b90000000023013ba3</t>
  </si>
  <si>
    <t>传下去，上海打滴滴都送郁金香？</t>
  </si>
  <si>
    <t>娜娜娜子</t>
  </si>
  <si>
    <t>https://www.xiaohongshu.com/explore/69d7a3a5000000001a035581?xsec_token=AB1z-5upmiYZZWKsX2hTW9yiKgDAzVO-hZP-IKceaH0NM=</t>
  </si>
  <si>
    <t>69d7a3a5000000001a035581</t>
  </si>
  <si>
    <t>4.10投放210.00元</t>
  </si>
  <si>
    <t>今天出门玩突然下起大暴雨，完全没带伞，我和狗狗浑身都被淋透了想赶紧打车回家，就在滴滴上叫了宠物专车。</t>
  </si>
  <si>
    <t>海</t>
  </si>
  <si>
    <t>https://www.xiaohongshu.com/explore/69d7d345000000001d0190de?xsec_token=AB1z-5upmiYZZWKsX2hTW9yqgd7C1Md9XpQ9ghShN-cxY=</t>
  </si>
  <si>
    <t>69d7d345000000001d0190de</t>
  </si>
  <si>
    <t>#滴滴站点巴士🚌</t>
  </si>
  <si>
    <t>橙子的星期八🍊</t>
  </si>
  <si>
    <t>https://www.xiaohongshu.com/explore/69d74fd2000000001f004795?xsec_token=AB1z-5upmiYZZWKsX2hTW9yp6nGEBtb6NZyJK-lyFvnbo=</t>
  </si>
  <si>
    <t>69d74fd2000000001f004795</t>
  </si>
  <si>
    <t>武汉的滴滴有蝴蝶香卡诶，踏春心情UPUP🌸</t>
  </si>
  <si>
    <t>可恶又打喷嚏</t>
  </si>
  <si>
    <t>https://www.xiaohongshu.com/explore/69d878df000000001b0237fc?xsec_token=ABfvdJ9NapNLuQ9Q2UxTyFI67NG6m50gCvq_OoQLk0bOI=</t>
  </si>
  <si>
    <t>69d878df000000001b0237fc</t>
  </si>
  <si>
    <t>滴滴最近的🐱🐶体验分享</t>
  </si>
  <si>
    <t>小满的生活体验日记📕</t>
  </si>
  <si>
    <t>https://www.xiaohongshu.com/explore/69dbd67c000000001a02680a?xsec_token=ABRRV5w5Q5q-uQYh7gVRPmMlKrIdBgrD2zh3OOQ0jS2jw=</t>
  </si>
  <si>
    <t>69dbd67c000000001a02680a</t>
  </si>
  <si>
    <t>4.14投放201.70元</t>
  </si>
  <si>
    <t>新体验｜女性友好快车&amp;纵向卧铺列车</t>
  </si>
  <si>
    <t>Be</t>
  </si>
  <si>
    <t>https://www.xiaohongshu.com/explore/69d9a9b0000000001a02b7f1?xsec_token=AB6M9XF_vNLGL8k_11vyeNbbRUAeqKDYNm8h8OI-E_mk4=</t>
  </si>
  <si>
    <t>69d9a9b0000000001a02b7f1</t>
  </si>
  <si>
    <t>凡是打到女司机的，没有一次体验感不好的。</t>
  </si>
  <si>
    <t>是肉肉呀</t>
  </si>
  <si>
    <t>https://www.xiaohongshu.com/explore/69dc59ef000000001a028bbf?xsec_token=ABuHm2VVL9If9tOenMXINt-dGcQNs9dh4qNYrOXU8rKtE=</t>
  </si>
  <si>
    <t>69dc59ef000000001a028bbf</t>
  </si>
  <si>
    <t>4.13投放202.27元</t>
  </si>
  <si>
    <t>第一次坐宠物专车，体验感太好了！！</t>
  </si>
  <si>
    <t>DJO_327</t>
  </si>
  <si>
    <t>https://www.xiaohongshu.com/explore/69db9931000000001a02feec?app_platform=android&amp;ignoreEngage=true&amp;app_version=9.20.0&amp;share_from_user_hidden=true&amp;xsec_source=app_share&amp;type=normal&amp;xsec_token=CBEVH9ThSIXWrSxzSb2sCcJth6jDUWrj_geZifjLF0IRQ=&amp;author_share=1&amp;shareRedId=N0pFMjk6SkI2NzUyOTgwNjY0OTc6NTc8&amp;apptime=1776048863&amp;share_id=05172e8c349640828aec337f4306fc65&amp;share_channel=copy_link&amp;appuid=5dc265f90000000001006013&amp;xhsshare=CopyLink</t>
  </si>
  <si>
    <t>69db9931000000001a02feec</t>
  </si>
  <si>
    <t>福清闽运滴滴出行站点巴士金龙客车</t>
  </si>
  <si>
    <t>禾丰</t>
  </si>
  <si>
    <t>https://www.xiaohongshu.com/explore/69db1d7b000000002302066f?app_platform=android&amp;ignoreEngage=true&amp;app_version=9.20.0&amp;share_from_user_hidden=true&amp;xsec_source=app_share&amp;type=normal&amp;xsec_token=CBEVH9ThSIXWrSxzSb2sCcJtOytuvqf5MCjvka_H571mE=&amp;author_share=1&amp;shareRedId=N0pFMjk6SkI2NzUyOTgwNjY0OTc6NTc8&amp;apptime=1776048907&amp;share_id=9af951fc21c54fe0a6f5d210b4573be1&amp;share_channel=copy_link&amp;appuid=5dc265f90000000001006013&amp;xhsshare=CopyLink</t>
  </si>
  <si>
    <t>69db1d7b000000002302066f</t>
  </si>
  <si>
    <t>站点巴士，丽江旅游</t>
  </si>
  <si>
    <t>https://www.xiaohongshu.com/explore/69d74fd2000000001f004795?xsec_token=AB57KkTZMlkZFp3GEtqmyf7Wj6dfakgUlFHiqRCmJMadM=</t>
  </si>
  <si>
    <t>我气饱了</t>
  </si>
  <si>
    <t>https://www.xiaohongshu.com/explore/69d8d3910000000022000919?xsec_token=ABfvdJ9NapNLuQ9Q2UxTyFI1feepV_rya-HMDUmNdqhOQ=&amp;xsec_source=pc_search&amp;source=web_explore_feed</t>
  </si>
  <si>
    <t>69d8d3910000000022000919</t>
  </si>
  <si>
    <t>4.13投放41.91元
4.14投放59.45元
4.15投放61.38元</t>
  </si>
  <si>
    <t>含金量超高的埃及🇪🇬打车攻略</t>
  </si>
  <si>
    <t>海外打车</t>
  </si>
  <si>
    <t>赐佳呦</t>
  </si>
  <si>
    <t>https://www.xiaohongshu.com/explore/69dce6f50000000022003859?xsec_token=ABHKR4ElKh9q-dsYucMdqm4kKBAqh8XRUKE5U9HuvrY3k=</t>
  </si>
  <si>
    <t>69dce6f50000000022003859</t>
  </si>
  <si>
    <t>下雨天没带伞，叫了个车被暖到了</t>
  </si>
  <si>
    <t>该笔记审核不通过，暂无法申请授权。</t>
  </si>
  <si>
    <t>红红炒鸡蛋</t>
  </si>
  <si>
    <t>https://www.xiaohongshu.com/explore/69dcb7a3000000001f004a1b?xsec_token=ABHKR4ElKh9q-dsYucMdqm4udoaZK0PZTbYb8kjvBNV3c=</t>
  </si>
  <si>
    <t>69dcb7a3000000001f004a1b</t>
  </si>
  <si>
    <t>女司机真的讨厌女乘客吗？？？</t>
  </si>
  <si>
    <t>爱吃凉拌杂蔬</t>
  </si>
  <si>
    <t>https://www.xiaohongshu.com/explore/69ddab92000000001a0237b7?xsec_token=AB1GIw-n0OVafw-I-mNCpCEq-mSr96YcMWCiNmgLxbVPs=&amp;exSource=https://my.feishu.cn/</t>
  </si>
  <si>
    <t>69ddab92000000001a0237b7</t>
  </si>
  <si>
    <t>狗狗不会说话</t>
  </si>
  <si>
    <t>嘟嘟不想早起</t>
  </si>
  <si>
    <t>https://www.xiaohongshu.com/explore/69dcfab60000000021039f5a?xsec_token=ABHKR4ElKh9q-dsYucMdqm4pZr0YL4mzkoHb4Jl7AzybY=</t>
  </si>
  <si>
    <t>69dcfab60000000021039f5a</t>
  </si>
  <si>
    <t>广州暴雨夜，被宠物专车狠狠治愈</t>
  </si>
  <si>
    <t>笨蛋我在想你</t>
  </si>
  <si>
    <t>https://www.xiaohongshu.com/explore/69dcdab4000000001a02b5ea?xsec_token=ABHKR4ElKh9q-dsYucMdqm4vqoiruV_kX5ntgyC3nt6yg=</t>
  </si>
  <si>
    <t>69dcdab4000000001a02b5ea</t>
  </si>
  <si>
    <t>4.14投放133.21元</t>
  </si>
  <si>
    <t>司机阿姨问我sbti是什么</t>
  </si>
  <si>
    <t>困困鱼</t>
  </si>
  <si>
    <t>https://www.xiaohongshu.com/explore/69dcc4e1000000002102f68e?xsec_token=ABHKR4ElKh9q-dsYucMdqm4p7sqJmd1CLUJkd1eWXUU0w=</t>
  </si>
  <si>
    <t>69dcc4e1000000002102f68e</t>
  </si>
  <si>
    <t>在泰国找到了娘家的感觉</t>
  </si>
  <si>
    <t>https://www.xiaohongshu.com/explore/69dc59ef000000001a028bbf?xsec_token=ABHKR4ElKh9q-dsYucMdqm4rtL3QRlQTrCCIKm6yOQx6o=</t>
  </si>
  <si>
    <t>长笙</t>
  </si>
  <si>
    <t>https://www.xiaohongshu.com/explore/69dda7e6000000001f001170?xsec_token=AB1j-fIYpZpafnlnIfeJ5iGLxl-j6ReMuEcJBwtlK8GRY=</t>
  </si>
  <si>
    <t>69dda7e6000000001f001170</t>
  </si>
  <si>
    <t>去中科院植物园一定要做这个滴滴巴士！！</t>
  </si>
  <si>
    <t>退休王阿姨</t>
  </si>
  <si>
    <t>https://www.xiaohongshu.com/explore/69dcbff5000000001a03085a?xsec_token=ABuHm2VVL9If9tOenMXINt-XGTaWbua8PnLPHr0gDK9lY=</t>
  </si>
  <si>
    <t>69dcbff5000000001a03085a</t>
  </si>
  <si>
    <t>女儿已经是个合格的小大人</t>
  </si>
  <si>
    <t>其实是绿豆糕</t>
  </si>
  <si>
    <t>https://www.xiaohongshu.com/explore/69dcce0c000000001f000c40?xsec_token=ABuHm2VVL9If9tOenMXINt-axyDwS0wtBdsdsNKT2a4pM=</t>
  </si>
  <si>
    <t>69dcce0c000000001f000c40</t>
  </si>
  <si>
    <t>把路上的时间还给自己</t>
  </si>
  <si>
    <t>m老师的轮椅宇宙</t>
  </si>
  <si>
    <t>https://www.xiaohongshu.com/explore/69de516a000000001a023e14?xsec_token=ABKU4hGIdMFEuUNsQxAyF0hktDwR6n3ndPRqHAF0Lz6Nw=</t>
  </si>
  <si>
    <t>69de516a000000001a023e14</t>
  </si>
  <si>
    <t>果然喜欢物理的还是好人多（暴论中</t>
  </si>
  <si>
    <t>云🦋</t>
  </si>
  <si>
    <t>https://www.xiaohongshu.com/explore/69ded36800000000230237c2?xsec_token=ABKU4hGIdMFEuUNsQxAyF0hsm9ZmQEEksCOJguZJCDDko=</t>
  </si>
  <si>
    <t>69ded36800000000230237c2</t>
  </si>
  <si>
    <t>在滴滴上被女司机狠狠治愈了</t>
  </si>
  <si>
    <t>睡觉吧睡觉吧</t>
  </si>
  <si>
    <t>https://www.xiaohongshu.com/explore/69de38340000000023004ea9?xsec_token=ABKU4hGIdMFEuUNsQxAyF0hn1tmwUMujUcNbMrWJpIbPs=</t>
  </si>
  <si>
    <t>69de38340000000023004ea9</t>
  </si>
  <si>
    <t>带男朋友挑战一周只打女司机的车</t>
  </si>
  <si>
    <t>云端的双鱼先森🙋</t>
  </si>
  <si>
    <t>https://www.xiaohongshu.com/explore/69ddda680000000022027822?xsec_token=AB1j-fIYpZpafnlnIfeJ5iGF9uvmm7nD9BdL6Ii9bJbnM=</t>
  </si>
  <si>
    <t>69ddda680000000022027822</t>
  </si>
  <si>
    <t>谁懂啊！车车香香嘟，我也香香嘟🚗</t>
  </si>
  <si>
    <t>古道</t>
  </si>
  <si>
    <t>https://www.xiaohongshu.com/explore/69de5c4b000000001f0063dc?xsec_token=ABKU4hGIdMFEuUNsQxAyF0htHKglsI68qrkZPF4gIKKVI=</t>
  </si>
  <si>
    <t>69de5c4b000000001f0063dc</t>
  </si>
  <si>
    <t>异地恋助攻巴士🚗</t>
  </si>
  <si>
    <t>雪纳瑞妹妹COFFEE</t>
  </si>
  <si>
    <t>https://www.xiaohongshu.com/explore/69df8839000000001a02b201?xsec_token=ABPr-MtRmn6p9GMWQZQlcNYE77ND3OZ33EyANohX50ybY=</t>
  </si>
  <si>
    <t>69df8839000000001a02b201</t>
  </si>
  <si>
    <t>她怎么这么会笑啊😍</t>
  </si>
  <si>
    <t>新老授权链路并行期间，部分笔记无法获取授权，您可更换笔记或等待系统升级</t>
  </si>
  <si>
    <t>姠依伶</t>
  </si>
  <si>
    <t>https://www.xiaohongshu.com/explore/69e0107a000000002301778e?xsec_token=AB-gX7Fo18SdAy-t4q1WjJ2r7VNR5YdPfPKp2dYwcgl4U=</t>
  </si>
  <si>
    <t>69e0107a000000002301778e</t>
  </si>
  <si>
    <t>长沙大暴雨下车时被女司机送伞啦🥹</t>
  </si>
  <si>
    <t>m.s.s</t>
  </si>
  <si>
    <t>https://www.xiaohongshu.com/explore/69df3b19000000001a02ee0a?xsec_token=ABPr-MtRmn6p9GMWQZQlcNYL4glh_0V8JiduSxDfSRYAo=</t>
  </si>
  <si>
    <t>69df3b19000000001a02ee0a</t>
  </si>
  <si>
    <t>一人游大理｜亲测安全又自由的交通攻略</t>
  </si>
  <si>
    <t>马大哈哈哈暴富了</t>
  </si>
  <si>
    <t>https://www.xiaohongshu.com/explore/69def2eb000000002102d5fe?xsec_token=ABKU4hGIdMFEuUNsQxAyF0hs-fHrFg-iGEMDWAXvZasYM=</t>
  </si>
  <si>
    <t>69def2eb000000002102d5fe</t>
  </si>
  <si>
    <t>领导说 和我出差有点丢人！！！</t>
  </si>
  <si>
    <t>轻松盐焗熊</t>
  </si>
  <si>
    <t>https://www.xiaohongshu.com/explore/69e1a0b6000000001d01f65d?xsec_token=ABPf6W9nl4PIWVJH6gXwtswfhb9kZDmVecBUgWSVU8Xf0=</t>
  </si>
  <si>
    <t>69e1a0b6000000001d01f65d</t>
  </si>
  <si>
    <t>4.17投放205.57元</t>
  </si>
  <si>
    <t>打到一辆很可爱的车</t>
  </si>
  <si>
    <t>特殊车型/车衣</t>
  </si>
  <si>
    <t>林水水</t>
  </si>
  <si>
    <t>https://www.xiaohongshu.com/explore/69e190090000000023011251?xsec_token=ABPf6W9nl4PIWVJH6gXwtswcSfxZlsOtgg6AJhcOguYbM=</t>
  </si>
  <si>
    <t>69e190090000000023011251</t>
  </si>
  <si>
    <t>杭州人的绩优主义是刻在骨子里的</t>
  </si>
  <si>
    <t>笔记作者为开店账号，暂无法使用</t>
  </si>
  <si>
    <t>绵绵布料</t>
  </si>
  <si>
    <t>https://www.xiaohongshu.com/explore/69dce5bd000000001a027ce3?xsec_token=ABjxCP5y3uFHVBnz0c8Ezg1iKwaD1TwMDs_HEtCPS4mIA=</t>
  </si>
  <si>
    <t>69dce5bd000000001a027ce3</t>
  </si>
  <si>
    <t>聚会散场后一个人回家，被女司机治愈到了</t>
  </si>
  <si>
    <t>西梁好</t>
  </si>
  <si>
    <t>https://www.xiaohongshu.com/explore/69e2247a00000000230040e2?app_platform=android&amp;ignoreEngage=true&amp;app_version=9.20.0&amp;share_from_user_hidden=true&amp;xsec_source=app_share&amp;type=normal&amp;xsec_token=CBbKDpEiz_PRvS2Fqzks4qNzaYtV4MqK3pHPhMvd525jI=&amp;author_share=1&amp;shareRedId=N0pFMjk6SkI2NzUyOTgwNjY0OTc6NTc8&amp;apptime=1776654411&amp;share_id=5428cb9baa8d4624bbdf79c60a222aaf&amp;share_channel=copy_link&amp;appuid=5dc265f90000000001006013&amp;xhsshare=CopyLink</t>
  </si>
  <si>
    <t>69e2247a00000000230040e2</t>
  </si>
  <si>
    <t>4.20投放5.29元
4.21投放2.23元
4.22投放29.09元
4.23投放37.40元</t>
  </si>
  <si>
    <t>【测评】滴滴巴士测评来啦！</t>
  </si>
  <si>
    <t>苏哥 suger</t>
  </si>
  <si>
    <t>https://www.xiaohongshu.com/explore/69e1fb3c000000001f003ee2?app_platform=android&amp;ignoreEngage=true&amp;app_version=9.20.0&amp;share_from_user_hidden=true&amp;xsec_source=app_share&amp;type=video&amp;xsec_token=CBilX6zXNpx51SRhsKlSyFdgyKWDYudIm2nTvD4l4zDqE=&amp;author_share=1&amp;shareRedId=N0pFMjk6SkI2NzUyOTgwNjY0OTc6NTc8&amp;apptime=1776654790&amp;share_id=38940b306b664ff68ae2b95c21bd13ff&amp;share_channel=copy_link&amp;appuid=5dc265f90000000001006013&amp;xhsshare=CopyLink</t>
  </si>
  <si>
    <t>69e1fb3c000000001f003ee2</t>
  </si>
  <si>
    <t>4.20投放60.01元
4.21投放30.95元
4.22投放47.24元
4.23投放0.26元</t>
  </si>
  <si>
    <t>版纳限定｜雨林之心号发车🚌</t>
  </si>
  <si>
    <t>霍昕</t>
  </si>
  <si>
    <t>https://www.xiaohongshu.com/explore/69e5966d0000000023020ddd?app_platform=android&amp;ignoreEngage=true&amp;app_version=9.20.0&amp;share_from_user_hidden=true&amp;xsec_source=app_share&amp;type=normal&amp;xsec_token=CB457ZQweTEy3aa2D2MPSgOZzfBvMYPkQMLeFjn-ff4w0=&amp;author_share=1&amp;shareRedId=N0pFMjk6SkI2NzUyOTgwNjY0OTc6NTc8&amp;apptime=1776654915&amp;share_id=296ae3d2a136451aa783884d884f34af&amp;share_channel=copy_link&amp;appuid=5dc265f90000000001006013&amp;xhsshare=CopyLink</t>
  </si>
  <si>
    <t>69e5966d0000000023020ddd</t>
  </si>
  <si>
    <t>4.20投放2.21元
4.21投放3.66元
4.22投放0.49元
4.23投放4.53元</t>
  </si>
  <si>
    <t>天津空港 意外解锁网约公交🚍</t>
  </si>
  <si>
    <t>岛上的夏奈</t>
  </si>
  <si>
    <t>https://www.xiaohongshu.com/explore/69e5b835000000001a025554?xsec_token=ABCPS8mVQOb96Vyb8E2c50aLoXElkwzXTQBEicjZ6_D7Y=</t>
  </si>
  <si>
    <t>69e5b835000000001a025554</t>
  </si>
  <si>
    <t>滴滴司机不想去金门</t>
  </si>
  <si>
    <t>笔记作者粉丝数超过10000，暂无法使用</t>
  </si>
  <si>
    <t>momo</t>
  </si>
  <si>
    <t>https://www.xiaohongshu.com/explore/69e4ed94000000001d01b934?xsec_token=ABwWlrUnb4VwErJLcyy3U_BJJtGeHlcAjL2t_zv4HRnRU=</t>
  </si>
  <si>
    <t>69e4ed94000000001d01b934</t>
  </si>
  <si>
    <t>打车回家遇到温柔的滴滴司机</t>
  </si>
  <si>
    <t>lq</t>
  </si>
  <si>
    <t>https://www.xiaohongshu.com/explore/69e42ae9000000000803c777</t>
  </si>
  <si>
    <t>69e42ae9000000000803c777</t>
  </si>
  <si>
    <t>打车被上了一个极致的长期主义的课</t>
  </si>
  <si>
    <t>Miraitowa💕</t>
  </si>
  <si>
    <t>https://www.xiaohongshu.com/explore/69e601d0000000002103aacd?xsec_token=ABmBcRQSHJbWmv0ZhzZw_7TJbPtvH3XS76xN9JdrI74CU=&amp;exSource=https://cooper.didichuxing.com/</t>
  </si>
  <si>
    <t>69e601d0000000002103aacd</t>
  </si>
  <si>
    <t>打王者被气到带狗出门，滴滴太懂我了</t>
  </si>
  <si>
    <t>靓女小W和她哥</t>
  </si>
  <si>
    <t>https://www.xiaohongshu.com/explore/69e705c10000000021010887?xsec_token=ABbtQmxJ_Z3qhWezOJm00mpmIi1g2VFo9b00dF64XdWGs=</t>
  </si>
  <si>
    <t>69e705c10000000021010887</t>
  </si>
  <si>
    <t>🐶我将永远拥护滴滴</t>
  </si>
  <si>
    <t>https://www.xiaohongshu.com/explore/69e6d13f0000000022002610?xsec_token=ABmBcRQSHJbWmv0ZhzZw_7TFxUjgFtfHVvZlf64xkYUPU=</t>
  </si>
  <si>
    <t>69e6d13f0000000022002610</t>
  </si>
  <si>
    <t>被狗狗带偏路线的可爱司机</t>
  </si>
  <si>
    <t>笔记作者为开店账号</t>
  </si>
  <si>
    <t>天天洗眉的66</t>
  </si>
  <si>
    <t>https://www.xiaohongshu.com/explore/69e61b8b00000000210388a2?xsec_token=ABmBcRQSHJbWmv0ZhzZw_7TJkzXhtdrjNRaouzYx9zmSk=</t>
  </si>
  <si>
    <t>69e61b8b00000000210388a2</t>
  </si>
  <si>
    <t>滴滴叫了个专车 🚖司机竟然是金毛太可爱了</t>
  </si>
  <si>
    <t>https://www.xiaohongshu.com/explore/69e60eeb000000001f0076f9?xsec_token=ABmBcRQSHJbWmv0ZhzZw_7TE9L4rjV-HUA4htqQ3BVb5E=</t>
  </si>
  <si>
    <t>69e60eeb000000001f0076f9</t>
  </si>
  <si>
    <t>人，我也体验了兜风</t>
  </si>
  <si>
    <t>慕容柠次</t>
  </si>
  <si>
    <t>https://www.xiaohongshu.com/explore/69e6ce3c000000001d018677?xsec_token=ABmBcRQSHJbWmv0ZhzZw_7TAk7RdhI4o1VDr4LEQ9bHuc=</t>
  </si>
  <si>
    <t>69e6ce3c000000001d018677</t>
  </si>
  <si>
    <t>4.21投放12.08元
4.22投放3.24元
4.23投放2.84元</t>
  </si>
  <si>
    <t>在版纳坐了很有意思的雨林巴士</t>
  </si>
  <si>
    <t>望</t>
  </si>
  <si>
    <t>https://www.xiaohongshu.com/explore/69e859460000000023012e5e?xsec_token=ABTnCOUc1TmnbS_OCkgjb5Np0N-Fjuiup6J70odmH2aA4=&amp;xsec_source=pc_search&amp;source=web_search_result_notes</t>
  </si>
  <si>
    <t>69e859460000000023012e5e</t>
  </si>
  <si>
    <t>4.23投放201.41元</t>
  </si>
  <si>
    <t>超绝滴滴痛车</t>
  </si>
  <si>
    <t>丸子酱耶耶</t>
  </si>
  <si>
    <t>https://www.xiaohongshu.com/explore/69e754d80000000020038809?xsec_token=ABbtQmxJ_Z3qhWezOJm00mpuzQZVNdhmlJ_VzDzijFWsI=</t>
  </si>
  <si>
    <t>69e754d80000000020038809</t>
  </si>
  <si>
    <t>上海大部分还是非常宠物友好的哇</t>
  </si>
  <si>
    <t>1. 笔记作者粉丝数超过10000</t>
  </si>
  <si>
    <t>龙吟</t>
  </si>
  <si>
    <t>https://www.xiaohongshu.com/explore/69e988a5000000002103a1f4?xsec_token=ABWB215s-u3NEqombf2qmEuBFDdUcCixAIiv3ifWH7D-w=</t>
  </si>
  <si>
    <t>69e988a5000000002103a1f4</t>
  </si>
  <si>
    <t>4.25投放200.45元</t>
  </si>
  <si>
    <t>今天打车遇到一位女司机，想记下来</t>
  </si>
  <si>
    <t>等巴黎下雪</t>
  </si>
  <si>
    <t>https://www.xiaohongshu.com/explore/69e8a49f000000002302537e?xsec_token=ABTnCOUc1TmnbS_OCkgjb5NvTuXPr4qMtW6yZSZ8fDzy8=</t>
  </si>
  <si>
    <t>69e8a49f000000002302537e</t>
  </si>
  <si>
    <t>我妈说我现在打车比以前放心多了</t>
  </si>
  <si>
    <t>4u</t>
  </si>
  <si>
    <t>https://www.xiaohongshu.com/explore/69ea2da40000000012029803?xsec_token=AB1Ovtm-ImnpG5ATFAAwXtpbT0J4l-UIrDYwzQgZaKzn4=</t>
  </si>
  <si>
    <t>69ea2da40000000012029803</t>
  </si>
  <si>
    <t>终于能带猫去宠物乐园撒欢啦🐾</t>
  </si>
  <si>
    <t>https://www.xiaohongshu.com/explore/69ea443e000000001f031803?xsec_token=AB1Ovtm-ImnpG5ATFAAwXtpZhMltWt4kcXmbK6lDWN4xE=</t>
  </si>
  <si>
    <t>69ea443e000000001f031803</t>
  </si>
  <si>
    <t>半夜狗子突然拉肚子，还好有它救急</t>
  </si>
  <si>
    <t>https://www.xiaohongshu.com/explore/69e9e9e40000000012012803?xsec_token=ABuDCr01dadir9PwwT7w5mkVShjVZd4kbsnbW0nyHyxnU=</t>
  </si>
  <si>
    <t>69e9e9e40000000012012803</t>
  </si>
  <si>
    <t>没想到在半夜有陌生人护送我回家</t>
  </si>
  <si>
    <t>七天可见</t>
  </si>
  <si>
    <t>https://www.xiaohongshu.com/explore/69ea27b10000000022029ddb?xsec_token=AB1Ovtm-ImnpG5ATFAAwXtpWtK7BN9KX4v8l_BQQNA4CA=</t>
  </si>
  <si>
    <t>69ea27b10000000022029ddb</t>
  </si>
  <si>
    <t>滴滴公交初体验｜常熟版“随叫随到”公交也太</t>
  </si>
  <si>
    <t>喵喵的旅行日记🌊</t>
  </si>
  <si>
    <t>https://www.xiaohongshu.com/explore/69eabe19000000002202988e?xsec_token=AB1Ovtm-ImnpG5ATFAAwXtpXElyJKaJCPjaD53s9wzImM=</t>
  </si>
  <si>
    <t>69eabe19000000002202988e</t>
  </si>
  <si>
    <t>泰国Day31｜✈️清迈机场回国+退税攻略</t>
  </si>
  <si>
    <t>https://www.xiaohongshu.com/explore/69eddd5000000000220260c8?xsec_token=ABaHAN3hIQhd5vWwLK8w4HJq0UHKK3MBnPFdVNfWz-n8o=</t>
  </si>
  <si>
    <t>69eddd5000000000220260c8</t>
  </si>
  <si>
    <t>自从打开女性友好之后</t>
  </si>
  <si>
    <t>一颗山药🌟</t>
  </si>
  <si>
    <t>https://www.xiaohongshu.com/explore/69eead98000000001a02f119?app_platform=android&amp;ignoreEngage=true&amp;app_version=9.20.0&amp;share_from_user_hidden=true&amp;xsec_source=app_share&amp;type=normal&amp;xsec_token=CBRsy7PkwLVAW1VQTzgvHSh5kZ8hSx017BydV2JDs7-3U=&amp;author_share=1&amp;shareRedId=N0pFMjk6SkI2NzUyOTgwNjY0OTc6NTc8&amp;apptime=1777268627&amp;share_id=fddd04bae8d944c3b1f8268f844fb00e&amp;share_channel=copy_link&amp;appuid=5dc265f90000000001006013&amp;xhsshare=CopyLink</t>
  </si>
  <si>
    <t>69eead98000000001a02f119</t>
  </si>
  <si>
    <t>4.27投放135.84元
4.28投放55.42元</t>
  </si>
  <si>
    <t>下沙滴滴小巴</t>
  </si>
  <si>
    <t>滴滴小巴</t>
  </si>
  <si>
    <t>RZ777</t>
  </si>
  <si>
    <t>https://www.xiaohongshu.com/explore/69edfc54000000003502aae3?app_platform=android&amp;ignoreEngage=true&amp;app_version=9.20.0&amp;share_from_user_hidden=true&amp;xsec_source=app_share&amp;type=normal&amp;xsec_token=CBOhELoPgqe_s-6GR15DKuFltNQmeJNsJpz6rGYe5ckqA=&amp;author_share=1&amp;shareRedId=N0pFMjk6SkI2NzUyOTgwNjY0OTc6NTc8&amp;apptime=1777268706&amp;share_id=6ed3885279db4248aed63ba61bf4f4a2&amp;share_channel=copy_link&amp;appuid=5dc265f90000000001006013&amp;xhsshare=CopyLink</t>
  </si>
  <si>
    <t>69edfc54000000003502aae3</t>
  </si>
  <si>
    <t>现在居然都还有网约小巴了，这么牛逼，怒省10</t>
  </si>
  <si>
    <t>Ss</t>
  </si>
  <si>
    <t>https://www.xiaohongshu.com/explore/69eb14c4000000001a0368eb?app_platform=android&amp;ignoreEngage=true&amp;app_version=9.20.0&amp;share_from_user_hidden=true&amp;xsec_source=app_share&amp;type=normal&amp;xsec_token=CBRBODJwCf7Xkki9Lrwoz6RCd0f1-PKSlOEMsYlJMCO9I=&amp;author_share=1&amp;shareRedId=N0pFMjk6SkI2NzUyOTgwNjY0OTc6NTc8&amp;apptime=1777268776&amp;share_id=9332ff15581a4e27b29cb699a01d5b87&amp;share_channel=copy_link&amp;appuid=5dc265f90000000001006013&amp;xhsshare=CopyLink</t>
  </si>
  <si>
    <t>69eb14c4000000001a0368eb</t>
  </si>
  <si>
    <t>杭州计量大学门口这个滴滴小巴是啥啊</t>
  </si>
  <si>
    <t>方人也</t>
  </si>
  <si>
    <t>https://www.xiaohongshu.com/explore/69eb0e210000000022028197?app_platform=android&amp;ignoreEngage=true&amp;app_version=9.20.0&amp;share_from_user_hidden=true&amp;xsec_source=app_share&amp;type=normal&amp;xsec_token=CBRBODJwCf7Xkki9Lrwoz6RDdgqbRg4ysdOZi-mjYnB7U=&amp;author_share=1&amp;shareRedId=N0pFMjk6SkI2NzUyOTgwNjY0OTc6NTc8&amp;apptime=1777268809&amp;share_id=2e37223bab6a4cd4b81c31c96f4845f4&amp;share_channel=copy_link&amp;appuid=5dc265f90000000001006013&amp;xhsshare=CopyLink</t>
  </si>
  <si>
    <t>69eb0e210000000022028197</t>
  </si>
  <si>
    <t>滴滴小巴这车也太高级了吧</t>
  </si>
  <si>
    <t>我很高冷</t>
  </si>
  <si>
    <t>https://www.xiaohongshu.com/explore/69ec9a49000000002003a8a5?app_platform=android&amp;ignoreEngage=true&amp;app_version=9.20.0&amp;share_from_user_hidden=true&amp;xsec_source=app_share&amp;type=normal&amp;xsec_token=CB72J9O2h_nhgklQXtx0epaw7NfnClaruUDVlelcNhIxo=&amp;author_share=1&amp;shareRedId=N0pFMjk6SkI2NzUyOTgwNjY0OTc6NTc8&amp;apptime=1777268844&amp;share_id=3aad723da33b4b29ab73dbc3d31aa9c5&amp;share_channel=copy_link&amp;appuid=5dc265f90000000001006013&amp;xhsshare=CopyLink</t>
  </si>
  <si>
    <t>69ec9a49000000002003a8a5</t>
  </si>
  <si>
    <t>是谁还没坐上专属巴士</t>
  </si>
  <si>
    <t>佐伊🍭</t>
  </si>
  <si>
    <t>https://www.xiaohongshu.com/explore/69e94c89000000001a02ca10?app_platform=android&amp;ignoreEngage=true&amp;app_version=9.20.0&amp;share_from_user_hidden=true&amp;xsec_source=app_share&amp;type=normal&amp;xsec_token=CB85MM-rOkh6ubyxzyIZG3y_vP04Ffg-dEgxAzJ6JSFds=&amp;author_share=1&amp;shareRedId=N0pFMjk6SkI2NzUyOTgwNjY0OTc6NTc8&amp;apptime=1777269156&amp;share_id=fade4c07664f4b3f8d0f67b8ecfeb984&amp;share_channel=copy_link&amp;appuid=5dc265f90000000001006013&amp;xhsshare=CopyLink</t>
  </si>
  <si>
    <t>69e94c89000000001a02ca10</t>
  </si>
  <si>
    <t>4.28投放20.40元
4.29投放163.39元</t>
  </si>
  <si>
    <t>雨林之心号💚仿佛踏上了星露谷痛车～</t>
  </si>
  <si>
    <t>作者粉丝数超过1000，分成比例不能低于 3%</t>
  </si>
  <si>
    <t>三二一的王（减肥版）</t>
  </si>
  <si>
    <t>https://www.xiaohongshu.com/explore/69eb2894000000001f030c01?app_platform=android&amp;ignoreEngage=true&amp;app_version=9.20.0&amp;share_from_user_hidden=true&amp;xsec_source=app_share&amp;type=normal&amp;xsec_token=CBRBODJwCf7Xkki9Lrwoz6RLHbhu-cpyedGL_6nq9mOys=&amp;author_share=1&amp;shareRedId=N0pFMjk6SkI2NzUyOTgwNjY0OTc6NTc8&amp;apptime=1777269210&amp;share_id=2127a0fe368645b0ae91df0b08af4228&amp;share_channel=copy_link&amp;appuid=5dc265f90000000001006013&amp;xhsshare=CopyLink</t>
  </si>
  <si>
    <t>69eb2894000000001f030c01</t>
  </si>
  <si>
    <t>4.27投放203.35元
4.28投放202.09元</t>
  </si>
  <si>
    <t>被常熟的网约公交车控制了</t>
  </si>
  <si>
    <t>爱跳舞的怡然律师</t>
  </si>
  <si>
    <t>https://www.xiaohongshu.com/explore/69ec55f5000000003603382f?xsec_token=ABF3QwLT3B5t2ye6BO79HB5afO5ePClHxFbe5I4GIzXCI=</t>
  </si>
  <si>
    <t>69ec55f5000000003603382f</t>
  </si>
  <si>
    <t>4.27投放192.89元</t>
  </si>
  <si>
    <t>滴滴这波可以啊，香薰片美貌满分</t>
  </si>
  <si>
    <t>https://www.xiaohongshu.com/explore/69ea2112000000001a037e95?app_platform=android&amp;ignoreEngage=true&amp;app_version=9.20.0&amp;share_from_user_hidden=true&amp;xsec_source=app_share&amp;type=video&amp;xsec_token=CBhAKi1_uzcP1zYXfVnZf5e2XT4hdjn6lz_DfcqExMYck=&amp;author_share=1&amp;shareRedId=N0pFMjk6SkI2NzUyOTgwNjY0OTc6NTc8&amp;apptime=1777269032&amp;share_id=3b1fc37e0d3f48838a0840236a0674d4&amp;share_channel=copy_link&amp;appuid=5dc265f90000000001006013&amp;xhsshare=CopyLink</t>
  </si>
  <si>
    <t>69ea2112000000001a037e95</t>
  </si>
  <si>
    <t>常熟｜滴滴公交 体验第一天上班的宝宝巴士</t>
  </si>
  <si>
    <t>贝壳与贝果</t>
  </si>
  <si>
    <t>https://www.xiaohongshu.com/explore/69edd0cf0000000035025453?app_platform=android&amp;ignoreEngage=true&amp;app_version=9.20.0&amp;share_from_user_hidden=true&amp;xsec_source=app_share&amp;type=video&amp;xsec_token=CBOhELoPgqe_s-6GR15DKuFv-hmDEt7EGDPMbLZJk28ms=&amp;author_share=1&amp;shareRedId=N0pFMjk6SkI2NzUyOTgwNjY0OTc6NTc8&amp;apptime=1777268975&amp;share_id=c7544120782a493184918d40d8294a4f&amp;share_channel=copy_link&amp;appuid=5dc265f90000000001006013&amp;xhsshare=CopyLink</t>
  </si>
  <si>
    <t>69edd0cf0000000035025453</t>
  </si>
  <si>
    <t>宝宝巴士来接我啦</t>
  </si>
  <si>
    <t>涉及画面展示美观度低的问题，如：画面黑屏、卡顿、模糊、无关内容拼接等 涉及音频异常、音频不完整、音频与画面无关等问题 涉及利用不规范的表达方式，刻意模糊产品/服务关键信息的问题，如：使用同/近音词、拼音、打码、贴图等描述功效，规避审核 涉及通过无意义问答、无信息价值的内容引导用户产生跟风互动的行为</t>
  </si>
  <si>
    <t>在投</t>
  </si>
  <si>
    <t>木立雨</t>
  </si>
  <si>
    <t>https://www.xiaohongshu.com/explore/69ef91b1000000002300564b?xsec_token=ABZgdCG38m42mQ1vgh4gAZk2fUZI96wuDPgk9xMqwSSV4=</t>
  </si>
  <si>
    <t>69ef91b1000000002300564b</t>
  </si>
  <si>
    <t>4.30投放200元</t>
  </si>
  <si>
    <t>司机递给我一颗话梅</t>
  </si>
  <si>
    <t>月悸</t>
  </si>
  <si>
    <t>https://www.xiaohongshu.com/explore/69ef76e8000000003601943f?xsec_token=ABZgdCG38m42mQ1vgh4gAZk-5YMxdg89uNnxoQxzmb3vQ=</t>
  </si>
  <si>
    <t>69ef76e8000000003601943f</t>
  </si>
  <si>
    <t>4.29投放202.96元</t>
  </si>
  <si>
    <t>下雨天没带伞，女司机把车停在我头顶</t>
  </si>
  <si>
    <t>你睡着了吗</t>
  </si>
  <si>
    <t>https://www.xiaohongshu.com/explore/69f05157000000003700c60a?app_platform=ios&amp;app_version=9.28&amp;share_from_user_hidden=true&amp;xsec_source=app_share&amp;type=normal&amp;xsec_token=CBqoLGDKtx1pp2rAm9-jYEuZCP5mGekjpkHk6ro61eqgg=&amp;author_share=1&amp;xhsshare=CopyLink&amp;shareRedId=N0dDN0hINkI6TEZFSkoyPz41SjlJSEg9&amp;apptime=1777360718&amp;share_id=e0df64a71ec64a6f853070d5c652244b</t>
  </si>
  <si>
    <t>69f05157000000003700c60a</t>
  </si>
  <si>
    <t>我去第一次打滴滴小巴</t>
  </si>
  <si>
    <t>https://www.xiaohongshu.com/explore/69f0a3e00000000022026d02?xsec_token=ABXzGd9O_x_RzY4Gkhs8M2tvUOJY7yXuVikDe4NwndPog=</t>
  </si>
  <si>
    <t>69f0a3e00000000022026d02</t>
  </si>
  <si>
    <t>谢谢女司机们</t>
  </si>
  <si>
    <t>https://www.xiaohongshu.com/explore/69f163390000000038023c04?xsec_token=ABLNcebe4EqMClPt2SyxgvoJrpZxF6h3B7Tca2NNCHN4g=</t>
  </si>
  <si>
    <t>69f163390000000038023c04</t>
  </si>
  <si>
    <t>她没说话</t>
  </si>
  <si>
    <t>1. 笔记作者为开店账号，暂无法使用 ； 2. 笔记非公开可见，暂无法使用</t>
  </si>
  <si>
    <t>岁岁平安</t>
  </si>
  <si>
    <t>https://www.xiaohongshu.com/explore/69f194d5000000002301de8a?xsec_token=ABmbFepnQx-jFoEzvEhhzqxCMKi4KHHLcOP5v35xgvWN4=</t>
  </si>
  <si>
    <t>69f194d5000000002301de8a</t>
  </si>
  <si>
    <t>合肥打特惠/快车能打到问界m7和特斯拉</t>
  </si>
  <si>
    <t>ENDLESS RAIN</t>
  </si>
  <si>
    <t>https://www.xiaohongshu.com/explore/69f17a30000000003502d8da?xsec_token=ABmbFepnQx-jFoEzvEhhzqxNRpCCA7k8sUY3_88LcNzEc=</t>
  </si>
  <si>
    <t>69f17a30000000003502d8da</t>
  </si>
  <si>
    <t>当春天来临，要记得出门去</t>
  </si>
  <si>
    <t>地广/活动</t>
  </si>
  <si>
    <t>品牌</t>
  </si>
  <si>
    <t>1. 笔记作者粉丝数超过10000，暂无法使用 ； 2. 笔记为蒲公英笔记，暂无法使用</t>
  </si>
  <si>
    <t>懒羊羊大王不怕困难</t>
  </si>
  <si>
    <t>https://www.xiaohongshu.com/explore/69f1c29d0000000023005a50?app_platform=ios&amp;app_version=9.28&amp;share_from_user_hidden=true&amp;xsec_source=app_share&amp;type=normal&amp;xsec_token=CBg2gaKUnCxg2ud8iQCl-jr45B4wRjJaReZTBWhc6ZI6I=&amp;author_share=1&amp;xhsshare=WeixinSession&amp;shareRedId=ODY6NTk5Nzs2NzUyOTgwNjY0OTc8OTxC&amp;apptime=1777472867&amp;share_id=df9fcb8ddf8e446c9a5118d8d3317c00&amp;code=2G20cXCQnOy</t>
  </si>
  <si>
    <t>69f1c29d0000000023005a50</t>
  </si>
  <si>
    <t>下沙雨天新晋宠儿~滴滴小巴</t>
  </si>
  <si>
    <t>https://www.xiaohongshu.com/explore/69f2ecd80000000036000e40?xsec_token=ABetYAHOhY16yiR5a2fqXNDsPWuXDXNybg9Meg3UygIVM=</t>
  </si>
  <si>
    <t>69f2ecd80000000036000e40</t>
  </si>
  <si>
    <t>毕业搬家带猫，第一次用宠物出行就真香了 大</t>
  </si>
  <si>
    <t>https://www.xiaohongshu.com/explore/69f29fb3000000001a037e6b?xsec_token=ABlefarLtJ7O9GeX5GD5VUCzNb_Uj8Vqjkp92xc6p8OSI=</t>
  </si>
  <si>
    <t>69f29fb3000000001a037e6b</t>
  </si>
  <si>
    <t>女司机的车，是i人的天</t>
  </si>
  <si>
    <t>煎饼狗子</t>
  </si>
  <si>
    <t>https://www.xiaohongshu.com/explore/69f1d8fe000000003503860e?xsec_token=ABh4kH9hXYWMgFpRFZgOeKrx-PZs9UmB28fGWl6lOwtHU=</t>
  </si>
  <si>
    <t>69f1d8fe000000003503860e</t>
  </si>
  <si>
    <t>今天看展路上的小确幸</t>
  </si>
  <si>
    <t>真忘私绵</t>
  </si>
  <si>
    <t>https://www.xiaohongshu.com/explore/69f19283000000003503b16f?xsec_token=ABh4kH9hXYWMgFpRFZgOeKr8kel0HHoTQxzsZVTsJZLAo=</t>
  </si>
  <si>
    <t>69f19283000000003503b16f</t>
  </si>
  <si>
    <t>打了上百次DD专车，臭车几率是？</t>
  </si>
  <si>
    <t>旅行的皮神</t>
  </si>
  <si>
    <t>https://www.xiaohongshu.com/explore/69f1b5c4000000003502cfd0?xsec_token=ABh4kH9hXYWMgFpRFZgOeKr3nDPNLrQBCZ3Y-2WjHeTck=</t>
  </si>
  <si>
    <t>69f1b5c4000000003502cfd0</t>
  </si>
  <si>
    <t>“每次花开🌸都值得一次出发”</t>
  </si>
  <si>
    <t>投后笔记总互动量</t>
  </si>
  <si>
    <t>投放带来的互动量</t>
  </si>
  <si>
    <t>路</t>
  </si>
  <si>
    <t>https://www.xiaohongshu.com/explore/69f9fede0000000036001eb0?xsec_token=ABXpClgvyZnrSy5ahzs9wzetu_zEFUA_9CYj7xk9dk_iA=</t>
  </si>
  <si>
    <t>69f9fede0000000036001eb0</t>
  </si>
  <si>
    <t>优先女司机</t>
  </si>
  <si>
    <t>纯情丫头火辣辣之性感母蟑螂</t>
  </si>
  <si>
    <t>https://www.xiaohongshu.com/explore/69f9d0d5000000003601a3f1?xsec_token=ABa01KIw3FNSCIsTS2LPTf6ZnSPxmuZqMjQP15XiIMumA=</t>
  </si>
  <si>
    <t>69f9d0d5000000003601a3f1</t>
  </si>
  <si>
    <t>这两天天气好经常带我的小狗去附近的公园玩，</t>
  </si>
  <si>
    <t>路灯很亮</t>
  </si>
  <si>
    <t>https://www.xiaohongshu.com/explore/69f2f64d000000002202410c?app_platform=ios&amp;app_version=9.23&amp;share_from_user_hidden=true&amp;xsec_source=app_share&amp;type=normal&amp;xsec_token=CBBV9_vzbj_FXbJ_j67LntrsyjW4OxBrPaT5RMvpK-lIw=&amp;author_share=1&amp;xhsshare=CopyLink&amp;shareRedId=ODY0NzU8Rzo2NzUyOTgwNjY0OThIN0lA&amp;apptime=1778036727&amp;share_id=c7a1f6846c00444d8a5fcdbf6f3744df</t>
  </si>
  <si>
    <t>69f2f64d000000002202410c</t>
  </si>
  <si>
    <t>洛阳把尊重刻在骨子里了！</t>
  </si>
  <si>
    <t>平台卡审终止</t>
  </si>
  <si>
    <t>岁岁常安</t>
  </si>
  <si>
    <t>https://www.xiaohongshu.com/explore/69f1e8ef000000001e00cc08?note_flow_source=wechat&amp;xsec_token=CB8RFidiOHx448pSCWzbm3uUoSBFRPNp8Df9NjnF-0CM4=</t>
  </si>
  <si>
    <t>69f1e8ef000000001e00cc08</t>
  </si>
  <si>
    <t>出发吧 去往你想要的生活！</t>
  </si>
  <si>
    <t>zizi</t>
  </si>
  <si>
    <t>https://www.xiaohongshu.com/explore/69f6f7160000000035032d5a?note_flow_source=wechat&amp;xsec_token=CBI1UWmWTbRhl4rxrQu1WE8SosxLoRvzg3arIhEyKPYL4=</t>
  </si>
  <si>
    <t>69f6f7160000000035032d5a</t>
  </si>
  <si>
    <t>哈尔滨旅行状态：只哈哈 不喊累😂</t>
  </si>
  <si>
    <t>旅游出行</t>
  </si>
  <si>
    <t>时间到未消耗完</t>
  </si>
  <si>
    <t>自由散漫顾小可</t>
  </si>
  <si>
    <t>https://www.xiaohongshu.com/explore/69fb8678000000003503053f?xsec_token=ABelO7dPqxWwMbHBMg1xlMAIqZ6Ub9LcPBZ9rP9eRY2HI=</t>
  </si>
  <si>
    <t>69fb8678000000003503053f</t>
  </si>
  <si>
    <t>一份来自陌生滴滴师傅的善意</t>
  </si>
  <si>
    <t>nono</t>
  </si>
  <si>
    <t>https://www.xiaohongshu.com/explore/69fb226a00000000350207ff?xsec_token=ABelO7dPqxWwMbHBMg1xlMAEGTvMgcK3FdXgvdXSp_L80=</t>
  </si>
  <si>
    <t>69fb226a00000000350207ff</t>
  </si>
  <si>
    <t>当女性力量不再单一</t>
  </si>
  <si>
    <t>Ms戴满世界浪</t>
  </si>
  <si>
    <t>https://www.xiaohongshu.com/explore/69fc0ddb000000001f005a56?xsec_token=ABcsHLT2IdhyDi6N_CLnT_R8sSTrsaAX_qNGmqfsKQqq8=&amp;xsec_source=pc_search&amp;source=web_search_result_notes</t>
  </si>
  <si>
    <t>69fc0ddb000000001f005a56</t>
  </si>
  <si>
    <t>坐上了一辆整洁又贴心的滴滴</t>
  </si>
  <si>
    <t>车内整洁</t>
  </si>
  <si>
    <t>Toby</t>
  </si>
  <si>
    <t>https://www.xiaohongshu.com/explore/69fb34d0000000003703435a?xsec_token=ABARK6t9lwvGdzCFjVrffVdgqwyb1B3wbS-uqEQn8QZmE=</t>
  </si>
  <si>
    <t>69fb34d0000000003703435a</t>
  </si>
  <si>
    <t>滴滴🚌宝宝巴士进站咯～📢</t>
  </si>
  <si>
    <t>小红薯69DD39E5</t>
  </si>
  <si>
    <t>https://www.xiaohongshu.com/explore/69fc2d28000000002003a003?xsec_token=ABwPYmqoMR6qCxnABY9tKfBXJ98AlN9BYjFmm7jjFXZHE=</t>
  </si>
  <si>
    <t>69fc2d28000000002003a003</t>
  </si>
  <si>
    <t>教了三次学不会打车，换语音一次就记住了</t>
  </si>
  <si>
    <t>张煊野</t>
  </si>
  <si>
    <t>https://www.xiaohongshu.com/explore/69fa2dbd00000000360197a1?xsec_token=ABb9AmBAYzWHkEWhQuDzCy0R8llkPCrq9q8BHZwFn3sA4=</t>
  </si>
  <si>
    <t>69fa2dbd00000000360197a1</t>
  </si>
  <si>
    <t>🚗沉浸式下班｜你那边的天蓝么？</t>
  </si>
  <si>
    <t>通勤上下班</t>
  </si>
  <si>
    <t>不熬夜睡好觉</t>
  </si>
  <si>
    <t>https://www.xiaohongshu.com/explore/69fc838f0000000035039774?xsec_token=ABBtRwVR8gpszCBfbW9B5RgdOPvIaKdFdsDFAzyoA7ds4=</t>
  </si>
  <si>
    <t>69fc838f0000000035039774</t>
  </si>
  <si>
    <t>滴滴打车碰到最细心周到的师傅</t>
  </si>
  <si>
    <t>原点</t>
  </si>
  <si>
    <t>https://www.xiaohongshu.com/explore/69fcae64000000001a02cfdc?xsec_token=ABBtRwVR8gpszCBfbW9B5RgYaEC41EyjHY2KGY0I1izz8=</t>
  </si>
  <si>
    <t>69fcae64000000001a02cfdc</t>
  </si>
  <si>
    <t>刚搬新家，带着两只猫和一只狗</t>
  </si>
  <si>
    <t>豆豆九段</t>
  </si>
  <si>
    <t>https://www.xiaohongshu.com/explore/69fc65f90000000022028b6c?app_platform=ios&amp;app_version=9.28.1&amp;share_from_user_hidden=true&amp;xsec_source=app_share&amp;type=normal&amp;xsec_token=CBAxrSWo8Hhf4veuCxUrwqpC0T6aWsI46v29AvU_0nATA=&amp;author_share=1&amp;xhsshare=CopyLink&amp;shareRedId=N0dDN0hINkI6TEZFSkoyPz41SjlJSEg9&amp;apptime=1778211149&amp;share_id=649545e6b4c74bc3b79f908fac0a7947</t>
  </si>
  <si>
    <t>69fc65f90000000022028b6c</t>
  </si>
  <si>
    <t>下沙滴滴小巴给到一个夯</t>
  </si>
  <si>
    <t>链接失效</t>
  </si>
  <si>
    <t>豆芽</t>
  </si>
  <si>
    <t>https://www.xiaohongshu.com/explore/69f8702a000000001b021637?app_platform=ios&amp;app_version=9.28.1&amp;share_from_user_hidden=true&amp;xsec_source=app_share&amp;type=normal&amp;xsec_token=CB2UKSax5DF2QA_I7rhNuoqUlhNkevLLDd7iEEZWVmZ7U=&amp;author_share=1&amp;xhsshare=CopyLink&amp;shareRedId=N0dDN0hINkI6TEZFSkoyPz41SjlJSEg9&amp;apptime=1778211176&amp;share_id=af6a6d5c0f8b459abce45f5a54064a24</t>
  </si>
  <si>
    <t>69f8702a000000001b021637</t>
  </si>
  <si>
    <t>下沙谁还没坐这个三块钱的商务座</t>
  </si>
  <si>
    <t>小小闯江湖</t>
  </si>
  <si>
    <t>https://www.xiaohongshu.com/explore/69fab3fd000000003501edf9?app_platform=ios&amp;app_version=9.28.1&amp;share_from_user_hidden=true&amp;xsec_source=app_share&amp;type=normal&amp;xsec_token=CBPZ69__HQk7Q8Y-E8hjtw2iJs_hWjBOFCxxjj36RENAc=&amp;author_share=1&amp;xhsshare=CopyLink&amp;shareRedId=N0dDN0hINkI6TEZFSkoyPz41SjlJSEg9&amp;apptime=1778211219&amp;share_id=0fd8efd77d084114a3cdd4ddb5970ffc</t>
  </si>
  <si>
    <t>69fab3fd000000003501edf9</t>
  </si>
  <si>
    <t>滴滴小巴都出了吗，那是不是以后大家伙出去玩可以一辆车坐下，不用再分别打好几辆车了哈哈哈</t>
  </si>
  <si>
    <t>一颗屁桃</t>
  </si>
  <si>
    <t>https://www.xiaohongshu.com/explore/69fc798c000000003502a9d8?xsec_token=ABcsHLT2IdhyDi6N_CLnT_R8DhhUAlroRDer_EtK6e-TU=</t>
  </si>
  <si>
    <t>69fc798c000000003502a9d8</t>
  </si>
  <si>
    <t>她的周四，在盛开热带雨林的云南巴士、摘蘑菇</t>
  </si>
  <si>
    <t>补药让我加班</t>
  </si>
  <si>
    <t>https://www.xiaohongshu.com/explore/69fde0030000000035023490?xsec_token=ABNbFDvmT2gE-NxXGweO_FYI6uipgsb69YYyq6uLnaHi0=&amp;exSource=https://my.feishu.cn/</t>
  </si>
  <si>
    <t>69fde0030000000035023490</t>
  </si>
  <si>
    <t>司机姐姐说这个功能让她们更自觉</t>
  </si>
  <si>
    <t>https://www.xiaohongshu.com/explore/69fe7e640000000023017177?xsec_token=AB7ukW7fajRnxFsjbDV6X4qNCdWkxaxQYO2sfNVQYaPQI=</t>
  </si>
  <si>
    <t>69fe7e640000000023017177</t>
  </si>
  <si>
    <t>打到“侠女”的车了！！</t>
  </si>
  <si>
    <t>HuiHui慢生活</t>
  </si>
  <si>
    <t>https://www.xiaohongshu.com/explore/6a011d41000000000702031a?xsec_token=ABMDY_ifAXf43glQ4iD8PYNQ5y3nGwbGTzhVuJCHwfsc4=</t>
  </si>
  <si>
    <t>6a011d41000000000702031a</t>
  </si>
  <si>
    <t>哈哈哈第一次打车打到装饰这么隆重的士🚕</t>
  </si>
  <si>
    <t>用魔法打败魔法voc</t>
  </si>
  <si>
    <t>https://www.xiaohongshu.com/explore/69ff2744000000003601bafd?xsec_token=ABSe7suRAYmulQ4PBfwqDWg_Ql-v1qHlDG2U5q2K-9fKY=</t>
  </si>
  <si>
    <t>69ff2744000000003601bafd</t>
  </si>
  <si>
    <t>滴滴打车偶遇</t>
  </si>
  <si>
    <t>偷吃老鼠药</t>
  </si>
  <si>
    <t>https://www.xiaohongshu.com/explore/6a01468400000000060214be?xsec_token=ABMDY_ifAXf43glQ4iD8PYNZWMIiDvTz3M6rD-nGS0c0M=&amp;xsec_source=pc_search</t>
  </si>
  <si>
    <t>6a01468400000000060214be</t>
  </si>
  <si>
    <t>滴滴优先呼叫女司机选项真是伟大发明</t>
  </si>
  <si>
    <t>猫饼</t>
  </si>
  <si>
    <t>https://www.xiaohongshu.com/explore/6a014275000000003601e660?xsec_token=ABMDY_ifAXf43glQ4iD8PYNRElQwjKn3KHY0HzRZsXs9c=&amp;xsec_source=pc_search</t>
  </si>
  <si>
    <t>6a014275000000003601e660</t>
  </si>
  <si>
    <t>她给了我一颗糖🍬</t>
  </si>
  <si>
    <t>父与子：共同成长</t>
  </si>
  <si>
    <t>https://www.xiaohongshu.com/explore/6a0044d200000000360190fc?source=webshare&amp;xhsshare=pc_web&amp;xsec_token=ABe7uh94rgLtb32KVXCgE6zdSecME_4lvf9lXqCwH7ZDM=&amp;xsec_source=pc_share</t>
  </si>
  <si>
    <t>6a0044d200000000360190fc</t>
  </si>
  <si>
    <t>滴滴其实还不错，至少还想着做事</t>
  </si>
  <si>
    <t>尧十二</t>
  </si>
  <si>
    <t>https://www.xiaohongshu.com/explore/6a015c4b00000000060375d5?app_platform=ios&amp;app_version=9.29&amp;share_from_user_hidden=true&amp;xsec_source=app_share&amp;type=video&amp;xsec_token=CB0EIrGEJAR4IkKD6WrpqGlpqf93X6j_93NaDh5PA3tzg=&amp;author_share=1&amp;xhsshare=CopyLink&amp;shareRedId=N0dDN0hINkI6TEZFSkoyPz41SjlJSEg9&amp;apptime=1778482875&amp;share_id=f1045e5ebc884cc3a25f3f6dbe720b37</t>
  </si>
  <si>
    <t>6a015c4b00000000060375d5</t>
  </si>
  <si>
    <t>下沙有自己的宝宝巴士🚌3块钱的快乐谁懂啊！</t>
  </si>
  <si>
    <t>作者终止投放</t>
  </si>
  <si>
    <t>https://www.xiaohongshu.com/explore/69edd0cf0000000035025453?xsec_token=ABkhnHrdTn66wpzixyl95xc6Rar_v_JNNubvWrO19cP24=&amp;xsec_source=pc_search</t>
  </si>
  <si>
    <t>坐标常熟，宝宝巴士来接我啦</t>
  </si>
  <si>
    <t>暴富猫</t>
  </si>
  <si>
    <t>https://www.xiaohongshu.com/explore/6a013f80000000000803ca41?xsec_token=ABMDY_ifAXf43glQ4iD8PYNd0fpxtyb-aDsuPHeEeUSac=&amp;xsec_source=pc_search&amp;source=web_explore_feed</t>
  </si>
  <si>
    <t>6a013f80000000000803ca41</t>
  </si>
  <si>
    <t>坐滴滴还送香卡呀</t>
  </si>
  <si>
    <t>早八灵魂出走中</t>
  </si>
  <si>
    <t>https://www.xiaohongshu.com/explore/6a01b530000000003601e708?xsec_token=ABMDY_ifAXf43glQ4iD8PYNaevaIXtJtDMT-ktepBCU3s=</t>
  </si>
  <si>
    <t>6a01b530000000003601e708</t>
  </si>
  <si>
    <t>我家狗子觉得自己是最帅的狗</t>
  </si>
  <si>
    <t>努力校招中🌟</t>
  </si>
  <si>
    <t>https://www.xiaohongshu.com/explore/6a02a86800000000070130aa?xsec_token=AB7U6zAAB-FbTocf-dL8C5T5OiIULUabftGK25BLSoZ4A=&amp;xsec_source=pc_search</t>
  </si>
  <si>
    <t>6a02a86800000000070130aa</t>
  </si>
  <si>
    <t>昨天滴滴打车，选了女性友好专车～</t>
  </si>
  <si>
    <t>https://www.xiaohongshu.com/explore/6a01ed3a000000003503a60e?xsec_token=ABMDY_ifAXf43glQ4iD8PYNQBwgNEHYp4wX45z4dWdtjo=&amp;xsec_source=pc_search</t>
  </si>
  <si>
    <t>6a01ed3a000000003503a60e</t>
  </si>
  <si>
    <t>你的五一我的五一好像不一样</t>
  </si>
  <si>
    <t>葡萄糖太郎</t>
  </si>
  <si>
    <t>https://www.xiaohongshu.com/explore/6a01c59a0000000035038156?xsec_token=ABMDY_ifAXf43glQ4iD8PYNWfE3Q3cvQ3E4tJejze7REs=&amp;xsec_source=pc_search</t>
  </si>
  <si>
    <t>6a01c59a0000000035038156</t>
  </si>
  <si>
    <t>打到这些女司机的车，算我有福！</t>
  </si>
  <si>
    <t>Ar</t>
  </si>
  <si>
    <t>https://www.xiaohongshu.com/explore/6a01ba55000000000702ca26?xsec_token=ABMDY_ifAXf43glQ4iD8PYNQpF_wV9vHtGDrwlg8rWheA=&amp;xsec_source=pc_search</t>
  </si>
  <si>
    <t>6a01ba55000000000702ca26</t>
  </si>
  <si>
    <t>异地恋分别，被滴滴出行狠狠治愈了✨</t>
  </si>
  <si>
    <t>https://www.xiaohongshu.com/explore/6a019fc3000000003502aa17?xsec_token=ABMDY_ifAXf43glQ4iD8PYNe3edi3uM3rB-Ib-bKXaLuY=&amp;xsec_source=pc_search</t>
  </si>
  <si>
    <t>6a019fc3000000003502aa17</t>
  </si>
  <si>
    <t>那个选项我早就打开了，没想到今天真用上了</t>
  </si>
  <si>
    <t>肉肉打怪兽👹</t>
  </si>
  <si>
    <t>https://www.xiaohongshu.com/explore/6a0319c60000000006021d84?xsec_token=ABUGydpp8sZT7bGqSkfVTRrHid3PrB1nq-JdnXf8CTZ_Y=</t>
  </si>
  <si>
    <t>6a0319c60000000006021d84</t>
  </si>
  <si>
    <t>打到了一辆很不错的车</t>
  </si>
  <si>
    <t>按点滴</t>
  </si>
  <si>
    <t>https://www.xiaohongshu.com/explore/6a015f1700000000380356d7?xsec_token=ABMDY_ifAXf43glQ4iD8PYNaniy7YBsqf9b7hzbiqag-s=&amp;xsec_source=pc_search</t>
  </si>
  <si>
    <t>6a015f1700000000380356d7</t>
  </si>
  <si>
    <t>在波哥大打到滴滴宠物快车🇨🇴</t>
  </si>
  <si>
    <t>半眠</t>
  </si>
  <si>
    <t>https://www.xiaohongshu.com/explore/6a0418bf0000000036003c40?xsec_token=AB19yGNDIZJ8ti3fP2rXuFyZ6Z-lDwCZBwbGotTrdV23k=&amp;xsec_source=pc_search</t>
  </si>
  <si>
    <t>6a0418bf0000000036003c40</t>
  </si>
  <si>
    <t>一个女司机的无声温柔</t>
  </si>
  <si>
    <t>Dracula🐶</t>
  </si>
  <si>
    <t>https://www.xiaohongshu.com/explore/6a03ef13000000003700e895?xsec_token=ABUGydpp8sZT7bGqSkfVTRrPwiu4gyIv_qx90a962TmYA=&amp;xsec_source=pc_search</t>
  </si>
  <si>
    <t>6a03ef13000000003700e895</t>
  </si>
  <si>
    <t>网约车碰一个到新疆司机</t>
  </si>
  <si>
    <t>五分糖全甜</t>
  </si>
  <si>
    <t>https://www.xiaohongshu.com/explore/6a043375000000003501ceb1?xsec_token=AB19yGNDIZJ8ti3fP2rXuFyRJoCGskAnp4wRqybahT-RU=</t>
  </si>
  <si>
    <t>6a043375000000003501ceb1</t>
  </si>
  <si>
    <t>好可爱的滴滴司机</t>
  </si>
  <si>
    <t>feibee</t>
  </si>
  <si>
    <t>https://www.xiaohongshu.com/explore/6a046b14000000000702a3b5?xsec_token=AB19yGNDIZJ8ti3fP2rXuFyYzgr_uZIkxb4zFf3gO10O8=&amp;xsec_source=pc_search</t>
  </si>
  <si>
    <t>6a046b14000000000702a3b5</t>
  </si>
  <si>
    <t>我爱滴滴女司机</t>
  </si>
  <si>
    <t>是小陈同学呀（实习版）</t>
  </si>
  <si>
    <t>https://www.xiaohongshu.com/explore/6a0469a50000000008030b80?xsec_token=AB19yGNDIZJ8ti3fP2rXuFyY3zvWAaub09cgIoWuZmGto=&amp;xsec_source=pc_search</t>
  </si>
  <si>
    <t>6a0469a50000000008030b80</t>
  </si>
  <si>
    <t>新时代女性的安全出行</t>
  </si>
  <si>
    <t>https://www.xiaohongshu.com/explore/6a045c91000000003700d056?xsec_token=AB19yGNDIZJ8ti3fP2rXuFyaf1zFDYzeXYNexiBPTQHbY=&amp;xsec_source=pc_search</t>
  </si>
  <si>
    <t>6a045c91000000003700d056</t>
  </si>
  <si>
    <t>偶遇同担</t>
  </si>
  <si>
    <t>睡觉专业户</t>
  </si>
  <si>
    <t>https://www.xiaohongshu.com/explore/6a04598d0000000035023cee?xsec_token=AB19yGNDIZJ8ti3fP2rXuFySN9b_R401g8JkajaJ9r29E=&amp;xsec_source=pc_search</t>
  </si>
  <si>
    <t>6a04598d0000000035023cee</t>
  </si>
  <si>
    <t>记录在北京遇到的善良司机姐姐</t>
  </si>
  <si>
    <t>https://www.xiaohongshu.com/explore/6a0439ad0000000036033ee4?xsec_token=AB19yGNDIZJ8ti3fP2rXuFyQJIhmwnZmNbhu_vtK2KefQ=&amp;xsec_source=pc_search&amp;source=web_note_detail_r10</t>
  </si>
  <si>
    <t>6a0439ad0000000036033ee4</t>
  </si>
  <si>
    <t>他说这是他接过最乖的乘客</t>
  </si>
  <si>
    <t>jimmy先生是我的大宝贝呀</t>
  </si>
  <si>
    <t>https://www.xiaohongshu.com/explore/6a0437f600000000070122fd?xsec_token=AB19yGNDIZJ8ti3fP2rXuFyaqzX_0syO4UU72X5pnSLog=&amp;xsec_source=pc_search&amp;source=web_note_detail_r10</t>
  </si>
  <si>
    <t>6a0437f600000000070122fd</t>
  </si>
  <si>
    <t>🍄我有一个很爱很爱很爱我的小狗</t>
  </si>
  <si>
    <t>https://www.xiaohongshu.com/explore/6a041bbf0000000038037d42?xsec_token=AB19yGNDIZJ8ti3fP2rXuFyekuWpqAfJnKvoyHP5H9I9E=&amp;xsec_source=pc_search&amp;source=web_search_result_notes&amp;exSource=https://my.feishu.cn/</t>
  </si>
  <si>
    <t>6a041bbf0000000038037d42</t>
  </si>
  <si>
    <t>首尔演唱会散场打不到车，一个阿姨说：“我女儿也追星，她现在在美国”</t>
  </si>
  <si>
    <t>火爆的后槽牙</t>
  </si>
  <si>
    <t>https://www.xiaohongshu.com/explore/6a0588ec000000000603655e?xsec_token=ABdRAD_phk1WlZetOXGBETlXHd5bpXMA87JRN5dFOiEjI=&amp;xsec_source=pc_search</t>
  </si>
  <si>
    <t>6a0588ec000000000603655e</t>
  </si>
  <si>
    <t>曝光这个滴滴绝世好司机</t>
  </si>
  <si>
    <t>佩奇大口吃乔治</t>
  </si>
  <si>
    <t>https://www.xiaohongshu.com/explore/6a05d478000000000702a5fd?xsec_token=ABdRAD_phk1WlZetOXGBETlfNvPtylvs66xfjVJjvdhtA=&amp;xsec_source=pc_search</t>
  </si>
  <si>
    <t>6a05d478000000000702a5fd</t>
  </si>
  <si>
    <t>家人们！必须要给滴滴宠物专车狠狠点赞👍</t>
  </si>
  <si>
    <t>茹你所愿</t>
  </si>
  <si>
    <t>https://www.xiaohongshu.com/explore/6a05a83700000000070281e9?xsec_token=ABdRAD_phk1WlZetOXGBETlWPqpm8Dt5G2igt8vaRy8bs=&amp;xsec_source=pc_search</t>
  </si>
  <si>
    <t>6a05a83700000000070281e9</t>
  </si>
  <si>
    <t>纪念我在北京打车遇到的老派司机姐姐</t>
  </si>
  <si>
    <t>朱汁文</t>
  </si>
  <si>
    <t>https://www.xiaohongshu.com/explore/6a0b2c92000000003501eb92?xsec_token=ABSh5LZ7oqI4X51MmHsTwJ26z966ZxiyFh4ACmQOIpVw8=&amp;xsec_source=pc_search</t>
  </si>
  <si>
    <t>6a0b2c92000000003501eb92</t>
  </si>
  <si>
    <t>打到黄仁勋在什刹海的迈巴赫了</t>
  </si>
  <si>
    <t>Savi</t>
  </si>
  <si>
    <t>https://www.xiaohongshu.com/explore/6a0f90e70000000036033d81?xsec_token=ABYM9RCRC7N0P5B2FWcGAocTrr2RqnlEyInEO2i3u4kFM=&amp;xsec_source=pc_search&amp;source=web_explore_feed</t>
  </si>
  <si>
    <t>6a0f90e70000000036033d81</t>
  </si>
  <si>
    <t>晚上叫了女性优先，司机说“我女儿也上大学”</t>
  </si>
  <si>
    <t>娴菜ovo</t>
  </si>
  <si>
    <t>https://www.xiaohongshu.com/explore/6a0ede3d0000000035038e85?xsec_token=AB4GV38jFFqgm3TMJ-nHEVkYt84aeP8HDEnET8H8bTKzg=&amp;xsec_source=pc_search</t>
  </si>
  <si>
    <t>6a0ede3d0000000035038e85</t>
  </si>
  <si>
    <t>司机替我说出了“不结婚也没事”</t>
  </si>
  <si>
    <t>TiMi视频</t>
  </si>
  <si>
    <t>https://www.xiaohongshu.com/explore/6a1699680000000035039b6f?source=webshare&amp;xhsshare=pc_web&amp;xsec_token=CBjo7cxXH3SRqsRbXebnT6kWk9o8HKY7hdl9oFRt13snc=&amp;xsec_source=pc_share</t>
  </si>
  <si>
    <t>6a1699680000000035039b6f</t>
  </si>
  <si>
    <t>滴滴大叔的话 治愈焦虑的我</t>
  </si>
  <si>
    <t>小麦当打工记（减肥版）</t>
  </si>
  <si>
    <t>https://www.xiaohongshu.com/explore/6a1828080000000006033d4d?xsec_token=ABeCeeIQhmQb3WkzfAON5qvHvAzKVJvqZLnvaI4RXE3-o=&amp;source=web_explore_feed</t>
  </si>
  <si>
    <t>6a1828080000000006033d4d</t>
  </si>
  <si>
    <t>滴滴女性友好是对男性的霸凌吗？</t>
  </si>
  <si>
    <t>万事顺意🌈</t>
  </si>
  <si>
    <t>https://www.xiaohongshu.com/explore/6a18187f00000000060205c0?xsec_token=ABXW9ehr4jSOOeAchPEo22Dz10rrAKO4JkTIRwA6q1evY=&amp;xsec_source=pc_search&amp;source=web_explore_feed</t>
  </si>
  <si>
    <t>6a18187f00000000060205c0</t>
  </si>
  <si>
    <t>被这辆小橘子巴士硬控了🍊</t>
  </si>
  <si>
    <t>听雪客舟中</t>
  </si>
  <si>
    <t>https://www.xiaohongshu.com/explore/6a1b03320000000007023416?source=webshare&amp;xhsshare=pc_web&amp;xsec_token=ABVu2Ikww7Yvsqdp5W-WvR7mlO887D0zq7sUVZxpojDsM=&amp;xsec_source=pc_share</t>
  </si>
  <si>
    <t>6a1b03320000000007023416</t>
  </si>
  <si>
    <t>实测！！丽江古城到大理古城的站点巴士！！</t>
  </si>
  <si>
    <t>投放CPE</t>
  </si>
  <si>
    <t>金属粒</t>
  </si>
  <si>
    <t>https://www.xiaohongshu.com/explore/6a1d60a9000000003503bd43?xsec_token=AB_KFYS2vULnjigWis5sAwdHw6HPJwTOyMKFBoQ8vmLRs=&amp;source=web_explore_feed</t>
  </si>
  <si>
    <t>6a1d60a9000000003503bd43</t>
  </si>
  <si>
    <t>演唱会散场后打车打到女司机</t>
  </si>
  <si>
    <t>贪吃的猫</t>
  </si>
  <si>
    <t>https://www.xiaohongshu.com/explore/6a1d4d55000000003503be4c?xsec_token=AB_KFYS2vULnjigWis5sAwdKtgbLSP6R6cGz6fTfsT0LQ=&amp;source=web_explore_feed</t>
  </si>
  <si>
    <t>6a1d4d55000000003503be4c</t>
  </si>
  <si>
    <t>加班到快十二点，出门时外面已是暴雨如注。我用了滴滴她计划，优先匹配到一位女司机。</t>
  </si>
  <si>
    <t>大太阳要努力</t>
  </si>
  <si>
    <t>https://www.xiaohongshu.com/explore/6a1c42830000000035024247?note_flow_source=wechat&amp;xsec_token=CBy2FGghjeNOtAPK8dW61S2K0iIY4APzag2SzR3BP8HZc=</t>
  </si>
  <si>
    <t>6a1c42830000000035024247</t>
  </si>
  <si>
    <t>刚从吉林回来！！淡人24h旅游攻略（附路线）</t>
  </si>
  <si>
    <t>是魏魏a</t>
  </si>
  <si>
    <t>https://www.xiaohongshu.com/explore/6a1bb58a000000003601c0d3?app_platform=ios&amp;app_version=9.32.2&amp;share_from_user_hidden=true&amp;xsec_source=app_share&amp;type=normal&amp;xsec_token=CBZBjDiJTiBznrXYqTCM4u5yo8-UH-yvB5Y0F79fniRd0=&amp;author_share=1&amp;xhsshare=CopyLink&amp;shareRedId=N0hDMURIPUI7Oks5Qk4wNjY0PD1KPjhM&amp;apptime=1780225753&amp;share_id=6e079c94072f485db15c49a71219de3b</t>
  </si>
  <si>
    <t>6a1bb58a000000003601c0d3</t>
  </si>
  <si>
    <t>吉林马拉松｜那片橙色真的太治愈了</t>
  </si>
  <si>
    <t>小鹿泡芙🦌</t>
  </si>
  <si>
    <t>https://www.xiaohongshu.com/explore/6a1c0e4a000000003600117f?app_platform=ios&amp;app_version=9.32.2&amp;share_from_user_hidden=true&amp;xsec_source=app_share&amp;type=normal&amp;xsec_token=CBVaOt65qTlBrjpLv7ic8e6qLwqH3AWsvKmTaN0A6KGsg=&amp;author_share=1&amp;xhsshare=CopyLink&amp;shareRedId=OD47QUk3NUs2NzUyOTgwNjc8OTdJNj1K&amp;apptime=1780224568&amp;share_id=155d8c9ac34c4ccf8390c8d8df8fe1db</t>
  </si>
  <si>
    <t>6a1c0e4a000000003600117f</t>
  </si>
  <si>
    <t>吉林马拉松打卡✅</t>
  </si>
  <si>
    <t>Alex_Undefined</t>
  </si>
  <si>
    <t>https://www.xiaohongshu.com/explore/6a20c28b0000000035025767?app_platform=ios&amp;app_version=9.33.2&amp;share_from_user_hidden=true&amp;xsec_source=app_share&amp;type=normal&amp;xsec_token=CBavQdohy-cZxpMc7sfNubApugkM2W6BAjP6KpSLa86ac=&amp;author_share=1&amp;xhsshare=CopyLink&amp;shareRedId=ODo4MUY6OEo2NzUyOTgwNjczOTk4PD45&amp;apptime=1780655165&amp;share_id=6fc1a84fb7744cf8a5c344ae4302024b</t>
  </si>
  <si>
    <t>6a20c28b0000000035025767</t>
  </si>
  <si>
    <t>在没有异味的滴滴里听一个中年男人崩盘重启</t>
  </si>
  <si>
    <t>雨散-不拘一格</t>
  </si>
  <si>
    <t>https://www.xiaohongshu.com/explore/6a22ddc9000000001702a5c5?xsec_token=ABpke63dIVqT2RLvXt_VGhuLaDBKqsCr8sTuLPwFApwLs=&amp;source=web_explore_feed</t>
  </si>
  <si>
    <t>6a22ddc9000000001702a5c5</t>
  </si>
  <si>
    <t>打车打到迈巴赫S680，这次真的误闯天家了！</t>
  </si>
  <si>
    <t>滴滴专车</t>
  </si>
  <si>
    <t>杨小坨</t>
  </si>
  <si>
    <t>https://www.xiaohongshu.com/explore/6a22e03c0000000021015ba9?xsec_token=ABj68FdOzHVJPtaigypuKt-TttIJBnHFAi-6E1zdoPUwI=&amp;source=web_explore_feed</t>
  </si>
  <si>
    <t>6a22e03c0000000021015ba9</t>
  </si>
  <si>
    <t>带娃体验网约公交车🚌</t>
  </si>
  <si>
    <t>小如梦</t>
  </si>
  <si>
    <t>https://www.xiaohongshu.com/explore/6a2b6fb8000000002101ae37?xsec_token=ABvHq-DDj2nKeD7f6dy17-3hayBjeUtb5TIfsekgbQuNY=&amp;xsec_source=pc_search&amp;source=web_explore_feed</t>
  </si>
  <si>
    <t>6a2b6fb8000000002101ae37</t>
  </si>
  <si>
    <t>体验新的出行方式！！天津网约公交🚌</t>
  </si>
  <si>
    <t>投放日期</t>
  </si>
  <si>
    <t>投放预算</t>
  </si>
  <si>
    <t>投放状态</t>
  </si>
  <si>
    <t>实际投放消耗金额</t>
  </si>
  <si>
    <t>投放带来点赞量</t>
  </si>
  <si>
    <t>投放带来收藏量</t>
  </si>
  <si>
    <t>投放带来评论量</t>
  </si>
  <si>
    <t>投放带来互动量</t>
  </si>
  <si>
    <t>消耗截图</t>
  </si>
  <si>
    <t>✅</t>
  </si>
  <si>
    <t>https://www.xiaohongshu.com/explore/69f1c29d0000000023005a50?app_platform=ios&amp;app_version=9.28&amp;share_from_user_hidden=true&amp;xsec_source=app_share&amp;type=normal&amp;xsec_token=CBg2gaKUnCxg2ud8iQCl-jr45B4wRjJaReZTBWhc6ZI6I=&amp;author_share=1&amp;xhsshare=WeixinSession&amp;shareRedId=ODY6NTk5Nzs2NzUyOTgwNjY0OTc8OTxC&amp;apptime=1777472867&amp;share_id=df9fcb8ddf8e446c9a5118d8d3317c00&amp;code=2G20cXCQnO</t>
  </si>
  <si>
    <t>❌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</si>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</sst>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\(0.00\)"/>
    <numFmt numFmtId="177" formatCode="yyyy/mm/dd"/>
    <numFmt numFmtId="178" formatCode="\¥#,##0.00"/>
  </numFmts>
  <fonts count="12">
    <font>
      <sz val="10"/>
      <color theme="1"/>
      <name val="等线"/>
      <family val="2"/>
      <scheme val="minor"/>
    </font>
    <font>
      <b/>
      <sz val="10"/>
      <color rgb="FF000000"/>
      <name val="等线"/>
      <family val="2"/>
      <scheme val="minor"/>
    </font>
    <font>
      <sz val="10"/>
      <color rgb="FF000000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color rgb="FF000000"/>
      <name val="等线"/>
      <family val="2"/>
      <scheme val="minor"/>
    </font>
    <font>
      <sz val="10"/>
      <color rgb="FF000000"/>
      <name val="Arial"/>
      <family val="2"/>
    </font>
    <font>
      <sz val="11"/>
      <color rgb="FF000000"/>
      <name val="等线"/>
      <family val="2"/>
      <scheme val="minor"/>
    </font>
    <font>
      <u/>
      <sz val="10"/>
      <color rgb="FF0000EE"/>
      <name val="等线"/>
      <family val="2"/>
      <scheme val="minor"/>
    </font>
    <font>
      <sz val="12"/>
      <color rgb="FF333333"/>
      <name val="等线"/>
      <family val="2"/>
      <scheme val="minor"/>
    </font>
    <font>
      <sz val="11"/>
      <color rgb="FF262626"/>
      <name val="等线"/>
      <family val="2"/>
      <scheme val="minor"/>
    </font>
    <font>
      <sz val="10"/>
      <color rgb="FF333333"/>
      <name val="等线"/>
      <family val="2"/>
      <scheme val="minor"/>
    </font>
    <font>
      <sz val="9"/>
      <name val="等线"/>
      <family val="3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8F9FA"/>
      </patternFill>
    </fill>
    <fill>
      <patternFill patternType="solid">
        <fgColor rgb="FFDBEAFE"/>
      </patternFill>
    </fill>
    <fill>
      <patternFill patternType="solid">
        <fgColor rgb="FFD1FAE5"/>
      </patternFill>
    </fill>
    <fill>
      <patternFill patternType="solid">
        <fgColor rgb="FFFBFBFB"/>
      </patternFill>
    </fill>
    <fill>
      <patternFill patternType="solid">
        <fgColor rgb="FFFCFCFC"/>
      </patternFill>
    </fill>
    <fill>
      <patternFill patternType="solid">
        <fgColor rgb="FFFDFDFD"/>
      </patternFill>
    </fill>
    <fill>
      <patternFill patternType="solid">
        <fgColor rgb="FFFEF9C3"/>
      </patternFill>
    </fill>
    <fill>
      <patternFill patternType="solid">
        <fgColor rgb="FF34C724"/>
      </patternFill>
    </fill>
    <fill>
      <patternFill patternType="solid">
        <fgColor rgb="FFF8F9FA"/>
      </patternFill>
    </fill>
    <fill>
      <patternFill patternType="solid">
        <fgColor rgb="FFDBEAFE"/>
      </patternFill>
    </fill>
    <fill>
      <patternFill patternType="solid">
        <fgColor rgb="FFFAFAFA"/>
      </patternFill>
    </fill>
    <fill>
      <patternFill patternType="solid">
        <fgColor rgb="FFFEF9C3"/>
      </patternFill>
    </fill>
    <fill>
      <patternFill patternType="solid">
        <fgColor rgb="FFFCFCFC"/>
      </patternFill>
    </fill>
    <fill>
      <patternFill patternType="solid">
        <fgColor rgb="FFFBFBFB"/>
      </patternFill>
    </fill>
    <fill>
      <patternFill patternType="solid">
        <fgColor rgb="FFD1FAE5"/>
      </patternFill>
    </fill>
    <fill>
      <patternFill patternType="solid">
        <fgColor rgb="FF34C724"/>
      </patternFill>
    </fill>
    <fill>
      <patternFill patternType="solid">
        <fgColor rgb="FFE0E7FF"/>
      </patternFill>
    </fill>
    <fill>
      <patternFill patternType="solid">
        <fgColor rgb="FFF8F9FA"/>
      </patternFill>
    </fill>
    <fill>
      <patternFill patternType="solid">
        <fgColor rgb="FFDBEAFE"/>
      </patternFill>
    </fill>
    <fill>
      <patternFill patternType="solid">
        <fgColor rgb="FFD1FAE5"/>
      </patternFill>
    </fill>
    <fill>
      <patternFill patternType="solid">
        <fgColor rgb="FFE0E7FF"/>
      </patternFill>
    </fill>
    <fill>
      <patternFill patternType="solid">
        <fgColor rgb="FFFCE7F3"/>
      </patternFill>
    </fill>
    <fill>
      <patternFill patternType="solid">
        <fgColor rgb="FFFEF9C3"/>
      </patternFill>
    </fill>
    <fill>
      <patternFill patternType="solid">
        <fgColor rgb="FFFFF258"/>
      </patternFill>
    </fill>
    <fill>
      <patternFill patternType="solid">
        <fgColor rgb="FFFBFBFB"/>
      </patternFill>
    </fill>
    <fill>
      <patternFill patternType="solid">
        <fgColor rgb="FFFAFAFA"/>
      </patternFill>
    </fill>
    <fill>
      <patternFill patternType="solid">
        <fgColor rgb="FFF8F9FA"/>
      </patternFill>
    </fill>
    <fill>
      <patternFill patternType="solid">
        <fgColor rgb="FFD1FAE5"/>
      </patternFill>
    </fill>
    <fill>
      <patternFill patternType="solid">
        <fgColor rgb="FFDBEAFE"/>
      </patternFill>
    </fill>
    <fill>
      <patternFill patternType="solid">
        <fgColor rgb="FFE0E7FF"/>
      </patternFill>
    </fill>
    <fill>
      <patternFill patternType="solid">
        <fgColor rgb="FF34C724"/>
      </patternFill>
    </fill>
    <fill>
      <patternFill patternType="solid">
        <fgColor rgb="FFF8F9FA"/>
      </patternFill>
    </fill>
    <fill>
      <patternFill patternType="solid">
        <fgColor rgb="FFEEF6C6"/>
      </patternFill>
    </fill>
    <fill>
      <patternFill patternType="solid">
        <fgColor rgb="FFD5F6F2"/>
      </patternFill>
    </fill>
    <fill>
      <patternFill patternType="solid">
        <fgColor rgb="FFFAF1D1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6"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2" fillId="0" borderId="0" xfId="0" applyFont="1" applyAlignment="1">
      <alignment vertical="center"/>
    </xf>
    <xf numFmtId="176" fontId="1" fillId="2" borderId="0" xfId="0" applyNumberFormat="1" applyFont="1" applyFill="1" applyAlignment="1">
      <alignment horizontal="center" vertical="center"/>
    </xf>
    <xf numFmtId="14" fontId="2" fillId="0" borderId="0" xfId="0" applyNumberFormat="1" applyFont="1" applyAlignment="1">
      <alignment horizontal="right" wrapText="1"/>
    </xf>
    <xf numFmtId="14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77" fontId="4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" fontId="3" fillId="0" borderId="0" xfId="0" applyNumberFormat="1" applyFont="1" applyAlignment="1">
      <alignment horizontal="right" vertical="center"/>
    </xf>
    <xf numFmtId="4" fontId="3" fillId="0" borderId="0" xfId="0" applyNumberFormat="1" applyFont="1" applyAlignment="1">
      <alignment vertical="center"/>
    </xf>
    <xf numFmtId="0" fontId="5" fillId="3" borderId="1" xfId="0" applyFont="1" applyFill="1" applyBorder="1" applyAlignment="1">
      <alignment vertical="center" wrapText="1"/>
    </xf>
    <xf numFmtId="0" fontId="3" fillId="0" borderId="0" xfId="0" applyFont="1" applyAlignment="1">
      <alignment horizontal="right" vertical="center"/>
    </xf>
    <xf numFmtId="0" fontId="6" fillId="0" borderId="2" xfId="0" applyFont="1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4" fillId="0" borderId="2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2" fillId="5" borderId="0" xfId="0" applyFont="1" applyFill="1" applyAlignment="1">
      <alignment horizontal="right" vertical="center" wrapText="1"/>
    </xf>
    <xf numFmtId="0" fontId="8" fillId="0" borderId="0" xfId="0" applyFont="1" applyAlignment="1">
      <alignment vertical="center" wrapText="1"/>
    </xf>
    <xf numFmtId="0" fontId="4" fillId="6" borderId="0" xfId="0" applyFont="1" applyFill="1" applyAlignment="1">
      <alignment horizontal="right" vertical="center" wrapText="1"/>
    </xf>
    <xf numFmtId="0" fontId="4" fillId="5" borderId="0" xfId="0" applyFont="1" applyFill="1" applyAlignment="1">
      <alignment horizontal="right" vertical="center" wrapText="1"/>
    </xf>
    <xf numFmtId="0" fontId="4" fillId="7" borderId="0" xfId="0" applyFont="1" applyFill="1" applyAlignment="1">
      <alignment horizontal="right" vertical="center" wrapText="1"/>
    </xf>
    <xf numFmtId="0" fontId="5" fillId="8" borderId="1" xfId="0" applyFont="1" applyFill="1" applyBorder="1" applyAlignment="1">
      <alignment vertical="center" wrapText="1"/>
    </xf>
    <xf numFmtId="4" fontId="3" fillId="9" borderId="0" xfId="0" applyNumberFormat="1" applyFont="1" applyFill="1" applyAlignment="1">
      <alignment horizontal="right" vertical="center"/>
    </xf>
    <xf numFmtId="0" fontId="6" fillId="0" borderId="2" xfId="0" applyFont="1" applyBorder="1" applyAlignment="1">
      <alignment horizontal="left" vertical="center" wrapText="1"/>
    </xf>
    <xf numFmtId="0" fontId="1" fillId="10" borderId="0" xfId="0" applyFont="1" applyFill="1" applyAlignment="1">
      <alignment horizontal="center" vertical="center"/>
    </xf>
    <xf numFmtId="176" fontId="1" fillId="10" borderId="0" xfId="0" applyNumberFormat="1" applyFont="1" applyFill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0" fontId="5" fillId="11" borderId="3" xfId="0" applyFont="1" applyFill="1" applyBorder="1" applyAlignment="1">
      <alignment vertical="center" wrapText="1"/>
    </xf>
    <xf numFmtId="0" fontId="6" fillId="0" borderId="4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12" borderId="0" xfId="0" applyFont="1" applyFill="1" applyAlignment="1">
      <alignment horizontal="center" vertical="center" wrapText="1"/>
    </xf>
    <xf numFmtId="0" fontId="5" fillId="13" borderId="3" xfId="0" applyFont="1" applyFill="1" applyBorder="1" applyAlignment="1">
      <alignment vertical="center" wrapText="1"/>
    </xf>
    <xf numFmtId="0" fontId="2" fillId="14" borderId="0" xfId="0" applyFont="1" applyFill="1" applyAlignment="1">
      <alignment horizontal="center" vertical="center" wrapText="1"/>
    </xf>
    <xf numFmtId="0" fontId="2" fillId="15" borderId="0" xfId="0" applyFont="1" applyFill="1" applyAlignment="1">
      <alignment horizontal="center" vertical="center" wrapText="1"/>
    </xf>
    <xf numFmtId="0" fontId="5" fillId="16" borderId="3" xfId="0" applyFont="1" applyFill="1" applyBorder="1" applyAlignment="1">
      <alignment vertical="center" wrapText="1"/>
    </xf>
    <xf numFmtId="0" fontId="2" fillId="12" borderId="0" xfId="0" applyFont="1" applyFill="1" applyAlignment="1">
      <alignment horizontal="center" vertical="center" wrapText="1"/>
    </xf>
    <xf numFmtId="4" fontId="3" fillId="17" borderId="0" xfId="0" applyNumberFormat="1" applyFont="1" applyFill="1" applyAlignment="1">
      <alignment horizontal="center" vertical="center"/>
    </xf>
    <xf numFmtId="0" fontId="5" fillId="18" borderId="3" xfId="0" applyFont="1" applyFill="1" applyBorder="1" applyAlignment="1">
      <alignment vertical="center" wrapText="1"/>
    </xf>
    <xf numFmtId="0" fontId="1" fillId="19" borderId="0" xfId="0" applyFont="1" applyFill="1" applyAlignment="1">
      <alignment horizontal="center" vertical="center"/>
    </xf>
    <xf numFmtId="178" fontId="1" fillId="19" borderId="0" xfId="0" applyNumberFormat="1" applyFont="1" applyFill="1" applyAlignment="1">
      <alignment horizontal="center" vertical="center"/>
    </xf>
    <xf numFmtId="0" fontId="1" fillId="19" borderId="0" xfId="0" applyFont="1" applyFill="1" applyAlignment="1">
      <alignment horizontal="left" vertical="center"/>
    </xf>
    <xf numFmtId="176" fontId="1" fillId="19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178" fontId="3" fillId="0" borderId="0" xfId="0" applyNumberFormat="1" applyFont="1" applyAlignment="1">
      <alignment horizontal="center" vertical="center"/>
    </xf>
    <xf numFmtId="0" fontId="5" fillId="20" borderId="5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/>
    </xf>
    <xf numFmtId="0" fontId="5" fillId="21" borderId="5" xfId="0" applyFont="1" applyFill="1" applyBorder="1" applyAlignment="1">
      <alignment horizontal="left" vertical="center" wrapText="1"/>
    </xf>
    <xf numFmtId="0" fontId="5" fillId="22" borderId="5" xfId="0" applyFont="1" applyFill="1" applyBorder="1" applyAlignment="1">
      <alignment horizontal="left" vertical="center" wrapText="1"/>
    </xf>
    <xf numFmtId="0" fontId="5" fillId="23" borderId="5" xfId="0" applyFont="1" applyFill="1" applyBorder="1" applyAlignment="1">
      <alignment horizontal="left" vertical="center" wrapText="1"/>
    </xf>
    <xf numFmtId="0" fontId="2" fillId="0" borderId="6" xfId="0" applyFont="1" applyBorder="1" applyAlignment="1">
      <alignment horizontal="center" vertical="center"/>
    </xf>
    <xf numFmtId="0" fontId="5" fillId="24" borderId="5" xfId="0" applyFont="1" applyFill="1" applyBorder="1" applyAlignment="1">
      <alignment horizontal="left" vertical="center" wrapText="1"/>
    </xf>
    <xf numFmtId="58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5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0" fillId="25" borderId="0" xfId="0" applyFont="1" applyFill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178" fontId="2" fillId="26" borderId="0" xfId="0" applyNumberFormat="1" applyFont="1" applyFill="1" applyAlignment="1">
      <alignment horizontal="center" vertical="center" wrapText="1"/>
    </xf>
    <xf numFmtId="178" fontId="2" fillId="27" borderId="0" xfId="0" applyNumberFormat="1" applyFont="1" applyFill="1" applyAlignment="1">
      <alignment horizontal="center" vertical="center" wrapText="1"/>
    </xf>
    <xf numFmtId="0" fontId="1" fillId="28" borderId="0" xfId="0" applyFont="1" applyFill="1" applyAlignment="1">
      <alignment horizontal="center" vertical="center"/>
    </xf>
    <xf numFmtId="178" fontId="1" fillId="28" borderId="0" xfId="0" applyNumberFormat="1" applyFont="1" applyFill="1" applyAlignment="1">
      <alignment horizontal="center" vertical="center"/>
    </xf>
    <xf numFmtId="176" fontId="1" fillId="28" borderId="0" xfId="0" applyNumberFormat="1" applyFont="1" applyFill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5" fillId="29" borderId="7" xfId="0" applyFont="1" applyFill="1" applyBorder="1" applyAlignment="1">
      <alignment horizontal="center" vertical="center" wrapText="1"/>
    </xf>
    <xf numFmtId="0" fontId="5" fillId="30" borderId="7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5" fillId="31" borderId="7" xfId="0" applyFont="1" applyFill="1" applyBorder="1" applyAlignment="1">
      <alignment horizontal="center" vertical="center" wrapText="1"/>
    </xf>
    <xf numFmtId="176" fontId="3" fillId="32" borderId="0" xfId="0" applyNumberFormat="1" applyFont="1" applyFill="1" applyAlignment="1">
      <alignment horizontal="center" vertical="center"/>
    </xf>
    <xf numFmtId="0" fontId="1" fillId="33" borderId="0" xfId="0" applyFont="1" applyFill="1" applyAlignment="1">
      <alignment horizontal="center" vertical="center"/>
    </xf>
    <xf numFmtId="178" fontId="1" fillId="33" borderId="0" xfId="0" applyNumberFormat="1" applyFont="1" applyFill="1" applyAlignment="1">
      <alignment horizontal="center" vertical="center"/>
    </xf>
    <xf numFmtId="178" fontId="3" fillId="34" borderId="0" xfId="0" applyNumberFormat="1" applyFont="1" applyFill="1" applyAlignment="1">
      <alignment horizontal="center" vertical="center"/>
    </xf>
    <xf numFmtId="0" fontId="2" fillId="35" borderId="0" xfId="0" applyFont="1" applyFill="1" applyAlignment="1">
      <alignment horizontal="center" vertical="center"/>
    </xf>
    <xf numFmtId="178" fontId="3" fillId="36" borderId="0" xfId="0" applyNumberFormat="1" applyFont="1" applyFill="1" applyAlignment="1">
      <alignment horizontal="center" vertical="center"/>
    </xf>
    <xf numFmtId="0" fontId="3" fillId="35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9" borderId="0" xfId="0" applyFont="1" applyFill="1" applyAlignment="1">
      <alignment horizontal="center" vertical="center"/>
    </xf>
    <xf numFmtId="0" fontId="1" fillId="28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xiaohongshu.com/explore/69bd06ac000000001b002b73?xsec_token=AB5RX-GjFoRjnmp2fjU04ktpYbTZrI4WMMJP3fh0bscCE=" TargetMode="External"/><Relationship Id="rId21" Type="http://schemas.openxmlformats.org/officeDocument/2006/relationships/hyperlink" Target="https://www.xiaohongshu.com/explore/69a96dec000000000e00faab?xsec_token=ABinpLgNAriBkbhkwVaaqtM63P_ZB7O3UC_oyaPE9wiK4=" TargetMode="External"/><Relationship Id="rId42" Type="http://schemas.openxmlformats.org/officeDocument/2006/relationships/hyperlink" Target="https://www.xiaohongshu.com/explore/69afa32b000000001b0166d5?xsec_token=ABcOPnb0grNW1USjMZaatAjxK5HU98LET8pN82AgU0SHA=" TargetMode="External"/><Relationship Id="rId63" Type="http://schemas.openxmlformats.org/officeDocument/2006/relationships/hyperlink" Target="https://www.xiaohongshu.com/explore/69b88f2a000000001f001ffb?xsec_token=ABy9GdyUHHj8huXADrLRJXmpizJKxK_vzxUCAp4IK8DTw=" TargetMode="External"/><Relationship Id="rId84" Type="http://schemas.openxmlformats.org/officeDocument/2006/relationships/hyperlink" Target="https://www.xiaohongshu.com/explore/69b7f81a000000002200f24c?source=webshare&amp;xhsshare=pc_web&amp;xsec_token=ABclzOmwReMyydPW2joQTjQi73LlGJxUABkBlWR3YOxbA=&amp;xsec_source=pc_share" TargetMode="External"/><Relationship Id="rId138" Type="http://schemas.openxmlformats.org/officeDocument/2006/relationships/hyperlink" Target="https://www.xiaohongshu.com/explore/69c250b0000000001a033d1d?xsec_token=ABqcgmRylZh1W59G1mu8qabzH_O1TKfgniqkdtnVgV-CA=" TargetMode="External"/><Relationship Id="rId159" Type="http://schemas.openxmlformats.org/officeDocument/2006/relationships/hyperlink" Target="https://www.xiaohongshu.com/explore/69c7a0490000000022003edb?xsec_token=ABwM1JOy6Cdlfn6PuZZk4ICs2G2HUnFIkBemxNxzTlyyc=" TargetMode="External"/><Relationship Id="rId170" Type="http://schemas.openxmlformats.org/officeDocument/2006/relationships/hyperlink" Target="https://www.xiaohongshu.com/explore/69ca4ed8000000001a021b67?xsec_token=ABl6QhAT9DB-zoREU_awNvvJviunXafLJtKCN4eRKOybE=" TargetMode="External"/><Relationship Id="rId107" Type="http://schemas.openxmlformats.org/officeDocument/2006/relationships/hyperlink" Target="https://www.xiaohongshu.com/explore/69c09405000000002800ab23?xsec_token=AB5J6D-5Z2lrH4vToiJjqGezn3lZLNR8FbT7MXQfJZbko=" TargetMode="External"/><Relationship Id="rId11" Type="http://schemas.openxmlformats.org/officeDocument/2006/relationships/hyperlink" Target="https://www.xiaohongshu.com/search_result?keyword=%E5%A4%A7%E5%AD%A6%E7%94%9F%E8%BF%94%E6%A0%A1&amp;type=54&amp;source=web_note_detail_r10" TargetMode="External"/><Relationship Id="rId32" Type="http://schemas.openxmlformats.org/officeDocument/2006/relationships/hyperlink" Target="https://www.xiaohongshu.com/explore/69aebe8c000000002303b317?xsec_token=ABahDZd6U7F2gKY1ZKZmEoQRzr6np0tKRpECODpKO7ph4=" TargetMode="External"/><Relationship Id="rId53" Type="http://schemas.openxmlformats.org/officeDocument/2006/relationships/hyperlink" Target="https://www.xiaohongshu.com/explore/69b23c37000000000c009db5?xsec_token=ABdoX6O_JHSaJWE4cS8BMj_AM6kBwr-p3ksJpEHqO7kxU=" TargetMode="External"/><Relationship Id="rId74" Type="http://schemas.openxmlformats.org/officeDocument/2006/relationships/hyperlink" Target="https://www.xiaohongshu.com/explore/69bab19a0000000022024d66?xsec_token=AB1pr7zz5_duWgBKxFlN4SmNtxig-pJquqp-z15Z8I4QM=" TargetMode="External"/><Relationship Id="rId128" Type="http://schemas.openxmlformats.org/officeDocument/2006/relationships/hyperlink" Target="https://www.xiaohongshu.com/explore/69c0f8c80000000023007720?xsec_token=AB5J6D-5Z2lrH4vToiJjqGeyhQBB2BfkB_imShDlYbHUk=" TargetMode="External"/><Relationship Id="rId149" Type="http://schemas.openxmlformats.org/officeDocument/2006/relationships/hyperlink" Target="https://www.xiaohongshu.com/explore/69c3f9aa000000002301d093?xsec_token=ABdpONJOjt_de_peMQG2PK0_NMoMNcLz9EUctmD9fK-Zs=" TargetMode="External"/><Relationship Id="rId5" Type="http://schemas.openxmlformats.org/officeDocument/2006/relationships/hyperlink" Target="https://www.xiaohongshu.com/discovery/item/69a62c050000000022030f93?source=webshare&amp;xhsshare=pc_web&amp;xsec_token=ABp0muHcbaTtF6hVhmEgnmyj7i30JWyr1OZXye5_7ebc8=&amp;xsec_source=pc_share" TargetMode="External"/><Relationship Id="rId95" Type="http://schemas.openxmlformats.org/officeDocument/2006/relationships/hyperlink" Target="https://www.xiaohongshu.com/explore/69bb70700000000023011736" TargetMode="External"/><Relationship Id="rId160" Type="http://schemas.openxmlformats.org/officeDocument/2006/relationships/hyperlink" Target="https://www.xiaohongshu.com/explore/69c6336a00000000210054b4?xsec_token=ABAXyY1WDzJoeoqJny442lVr6T8sFOnp1esNAaxCO-zMU=" TargetMode="External"/><Relationship Id="rId22" Type="http://schemas.openxmlformats.org/officeDocument/2006/relationships/hyperlink" Target="https://www.xiaohongshu.com/explore/69a9b676000000002202c77c?xsec_token=ABinpLgNAriBkbhkwVaaqtM_4_PDzigqfokF3H1vfcYTU=" TargetMode="External"/><Relationship Id="rId43" Type="http://schemas.openxmlformats.org/officeDocument/2006/relationships/hyperlink" Target="https://www.xiaohongshu.com/explore/69af76c0000000001503995d?xsec_token=ABcOPnb0grNW1USjMZaatAj8mWNzd8hRUPkhtlETEosr4=" TargetMode="External"/><Relationship Id="rId64" Type="http://schemas.openxmlformats.org/officeDocument/2006/relationships/hyperlink" Target="https://www.xiaohongshu.com/explore/69b97f4b000000001a025f04?xsec_token=AB98dphKY-NFEQethyEEoheEt7QrFzcolAAGr0aSCjQ38=" TargetMode="External"/><Relationship Id="rId118" Type="http://schemas.openxmlformats.org/officeDocument/2006/relationships/hyperlink" Target="https://www.xiaohongshu.com/explore/69c015000000000023015743?xsec_token=AB5J6D-5Z2lrH4vToiJjqGexDIEVUrPyA0PmM5NK230dQ=" TargetMode="External"/><Relationship Id="rId139" Type="http://schemas.openxmlformats.org/officeDocument/2006/relationships/hyperlink" Target="https://www.xiaohongshu.com/explore/69c24cb9000000001d01cfa9?xsec_token=ABqcgmRylZh1W59G1mu8qabzf1g7Q7NzusqMBFzQ52xEc=" TargetMode="External"/><Relationship Id="rId85" Type="http://schemas.openxmlformats.org/officeDocument/2006/relationships/hyperlink" Target="https://www.xiaohongshu.com/explore/69bcb45e0000000022028502?xsec_token=ABPMsgV-vpoJ3-Y7OMGmYctFIVCr6WI7CA5hKnkP0brps=" TargetMode="External"/><Relationship Id="rId150" Type="http://schemas.openxmlformats.org/officeDocument/2006/relationships/hyperlink" Target="https://www.xiaohongshu.com/explore/69c51f1e000000001f006ad1?xsec_token=ABxbP1LLMZy5jH2HvPmgbg0l74MPtmVpRZGCnkSTBwFuA=" TargetMode="External"/><Relationship Id="rId171" Type="http://schemas.openxmlformats.org/officeDocument/2006/relationships/hyperlink" Target="https://www.xiaohongshu.com/explore/69ca4f35000000001b020437?xsec_token=ABl6QhAT9DB-zoREU_awNvvHvderKdAbB4zo694Zvy44w=" TargetMode="External"/><Relationship Id="rId12" Type="http://schemas.openxmlformats.org/officeDocument/2006/relationships/hyperlink" Target="https://www.xiaohongshu.com/explore/69a69a72000000002603db53?xsec_token=ABvxR5VM6bWTCOtA48xqCfna_NrHkoGWw8-hWuWjFyT4M=" TargetMode="External"/><Relationship Id="rId33" Type="http://schemas.openxmlformats.org/officeDocument/2006/relationships/hyperlink" Target="https://www.xiaohongshu.com/explore/69ae8994000000000d008e1c" TargetMode="External"/><Relationship Id="rId108" Type="http://schemas.openxmlformats.org/officeDocument/2006/relationships/hyperlink" Target="https://www.xiaohongshu.com/explore/69bf60530000000028008789?xsec_token=ABPOYeXkqi8W0XzpKpSvnlc8_DUDXpKtJIVGp7EPV1k3k=" TargetMode="External"/><Relationship Id="rId129" Type="http://schemas.openxmlformats.org/officeDocument/2006/relationships/hyperlink" Target="https://www.xiaohongshu.com/explore/69c203f7000000002102fd4f?xsec_token=ABqcgmRylZh1W59G1mu8qab42ivyejOGRLcUJ0quwfVl8=" TargetMode="External"/><Relationship Id="rId54" Type="http://schemas.openxmlformats.org/officeDocument/2006/relationships/hyperlink" Target="https://www.xiaohongshu.com/explore/69b6b1f70000000021004299?xsec_token=ABxhKnj0hSGD4cm4BEreWtqznxvPpymL5PwIzZzkydGd0=" TargetMode="External"/><Relationship Id="rId75" Type="http://schemas.openxmlformats.org/officeDocument/2006/relationships/hyperlink" Target="https://www.xiaohongshu.com/explore/69baa89200000000210123ef?xsec_token=AB1pr7zz5_duWgBKxFlN4SmIB6GwD8AkqndubUkcpljOM=" TargetMode="External"/><Relationship Id="rId96" Type="http://schemas.openxmlformats.org/officeDocument/2006/relationships/hyperlink" Target="https://www.xiaohongshu.com/explore/69c0b2c2000000001a032410?xsec_token=AB5J6D-5Z2lrH4vToiJjqGe5J9c4w5ad4gF1fuZLY2BZ4=" TargetMode="External"/><Relationship Id="rId140" Type="http://schemas.openxmlformats.org/officeDocument/2006/relationships/hyperlink" Target="https://www.xiaohongshu.com/explore/69c2458c0000000023011a38?xsec_token=ABqcgmRylZh1W59G1mu8qab-UEAuXaXzXKZa2cafg__-o=" TargetMode="External"/><Relationship Id="rId161" Type="http://schemas.openxmlformats.org/officeDocument/2006/relationships/hyperlink" Target="https://www.xiaohongshu.com/explore/69c9da42000000001a029c35?xsec_token=ABO0Y-_R8pz7wpNyVv3Mbex2xbe88kwOxxEcVT-c8wIqI=" TargetMode="External"/><Relationship Id="rId1" Type="http://schemas.openxmlformats.org/officeDocument/2006/relationships/hyperlink" Target="https://www.xiaohongshu.com/explore/69a1791c000000001d010e81?source=webshare&amp;xhsshare=pc_web&amp;xsec_token=ABUfS-RvMXp__59TETeHFmyVM5vzKBFdGWn4rXtF_Kl7w=&amp;xsec_source=pc_share" TargetMode="External"/><Relationship Id="rId6" Type="http://schemas.openxmlformats.org/officeDocument/2006/relationships/hyperlink" Target="https://www.xiaohongshu.com/discovery/item/69a62c050000000022030f93?source=webshare&amp;xhsshare=pc_web&amp;xsec_token=ABp0muHcbaTtF6hVhmEgnmyj7i30JWyr1OZXye5_7ebc8=&amp;xsec_source=pc_share" TargetMode="External"/><Relationship Id="rId23" Type="http://schemas.openxmlformats.org/officeDocument/2006/relationships/hyperlink" Target="https://www.xiaohongshu.com/explore/69aa66f1000000002800bfc8?xsec_token=ABfP4oNWV5tmkPBEICXG5Pbt0nEkg82Q93CPYV198L9R8=" TargetMode="External"/><Relationship Id="rId28" Type="http://schemas.openxmlformats.org/officeDocument/2006/relationships/hyperlink" Target="https://www.xiaohongshu.com/explore/69af7c040000000022022bfa?xsec_token=ABcOPnb0grNW1USjMZaatAj7rGkgq2C77ESfKCNk5AL2I=" TargetMode="External"/><Relationship Id="rId49" Type="http://schemas.openxmlformats.org/officeDocument/2006/relationships/hyperlink" Target="https://www.xiaohongshu.com/explore/69b26090000000000c00b541?xsec_token=ABdoX6O_JHSaJWE4cS8BMj_LXQswDtIxZIZrapG9Y9Y2g=" TargetMode="External"/><Relationship Id="rId114" Type="http://schemas.openxmlformats.org/officeDocument/2006/relationships/hyperlink" Target="https://www.xiaohongshu.com/explore/69bd1d8a000000002301f061?xsec_token=AB5RX-GjFoRjnmp2fjU04ktnpk_Uf9191r18e4OPkGClM=" TargetMode="External"/><Relationship Id="rId119" Type="http://schemas.openxmlformats.org/officeDocument/2006/relationships/hyperlink" Target="https://www.xiaohongshu.com/explore/69c0c7090000000023027b9e?xsec_token=AB5J6D-5Z2lrH4vToiJjqGe89dD1mAnWnAwXilVDrcRkI=" TargetMode="External"/><Relationship Id="rId44" Type="http://schemas.openxmlformats.org/officeDocument/2006/relationships/hyperlink" Target="https://www.xiaohongshu.com/explore/69b21bd0000000001d0138fd?xsec_token=ABdoX6O_JHSaJWE4cS8BMj_B0N9KtS6x8Cvx9-ApbL_mk=" TargetMode="External"/><Relationship Id="rId60" Type="http://schemas.openxmlformats.org/officeDocument/2006/relationships/hyperlink" Target="https://www.xiaohongshu.com/explore/69b89936000000002200e26d?xsec_token=ABy9GdyUHHj8huXADrLRJXms3TyPBUKOrK0lNDLBcMp2A=" TargetMode="External"/><Relationship Id="rId65" Type="http://schemas.openxmlformats.org/officeDocument/2006/relationships/hyperlink" Target="https://www.xiaohongshu.com/explore/69b957a800000000230173fd?xsec_token=AB98dphKY-NFEQethyEEoheGfukpfeYuNu8ayrksslzYc=" TargetMode="External"/><Relationship Id="rId81" Type="http://schemas.openxmlformats.org/officeDocument/2006/relationships/hyperlink" Target="https://www.xiaohongshu.com/explore/69b65943000000001a027ac3?xsec_token=WB34nkkdslWtIDvgdFF-Q5Gt71epM-Osm8_16SCJ6drVM=&amp;xsec_source=pc_ad" TargetMode="External"/><Relationship Id="rId86" Type="http://schemas.openxmlformats.org/officeDocument/2006/relationships/hyperlink" Target="https://www.xiaohongshu.com/explore/69bcb3ca000000001a026eb4?xsec_token=ABPMsgV-vpoJ3-Y7OMGmYctM5cvVpfhC2CLijwfHOIGpI=" TargetMode="External"/><Relationship Id="rId130" Type="http://schemas.openxmlformats.org/officeDocument/2006/relationships/hyperlink" Target="https://www.xiaohongshu.com/explore/69c203f7000000002102fd4f?xsec_token=ABqcgmRylZh1W59G1mu8qab42ivyejOGRLcUJ0quwfVl8=" TargetMode="External"/><Relationship Id="rId135" Type="http://schemas.openxmlformats.org/officeDocument/2006/relationships/hyperlink" Target="https://www.xiaohongshu.com/explore/69c26c960000000023006571?xsec_token=ABqcgmRylZh1W59G1mu8qab7wWRkl1ivNo9IZYJk_nnoY=" TargetMode="External"/><Relationship Id="rId151" Type="http://schemas.openxmlformats.org/officeDocument/2006/relationships/hyperlink" Target="https://www.xiaohongshu.com/explore/69c518a30000000021007de0?xsec_token=ABxbP1LLMZy5jH2HvPmgbg0gjLPrGBGLoT1oWHE0paH7U=" TargetMode="External"/><Relationship Id="rId156" Type="http://schemas.openxmlformats.org/officeDocument/2006/relationships/hyperlink" Target="https://www.xiaohongshu.com/explore/69c77ef6000000002100633d?xsec_token=ABwM1JOy6Cdlfn6PuZZk4IClnxwe9WPHt1e8YKSb05vTk=" TargetMode="External"/><Relationship Id="rId172" Type="http://schemas.openxmlformats.org/officeDocument/2006/relationships/hyperlink" Target="https://www.xiaohongshu.com/explore/69ca36e3000000002102dd99?xsec_token=ABl6QhAT9DB-zoREU_awNvvIFX9tGuao5NhTT-ISNeEnI=" TargetMode="External"/><Relationship Id="rId13" Type="http://schemas.openxmlformats.org/officeDocument/2006/relationships/hyperlink" Target="https://www.xiaohongshu.com/explore/69a69266000000001a0223cc?xsec_token=ABp0muHcbaTtF6hVhmEgnmymhV0Ij4Ko6orZGmGua8KRA=&amp;xsec_source=pc_user" TargetMode="External"/><Relationship Id="rId18" Type="http://schemas.openxmlformats.org/officeDocument/2006/relationships/hyperlink" Target="https://www.xiaohongshu.com/explore/69a9956a000000002303afb2?xsec_token=ABinpLgNAriBkbhkwVaaqtMxW3Gw7pxUavRoUWEUcZ-y8=" TargetMode="External"/><Relationship Id="rId39" Type="http://schemas.openxmlformats.org/officeDocument/2006/relationships/hyperlink" Target="https://www.xiaohongshu.com/explore/69b0f18a000000001d013bce?xsec_token=ABxcM-eyF_j3KzqyE-f6D92REVTX0vME4-GSCNwq1j7sg=" TargetMode="External"/><Relationship Id="rId109" Type="http://schemas.openxmlformats.org/officeDocument/2006/relationships/hyperlink" Target="https://www.xiaohongshu.com/explore/69c010e4000000002102f9dd?xsec_token=AB5J6D-5Z2lrH4vToiJjqGe41Ah-cXzWWa6DTVTo6gXBk=" TargetMode="External"/><Relationship Id="rId34" Type="http://schemas.openxmlformats.org/officeDocument/2006/relationships/hyperlink" Target="https://www.xiaohongshu.com/explore/69aeac570000000016008b38" TargetMode="External"/><Relationship Id="rId50" Type="http://schemas.openxmlformats.org/officeDocument/2006/relationships/hyperlink" Target="https://www.xiaohongshu.com/explore/69b386da0000000006030b1a?xsec_token=ABHvyKgHL3h-usA6hmqw2VudFSla61LsWbIulSwsSxmGM=" TargetMode="External"/><Relationship Id="rId55" Type="http://schemas.openxmlformats.org/officeDocument/2006/relationships/hyperlink" Target="https://www.xiaohongshu.com/explore/69b62cd5000000001f007bf4?xsec_token=ABxhKnj0hSGD4cm4BEreWtq0zmWStGYzKBex-Mtcy9CRw=" TargetMode="External"/><Relationship Id="rId76" Type="http://schemas.openxmlformats.org/officeDocument/2006/relationships/hyperlink" Target="https://www.xiaohongshu.com/explore/69ba81d1000000002102fba5?xsec_token=AB1pr7zz5_duWgBKxFlN4SmNlBGNQPp-WDDg1cz5rStlw=" TargetMode="External"/><Relationship Id="rId97" Type="http://schemas.openxmlformats.org/officeDocument/2006/relationships/hyperlink" Target="https://www.xiaohongshu.com/explore/69c0b0030000000023007285?xsec_token=AB5J6D-5Z2lrH4vToiJjqGe4Q4nFEdnvTM9-rGLU4RXXM=" TargetMode="External"/><Relationship Id="rId104" Type="http://schemas.openxmlformats.org/officeDocument/2006/relationships/hyperlink" Target="https://www.xiaohongshu.com/explore/69bde13f0000000023027446?xsec_token=AB5RX-GjFoRjnmp2fjU04ktkr8L995YYPPX1spvyt6Qlw=" TargetMode="External"/><Relationship Id="rId120" Type="http://schemas.openxmlformats.org/officeDocument/2006/relationships/hyperlink" Target="https://www.xiaohongshu.com/explore/69c0fba7000000001b00079e" TargetMode="External"/><Relationship Id="rId125" Type="http://schemas.openxmlformats.org/officeDocument/2006/relationships/hyperlink" Target="https://www.xiaohongshu.com/explore/69c0ec0e0000000023015098?xsec_token=AB5J6D-5Z2lrH4vToiJjqGe4ZnzuL7l-3PaGtY5EYxeGw=" TargetMode="External"/><Relationship Id="rId141" Type="http://schemas.openxmlformats.org/officeDocument/2006/relationships/hyperlink" Target="https://www.xiaohongshu.com/explore/69c24007000000001f00660b?xsec_token=ABqcgmRylZh1W59G1mu8qab84vtkBJ12CLdzwj0KzSTbk=" TargetMode="External"/><Relationship Id="rId146" Type="http://schemas.openxmlformats.org/officeDocument/2006/relationships/hyperlink" Target="https://www.xiaohongshu.com/explore/69c3c25a000000002800adcc?xsec_token=ABdpONJOjt_de_peMQG2PK04H3mx0I0Sncq8zS5Mh-rSA=" TargetMode="External"/><Relationship Id="rId167" Type="http://schemas.openxmlformats.org/officeDocument/2006/relationships/hyperlink" Target="https://www.xiaohongshu.com/explore/69c77678000000001a027cfa" TargetMode="External"/><Relationship Id="rId7" Type="http://schemas.openxmlformats.org/officeDocument/2006/relationships/hyperlink" Target="https://www.xiaohongshu.com/explore/69a69a950000000015021dc4?xsec_token=ABvxR5VM6bWTCOtA48xqCfnWOCjy16qXPuVrSPFRYzRr0=" TargetMode="External"/><Relationship Id="rId71" Type="http://schemas.openxmlformats.org/officeDocument/2006/relationships/hyperlink" Target="https://www.xiaohongshu.com/explore/69bb56c40000000022000ad3?xsec_token=ABEmVnt27AS9ByoQNUMpJIsCsnFl5yxBFb2Ml8asGLKCU=" TargetMode="External"/><Relationship Id="rId92" Type="http://schemas.openxmlformats.org/officeDocument/2006/relationships/hyperlink" Target="https://www.xiaohongshu.com/explore/69bcca56000000001a034129?xsec_token=ABPMsgV-vpoJ3-Y7OMGmYctJsN16vOFM4_p9doHdemngA=" TargetMode="External"/><Relationship Id="rId162" Type="http://schemas.openxmlformats.org/officeDocument/2006/relationships/hyperlink" Target="https://www.xiaohongshu.com/explore/69c79df900000000210065df?xsec_token=ABwM1JOy6Cdlfn6PuZZk4ICoIV0fZCwkDA6KpjlkUo478=" TargetMode="External"/><Relationship Id="rId2" Type="http://schemas.openxmlformats.org/officeDocument/2006/relationships/hyperlink" Target="https://www.xiaohongshu.com/explore/69a13438000000001a037eb5?source=webshare&amp;xhsshare=pc_web&amp;xsec_token=ABUfS-RvMXp__59TETeHFmyUBKzvnQuCTM5-TEr30k98s=&amp;xsec_source=pc_share" TargetMode="External"/><Relationship Id="rId29" Type="http://schemas.openxmlformats.org/officeDocument/2006/relationships/hyperlink" Target="https://www.xiaohongshu.com/explore/69ae50ea0000000022021855?xsec_token=AB8MBxx4TMDwyvH_4vLDYtp8E9BtUN0Q7GEXFDbTCX9Oo=" TargetMode="External"/><Relationship Id="rId24" Type="http://schemas.openxmlformats.org/officeDocument/2006/relationships/hyperlink" Target="https://www.xiaohongshu.com/explore/69aa5cb3000000000e03c064?xsec_token=ABfP4oNWV5tmkPBEICXG5PbpG4ZZ5WJVhPQ1sR6CqRJAM=" TargetMode="External"/><Relationship Id="rId40" Type="http://schemas.openxmlformats.org/officeDocument/2006/relationships/hyperlink" Target="https://www.xiaohongshu.com/explore/69b01dc1000000001b01ed03?xsec_token=ABxcM-eyF_j3KzqyE-f6D92XpYQ37jZYU5liR-c3cd3uM=" TargetMode="External"/><Relationship Id="rId45" Type="http://schemas.openxmlformats.org/officeDocument/2006/relationships/hyperlink" Target="https://www.xiaohongshu.com/explore/69b136d0000000000b036256?xsec_token=ABy_kBwzk7ZO3VzUAlmz2vDx3V8HpRMt3MENIlXLOrUfI=" TargetMode="External"/><Relationship Id="rId66" Type="http://schemas.openxmlformats.org/officeDocument/2006/relationships/hyperlink" Target="https://www.xiaohongshu.com/explore/69b91593000000001d01df4b?xsec_token=AB98dphKY-NFEQethyEEoheHLCsPOsZJ3B7_r43Hu4U3c=" TargetMode="External"/><Relationship Id="rId87" Type="http://schemas.openxmlformats.org/officeDocument/2006/relationships/hyperlink" Target="https://www.xiaohongshu.com/explore/69bbd503000000001a025368?xsec_token=ABEmVnt27AS9ByoQNUMpJIsLoQa1Kik7yvt_l5JzQv0qM=" TargetMode="External"/><Relationship Id="rId110" Type="http://schemas.openxmlformats.org/officeDocument/2006/relationships/hyperlink" Target="https://www.xiaohongshu.com/explore/69c00ef00000000023024dd2?xsec_token=AB5J6D-5Z2lrH4vToiJjqGe12agNkuVAzyVlUHOHgY1vI=" TargetMode="External"/><Relationship Id="rId115" Type="http://schemas.openxmlformats.org/officeDocument/2006/relationships/hyperlink" Target="https://www.xiaohongshu.com/explore/69bd11a600000000200395a0?xsec_token=AB5RX-GjFoRjnmp2fjU04ktuFD0yjpX3bL1Rs8hsiqYJg=" TargetMode="External"/><Relationship Id="rId131" Type="http://schemas.openxmlformats.org/officeDocument/2006/relationships/hyperlink" Target="https://www.xiaohongshu.com/explore/69c33b140000000021004e52?xsec_token=ABdpONJOjt_de_peMQG2PK03LflFSQyqpNIkh1iKCxZOs=" TargetMode="External"/><Relationship Id="rId136" Type="http://schemas.openxmlformats.org/officeDocument/2006/relationships/hyperlink" Target="https://www.xiaohongshu.com/explore/69c24b43000000001a021d3e?xsec_token=ABqcgmRylZh1W59G1mu8qab1byJZ7EcBaCKOMNHjPz1zA=" TargetMode="External"/><Relationship Id="rId157" Type="http://schemas.openxmlformats.org/officeDocument/2006/relationships/hyperlink" Target="https://www.xiaohongshu.com/explore/69c78df5000000001f0011ad?xsec_token=ABwM1JOy6Cdlfn6PuZZk4ICsn1rbBSdPXp4f2pf9xGo48=" TargetMode="External"/><Relationship Id="rId61" Type="http://schemas.openxmlformats.org/officeDocument/2006/relationships/hyperlink" Target="https://www.xiaohongshu.com/explore/69b79ed4000000002102c05e?xsec_token=ABteGb-9QARrhINS_6dgyLbTOItfnLhcj-nkzXLMHcgqQ=" TargetMode="External"/><Relationship Id="rId82" Type="http://schemas.openxmlformats.org/officeDocument/2006/relationships/hyperlink" Target="https://www.xiaohongshu.com/explore/69b6b3a0000000002202ae4c?xsec_token=WB34nkkdslWtIDvgdFF-Q5GswMdhDnOdwCTYgr8DPkr58=&amp;xsec_source=pc_ad" TargetMode="External"/><Relationship Id="rId152" Type="http://schemas.openxmlformats.org/officeDocument/2006/relationships/hyperlink" Target="https://www.xiaohongshu.com/explore/69c4dacf0000000023025402?xsec_token=ABFyW7dPMfHpn4-Y9HuuXJYGY_-T2B4D9BfRIufb5_V4k=" TargetMode="External"/><Relationship Id="rId173" Type="http://schemas.openxmlformats.org/officeDocument/2006/relationships/hyperlink" Target="https://www.xiaohongshu.com/explore/69c257f40000000023010972" TargetMode="External"/><Relationship Id="rId19" Type="http://schemas.openxmlformats.org/officeDocument/2006/relationships/hyperlink" Target="https://www.xiaohongshu.com/explore/69a9956a000000002303afb2?xsec_token=ABinpLgNAriBkbhkwVaaqtMxW3Gw7pxUavRoUWEUcZ-y8=" TargetMode="External"/><Relationship Id="rId14" Type="http://schemas.openxmlformats.org/officeDocument/2006/relationships/hyperlink" Target="https://www.xiaohongshu.com/explore/69a8e38d000000001503a3a7?xsec_token=ABti5UUL7otvHinRdQXMziCKQKwU9CJCzBPyja9fO64iU=" TargetMode="External"/><Relationship Id="rId30" Type="http://schemas.openxmlformats.org/officeDocument/2006/relationships/hyperlink" Target="https://www.xiaohongshu.com/explore/69af96ae000000000600ee92?xsec_token=ABcOPnb0grNW1USjMZaatAj59qZaiqHZTQEOzwfwEwuS0=" TargetMode="External"/><Relationship Id="rId35" Type="http://schemas.openxmlformats.org/officeDocument/2006/relationships/hyperlink" Target="https://www.xiaohongshu.com/explore/69b079a20000000023039059?xsec_token=ABxcM-eyF_j3KzqyE-f6D92VAi5pNNrAWs0jI0CDLEIQk=" TargetMode="External"/><Relationship Id="rId56" Type="http://schemas.openxmlformats.org/officeDocument/2006/relationships/hyperlink" Target="https://www.xiaohongshu.com/explore/69b54251000000002200f9da" TargetMode="External"/><Relationship Id="rId77" Type="http://schemas.openxmlformats.org/officeDocument/2006/relationships/hyperlink" Target="https://www.xiaohongshu.com/explore/69ba80a9000000001a02169b?xsec_token=AB1pr7zz5_duWgBKxFlN4SmHG0GNMY1sba16xIGSOJr7Y=" TargetMode="External"/><Relationship Id="rId100" Type="http://schemas.openxmlformats.org/officeDocument/2006/relationships/hyperlink" Target="https://www.xiaohongshu.com/explore/69bfd8c8000000001f000976?xsec_token=ABPOYeXkqi8W0XzpKpSvnlc3tulkZTnNxw_hzXIKDIGdc=" TargetMode="External"/><Relationship Id="rId105" Type="http://schemas.openxmlformats.org/officeDocument/2006/relationships/hyperlink" Target="https://www.xiaohongshu.com/explore/69c0c8220000000022002443?xsec_token=AB5J6D-5Z2lrH4vToiJjqGe1wCAfePeTdjZcRLOE5A23c=" TargetMode="External"/><Relationship Id="rId126" Type="http://schemas.openxmlformats.org/officeDocument/2006/relationships/hyperlink" Target="https://www.xiaohongshu.com/explore/69c1232c000000001b00372f?xsec_token=ABDYj0Jlw2N8NDwhBvYIMU1-PD_VIlo98n1IUEB2hAMww=" TargetMode="External"/><Relationship Id="rId147" Type="http://schemas.openxmlformats.org/officeDocument/2006/relationships/hyperlink" Target="https://www.xiaohongshu.com/explore/69c38ed2000000001a020246?xsec_token=ABdpONJOjt_de_peMQG2PK0zJD0h0CdR4MpFqUir-A0-c=" TargetMode="External"/><Relationship Id="rId168" Type="http://schemas.openxmlformats.org/officeDocument/2006/relationships/hyperlink" Target="https://www.xiaohongshu.com/explore/69ca8944000000001d01bdde?xsec_token=ABl6QhAT9DB-zoREU_awNvvF_RmiwZ7PjMEg1V_iDi5g8=" TargetMode="External"/><Relationship Id="rId8" Type="http://schemas.openxmlformats.org/officeDocument/2006/relationships/hyperlink" Target="https://www.xiaohongshu.com/explore/69a7beeb000000001b01dfa9?xsec_token=ABhEzY5LNPbk3JF1yT1cY_GQ6cUecWNIePwXLffO7iRng=" TargetMode="External"/><Relationship Id="rId51" Type="http://schemas.openxmlformats.org/officeDocument/2006/relationships/hyperlink" Target="https://www.xiaohongshu.com/explore/69b2e4cd0000000005030694?xsec_token=ABdoX6O_JHSaJWE4cS8BMj_JWOzYK5GYaBCuVz_b_37I0=" TargetMode="External"/><Relationship Id="rId72" Type="http://schemas.openxmlformats.org/officeDocument/2006/relationships/hyperlink" Target="https://www.xiaohongshu.com/explore/69bac0c70000000020039a5f?xsec_token=AB1pr7zz5_duWgBKxFlN4SmErTxHxHM2xShtd80BAZYtE=" TargetMode="External"/><Relationship Id="rId93" Type="http://schemas.openxmlformats.org/officeDocument/2006/relationships/hyperlink" Target="https://www.xiaohongshu.com/explore/69bbccee000000002103939e?xsec_token=ABEmVnt27AS9ByoQNUMpJIsDghrU5U-gBLQ0H-JRiaOVI=" TargetMode="External"/><Relationship Id="rId98" Type="http://schemas.openxmlformats.org/officeDocument/2006/relationships/hyperlink" Target="https://www.xiaohongshu.com/explore/69c0a681000000002200e337?xsec_token=AB5J6D-5Z2lrH4vToiJjqGezcwfzEgO_bIHiSC4HkWJpM=" TargetMode="External"/><Relationship Id="rId121" Type="http://schemas.openxmlformats.org/officeDocument/2006/relationships/hyperlink" Target="https://www.xiaohongshu.com/explore/69c124d3000000002202ae67?xsec_token=ABDYj0Jlw2N8NDwhBvYIMU10liktEY6MLWVgZeZ-KeeJk=" TargetMode="External"/><Relationship Id="rId142" Type="http://schemas.openxmlformats.org/officeDocument/2006/relationships/hyperlink" Target="https://www.xiaohongshu.com/explore/69c23f9f000000001a03699c?xsec_token=ABqcgmRylZh1W59G1mu8qab9yl2YkfA-4S02idrne9UyY=" TargetMode="External"/><Relationship Id="rId163" Type="http://schemas.openxmlformats.org/officeDocument/2006/relationships/hyperlink" Target="https://www.xiaohongshu.com/explore/69c69dd2000000002103b07d?xsec_token=ABAXyY1WDzJoeoqJny442lVkps3XSLVQBoR_mWx7Agzws=" TargetMode="External"/><Relationship Id="rId3" Type="http://schemas.openxmlformats.org/officeDocument/2006/relationships/hyperlink" Target="https://www.xiaohongshu.com/explore/69996f83000000000a03ca57?source=webshare&amp;xhsshare=pc_web&amp;xsec_token=ABdBENtNaEkfvHeP20RfnHpkNNw77RVpQMLqLC9oXopCk=&amp;xsec_source=pc_share" TargetMode="External"/><Relationship Id="rId25" Type="http://schemas.openxmlformats.org/officeDocument/2006/relationships/hyperlink" Target="https://www.xiaohongshu.com/explore/69ad163e000000001a036bbb" TargetMode="External"/><Relationship Id="rId46" Type="http://schemas.openxmlformats.org/officeDocument/2006/relationships/hyperlink" Target="https://www.xiaohongshu.com/explore/69b212030000000016009a77?xsec_token=ABdoX6O_JHSaJWE4cS8BMj_PxT15wdCkLxFQTOD3DHZBU=" TargetMode="External"/><Relationship Id="rId67" Type="http://schemas.openxmlformats.org/officeDocument/2006/relationships/hyperlink" Target="https://www.xiaohongshu.com/explore/69b902cf000000001a034eb5?xsec_token=AB98dphKY-NFEQethyEEoheJPJf6xcjDrqVQwsuH3A4Fo=" TargetMode="External"/><Relationship Id="rId116" Type="http://schemas.openxmlformats.org/officeDocument/2006/relationships/hyperlink" Target="https://www.xiaohongshu.com/explore/69bd086b000000001b00365d?xsec_token=AB5RX-GjFoRjnmp2fjU04ktoWMk7WXJDQa8qlQwgUVTLo=" TargetMode="External"/><Relationship Id="rId137" Type="http://schemas.openxmlformats.org/officeDocument/2006/relationships/hyperlink" Target="https://www.xiaohongshu.com/explore/69c24023000000001a031922?xsec_token=ABqcgmRylZh1W59G1mu8qab1IQ9exsoahEW95o0mJbjRc=" TargetMode="External"/><Relationship Id="rId158" Type="http://schemas.openxmlformats.org/officeDocument/2006/relationships/hyperlink" Target="https://www.xiaohongshu.com/explore/69c9282a0000000021038b68?xsec_token=ABO0Y-_R8pz7wpNyVv3Mbex17pVNR8OgiO1jDl24wqWkY=" TargetMode="External"/><Relationship Id="rId20" Type="http://schemas.openxmlformats.org/officeDocument/2006/relationships/hyperlink" Target="https://www.xiaohongshu.com/explore/69a71941000000001a035d4f?xsec_token=ABhEzY5LNPbk3JF1yT1cY_GTGwMWnNJStW-20guiuVRGo=" TargetMode="External"/><Relationship Id="rId41" Type="http://schemas.openxmlformats.org/officeDocument/2006/relationships/hyperlink" Target="https://www.xiaohongshu.com/explore/69afbd03000000002202d5aa?xsec_token=ABcOPnb0grNW1USjMZaatAjxb8_ASXoKVRFA0--UrPw5k=" TargetMode="External"/><Relationship Id="rId62" Type="http://schemas.openxmlformats.org/officeDocument/2006/relationships/hyperlink" Target="https://www.xiaohongshu.com/explore/69b7b5aa0000000023013707?xsec_token=ABteGb-9QARrhINS_6dgyLbViW42_K3CmTB9gwuzFWcLA=" TargetMode="External"/><Relationship Id="rId83" Type="http://schemas.openxmlformats.org/officeDocument/2006/relationships/hyperlink" Target="https://www.xiaohongshu.com/explore/69b5f9a00000000023005fd7?xsec_token=WBG6lqhuyR6fLntc1H_asxiCHcTvXPimu_fPLdomMG6Gk=&amp;xsec_source=pc_ad" TargetMode="External"/><Relationship Id="rId88" Type="http://schemas.openxmlformats.org/officeDocument/2006/relationships/hyperlink" Target="https://www.xiaohongshu.com/explore/69bc1b1a000000001a0218d6?xsec_token=ABPMsgV-vpoJ3-Y7OMGmYctHqPj9C9WR_3bhWKdYnNJss=" TargetMode="External"/><Relationship Id="rId111" Type="http://schemas.openxmlformats.org/officeDocument/2006/relationships/hyperlink" Target="https://www.xiaohongshu.com/explore/69bd4271000000001b023932?xsec_token=AB5RX-GjFoRjnmp2fjU04ktmfr_02bP33vccrL9nWHOVw=" TargetMode="External"/><Relationship Id="rId132" Type="http://schemas.openxmlformats.org/officeDocument/2006/relationships/hyperlink" Target="https://www.xiaohongshu.com/explore/69c26077000000001a0275f3" TargetMode="External"/><Relationship Id="rId153" Type="http://schemas.openxmlformats.org/officeDocument/2006/relationships/hyperlink" Target="https://www.xiaohongshu.com/explore/69c54186000000002202603b?xsec_token=ABxbP1LLMZy5jH2HvPmgbg0iyXhJlMvmew33KwLFn7jRY=" TargetMode="External"/><Relationship Id="rId174" Type="http://schemas.openxmlformats.org/officeDocument/2006/relationships/hyperlink" Target="https://www.xiaohongshu.com/explore/69cbc548000000001a033b46?xsec_token=ABzWEjKPCczI2PRI32tEIZ1MkVvSUY9KI50Wp5vY7SozU=" TargetMode="External"/><Relationship Id="rId15" Type="http://schemas.openxmlformats.org/officeDocument/2006/relationships/hyperlink" Target="https://www.xiaohongshu.com/explore/69a90171000000001b01675b?xsec_token=ABinpLgNAriBkbhkwVaaqtM3QpmZe2v7KYf4ls_nSuq-U=" TargetMode="External"/><Relationship Id="rId36" Type="http://schemas.openxmlformats.org/officeDocument/2006/relationships/hyperlink" Target="https://www.xiaohongshu.com/explore/69affbc10000000015032a56?xsec_token=ABcOPnb0grNW1USjMZaatAj7Iqr_BNA86ssQuWCiqrv6o=" TargetMode="External"/><Relationship Id="rId57" Type="http://schemas.openxmlformats.org/officeDocument/2006/relationships/hyperlink" Target="https://www.xiaohongshu.com/explore/69b42bcf000000001f0066c3" TargetMode="External"/><Relationship Id="rId106" Type="http://schemas.openxmlformats.org/officeDocument/2006/relationships/hyperlink" Target="https://www.xiaohongshu.com/explore/69c0b6d00000000021005753?xsec_token=AB5J6D-5Z2lrH4vToiJjqGey4M5Dmb-8CVNt-21Pz8O4Q=" TargetMode="External"/><Relationship Id="rId127" Type="http://schemas.openxmlformats.org/officeDocument/2006/relationships/hyperlink" Target="https://www.xiaohongshu.com/explore/69c0f867000000001d01ad52?xsec_token=AB5J6D-5Z2lrH4vToiJjqGey8KcU-j4n3S8aWCkDkuxKk=" TargetMode="External"/><Relationship Id="rId10" Type="http://schemas.openxmlformats.org/officeDocument/2006/relationships/hyperlink" Target="https://www.xiaohongshu.com/explore/69a79b0f0000000028020815?xsec_token=ABhEzY5LNPbk3JF1yT1cY_GU_cUtPy2R5VWJW39Rjy7_g=" TargetMode="External"/><Relationship Id="rId31" Type="http://schemas.openxmlformats.org/officeDocument/2006/relationships/hyperlink" Target="https://www.xiaohongshu.com/explore/69aee66f000000002202e892?xsec_token=ABahDZd6U7F2gKY1ZKZmEoQdWDLnUo5Ca6qnwyqLssXvU=" TargetMode="External"/><Relationship Id="rId52" Type="http://schemas.openxmlformats.org/officeDocument/2006/relationships/hyperlink" Target="https://www.xiaohongshu.com/explore/69b2d053000000000b036593?xsec_token=ABdoX6O_JHSaJWE4cS8BMj_Oky_OIUsGXo2Z0P-08pD8c=" TargetMode="External"/><Relationship Id="rId73" Type="http://schemas.openxmlformats.org/officeDocument/2006/relationships/hyperlink" Target="https://www.xiaohongshu.com/explore/69bab84e000000001f003083?xsec_token=AB1pr7zz5_duWgBKxFlN4SmKmR_L_Sj--9PaIULPHMsoU=" TargetMode="External"/><Relationship Id="rId78" Type="http://schemas.openxmlformats.org/officeDocument/2006/relationships/hyperlink" Target="https://www.xiaohongshu.com/explore/69ba51390000000023026846?xsec_token=AB1pr7zz5_duWgBKxFlN4SmNncCwIU0SBlPgPHNPB2jiM=" TargetMode="External"/><Relationship Id="rId94" Type="http://schemas.openxmlformats.org/officeDocument/2006/relationships/hyperlink" Target="https://www.xiaohongshu.com/explore/69b7d9340000000023026409?xsec_token=WBHYzJ4AeZ6gB3iAhGNPSNaE9sYsR6Grv4ENAgVuctdi8=&amp;xsec_source=pc_ad" TargetMode="External"/><Relationship Id="rId99" Type="http://schemas.openxmlformats.org/officeDocument/2006/relationships/hyperlink" Target="https://www.xiaohongshu.com/explore/69bfd8c8000000001f000976?xsec_token=ABPOYeXkqi8W0XzpKpSvnlc3tulkZTnNxw_hzXIKDIGdc=" TargetMode="External"/><Relationship Id="rId101" Type="http://schemas.openxmlformats.org/officeDocument/2006/relationships/hyperlink" Target="https://www.xiaohongshu.com/explore/69bccc140000000023005ca2?xsec_token=ABPMsgV-vpoJ3-Y7OMGmYctFfa8oNbS5iMzmXB7fSGbuA=" TargetMode="External"/><Relationship Id="rId122" Type="http://schemas.openxmlformats.org/officeDocument/2006/relationships/hyperlink" Target="https://www.xiaohongshu.com/explore/69c12815000000001d01d51d?xsec_token=ABDYj0Jlw2N8NDwhBvYIMU14jD4TxW4YGyqjQTfl5o-sE=" TargetMode="External"/><Relationship Id="rId143" Type="http://schemas.openxmlformats.org/officeDocument/2006/relationships/hyperlink" Target="https://www.xiaohongshu.com/explore/69c3dd20000000001d019efc?xsec_token=ABdpONJOjt_de_peMQG2PK0697ljQ4sb-IqrJ5tCvSQzQ=" TargetMode="External"/><Relationship Id="rId148" Type="http://schemas.openxmlformats.org/officeDocument/2006/relationships/hyperlink" Target="https://www.xiaohongshu.com/explore/69c3e3db0000000023014421?xsec_token=ABdpONJOjt_de_peMQG2PK0wPtOQCEhkq_KviV7XkFKTQ=" TargetMode="External"/><Relationship Id="rId164" Type="http://schemas.openxmlformats.org/officeDocument/2006/relationships/hyperlink" Target="https://www.xiaohongshu.com/explore/69c66133000000001a02a558?xsec_token=ABAXyY1WDzJoeoqJny442lVnfrhn_BADhcD2GzuLQwNZk=" TargetMode="External"/><Relationship Id="rId169" Type="http://schemas.openxmlformats.org/officeDocument/2006/relationships/hyperlink" Target="https://www.xiaohongshu.com/explore/69ca1a75000000001e00d401?xsec_token=ABl6QhAT9DB-zoREU_awNvvPIKCIbMTf0rcMntUIfVsEA=" TargetMode="External"/><Relationship Id="rId4" Type="http://schemas.openxmlformats.org/officeDocument/2006/relationships/hyperlink" Target="https://www.xiaohongshu.com/explore/69a784900000000028023a0c?xsec_token=ABhEzY5LNPbk3JF1yT1cY_GeUbiWH0M3H3c0zWKNjVngw=" TargetMode="External"/><Relationship Id="rId9" Type="http://schemas.openxmlformats.org/officeDocument/2006/relationships/hyperlink" Target="https://www.xiaohongshu.com/explore/69a7cda3000000001a01febe?xsec_token=ABhEzY5LNPbk3JF1yT1cY_Gfu62g4eGcn4p3c7odsORNM=" TargetMode="External"/><Relationship Id="rId26" Type="http://schemas.openxmlformats.org/officeDocument/2006/relationships/hyperlink" Target="https://www.xiaohongshu.com/explore/69ad8ead000000001a01cd19?xsec_token=ABXhk24rjMe1jIKbJRi8Emtc6YrwaeJ_WhIGHhgoCgqrM=" TargetMode="External"/><Relationship Id="rId47" Type="http://schemas.openxmlformats.org/officeDocument/2006/relationships/hyperlink" Target="https://www.xiaohongshu.com/explore/69b37a8a000000001d024cd1?xsec_token=ABHvyKgHL3h-usA6hmqw2VubRDcm0NysHrBTztEpztnkg=&amp;xsec_source=pc_search&amp;source=web_explore_feed" TargetMode="External"/><Relationship Id="rId68" Type="http://schemas.openxmlformats.org/officeDocument/2006/relationships/hyperlink" Target="https://www.xiaohongshu.com/explore/69b937cd0000000021005ff0?xsec_token=AB98dphKY-NFEQethyEEoheKvvGH8wv1qVt2wY-n7fBNE=" TargetMode="External"/><Relationship Id="rId89" Type="http://schemas.openxmlformats.org/officeDocument/2006/relationships/hyperlink" Target="https://www.xiaohongshu.com/explore/69bbe06f000000002103849f?xsec_token=ABEmVnt27AS9ByoQNUMpJIsOiEZgDPWQE045R44a9ZaDA=" TargetMode="External"/><Relationship Id="rId112" Type="http://schemas.openxmlformats.org/officeDocument/2006/relationships/hyperlink" Target="https://www.xiaohongshu.com/explore/69be626e0000000023014618?xsec_token=ABwo9qQXRpr8gwjGe71zKGiG_htT-pbO2kYwSzYqroYnI=" TargetMode="External"/><Relationship Id="rId133" Type="http://schemas.openxmlformats.org/officeDocument/2006/relationships/hyperlink" Target="https://www.xiaohongshu.com/explore/69c2056e000000002101044c" TargetMode="External"/><Relationship Id="rId154" Type="http://schemas.openxmlformats.org/officeDocument/2006/relationships/hyperlink" Target="https://www.xiaohongshu.com/explore/69c4e5630000000023023d57?xsec_token=ABFyW7dPMfHpn4-Y9HuuXJYHQRsx2Eo5O6nxeDynaDnrE=" TargetMode="External"/><Relationship Id="rId175" Type="http://schemas.openxmlformats.org/officeDocument/2006/relationships/hyperlink" Target="https://www.xiaohongshu.com/explore/69cc907d000000002200ecac" TargetMode="External"/><Relationship Id="rId16" Type="http://schemas.openxmlformats.org/officeDocument/2006/relationships/hyperlink" Target="https://www.xiaohongshu.com/explore/69a8602f0000000016008481?xsec_token=ABti5UUL7otvHinRdQXMziCOV5xvAiu8K7ABrTtOudOBA=" TargetMode="External"/><Relationship Id="rId37" Type="http://schemas.openxmlformats.org/officeDocument/2006/relationships/hyperlink" Target="https://www.xiaohongshu.com/explore/69abd7ef000000000e03ca0f?xsec_token=ABgbL2QR8jyKwHB72kS9TCOX1krxcx7dye8NX_0-Pn7F0=" TargetMode="External"/><Relationship Id="rId58" Type="http://schemas.openxmlformats.org/officeDocument/2006/relationships/hyperlink" Target="https://www.xiaohongshu.com/explore/69b792a9000000001a02afc2" TargetMode="External"/><Relationship Id="rId79" Type="http://schemas.openxmlformats.org/officeDocument/2006/relationships/hyperlink" Target="https://www.xiaohongshu.com/explore/69bac505000000002301fe84?xsec_token=AB1pr7zz5_duWgBKxFlN4SmCgfrDwHYAEUYPDEBR471kc=" TargetMode="External"/><Relationship Id="rId102" Type="http://schemas.openxmlformats.org/officeDocument/2006/relationships/hyperlink" Target="https://www.xiaohongshu.com/explore/69bccc140000000023005ca2?xsec_token=ABPMsgV-vpoJ3-Y7OMGmYctFfa8oNbS5iMzmXB7fSGbuA=" TargetMode="External"/><Relationship Id="rId123" Type="http://schemas.openxmlformats.org/officeDocument/2006/relationships/hyperlink" Target="https://www.xiaohongshu.com/explore/69c11c27000000002100483b?xsec_token=ABDYj0Jlw2N8NDwhBvYIMU19KakjHuwl2P63WHdZo3No0=" TargetMode="External"/><Relationship Id="rId144" Type="http://schemas.openxmlformats.org/officeDocument/2006/relationships/hyperlink" Target="https://www.xiaohongshu.com/explore/69c3d5b7000000002102d3f1?xsec_token=ABdpONJOjt_de_peMQG2PK0-36yaRLWr8UXRajPd_Gako=" TargetMode="External"/><Relationship Id="rId90" Type="http://schemas.openxmlformats.org/officeDocument/2006/relationships/hyperlink" Target="https://www.xiaohongshu.com/explore/69bb9f43000000002301fa2b?xsec_token=ABEmVnt27AS9ByoQNUMpJIsBayDuyy7yMHdmbCZkFLols=" TargetMode="External"/><Relationship Id="rId165" Type="http://schemas.openxmlformats.org/officeDocument/2006/relationships/hyperlink" Target="https://www.xiaohongshu.com/explore/69c88c71000000001a023318?app_platform=android&amp;ignoreEngage=true&amp;app_version=9.20.0&amp;share_from_user_hidden=true&amp;xsec_source=app_share&amp;type=normal&amp;xsec_token=CBZKPaAACOIFyXB6wLfeLx2rbSTL5ai7Bf3CW9aDhrsns=&amp;author_share=1&amp;shareRedId=N0pFMjk6SkI2NzUyOTgwNjY0OTc6NTc8&amp;apptime=1774845808&amp;share_id=4f3b3bd4592b47178eec5cc4e7e1e8e5&amp;share_channel=copy_link&amp;appuid=5dc265f90000000001006013&amp;xhsshare=CopyLink" TargetMode="External"/><Relationship Id="rId27" Type="http://schemas.openxmlformats.org/officeDocument/2006/relationships/hyperlink" Target="https://www.xiaohongshu.com/explore/69ad8490000000001a02e236?xsec_token=ABXhk24rjMe1jIKbJRi8EmtQg7jXzJIj5TSTfEjIH-UrU=" TargetMode="External"/><Relationship Id="rId48" Type="http://schemas.openxmlformats.org/officeDocument/2006/relationships/hyperlink" Target="https://www.xiaohongshu.com/explore/69b2af73000000000902262c?xsec_token=ABdoX6O_JHSaJWE4cS8BMj_I57QMjqRLgS4K3ZREDMPWA=" TargetMode="External"/><Relationship Id="rId69" Type="http://schemas.openxmlformats.org/officeDocument/2006/relationships/hyperlink" Target="https://www.xiaohongshu.com/explore/69bace87000000002103adde?xsec_token=AB1pr7zz5_duWgBKxFlN4SmPhCEMET4akPTIAPTrg0DPI=" TargetMode="External"/><Relationship Id="rId113" Type="http://schemas.openxmlformats.org/officeDocument/2006/relationships/hyperlink" Target="https://www.xiaohongshu.com/explore/69bd2078000000001a0234bc?xsec_token=AB5RX-GjFoRjnmp2fjU04ktjHSSL68jbMKVi0yBK0ICoY=" TargetMode="External"/><Relationship Id="rId134" Type="http://schemas.openxmlformats.org/officeDocument/2006/relationships/hyperlink" Target="https://www.xiaohongshu.com/explore/69c26f3a00000000230115f9?xsec_token=ABqcgmRylZh1W59G1mu8qab7d9h9gEWt9pk54nZNdd8v4=" TargetMode="External"/><Relationship Id="rId80" Type="http://schemas.openxmlformats.org/officeDocument/2006/relationships/hyperlink" Target="https://www.xiaohongshu.com/explore/69b54315000000001a020481?xsec_token=WBG6lqhuyR6fLntc1H_asxiMeKjgfQBcXNucgSOOaSDfw=&amp;xsec_source=pc_ad" TargetMode="External"/><Relationship Id="rId155" Type="http://schemas.openxmlformats.org/officeDocument/2006/relationships/hyperlink" Target="https://www.xiaohongshu.com/explore/69c79dd4000000001b002957?xsec_token=ABwM1JOy6Cdlfn6PuZZk4ICiBjOKTIs2Kl-MIXVYZXeZE=" TargetMode="External"/><Relationship Id="rId176" Type="http://schemas.openxmlformats.org/officeDocument/2006/relationships/hyperlink" Target="https://www.xiaohongshu.com/explore/69ccc46400000000230110cb" TargetMode="External"/><Relationship Id="rId17" Type="http://schemas.openxmlformats.org/officeDocument/2006/relationships/hyperlink" Target="https://www.xiaohongshu.com/explore/69aa40df000000001a0300e8?xsec_token=ABfP4oNWV5tmkPBEICXG5Pblg8XGvD36TVl5tP8Hr0u1E=" TargetMode="External"/><Relationship Id="rId38" Type="http://schemas.openxmlformats.org/officeDocument/2006/relationships/hyperlink" Target="https://www.xiaohongshu.com/explore/69afd07f000000001503ae72?xsec_token=ABcOPnb0grNW1USjMZaatAj2_YqOhnflStsNLEd-6xt6Q=" TargetMode="External"/><Relationship Id="rId59" Type="http://schemas.openxmlformats.org/officeDocument/2006/relationships/hyperlink" Target="https://www.xiaohongshu.com/explore/69b7ddae0000000022026fb6?xsec_token=ABteGb-9QARrhINS_6dgyLbUS4i6AFMe7ISIBXqC3LllE=" TargetMode="External"/><Relationship Id="rId103" Type="http://schemas.openxmlformats.org/officeDocument/2006/relationships/hyperlink" Target="https://www.xiaohongshu.com/explore/69bea7b60000000022000a56?xsec_token=ABwo9qQXRpr8gwjGe71zKGiIbZTXCC3jsJzYLpGUVfWqU=" TargetMode="External"/><Relationship Id="rId124" Type="http://schemas.openxmlformats.org/officeDocument/2006/relationships/hyperlink" Target="https://www.xiaohongshu.com/explore/69c1094a0000000023010fd4?xsec_token=ABDYj0Jlw2N8NDwhBvYIMU1xN8S-DOs_Fc_kEjFTuH7lw=" TargetMode="External"/><Relationship Id="rId70" Type="http://schemas.openxmlformats.org/officeDocument/2006/relationships/hyperlink" Target="https://www.xiaohongshu.com/explore/69baae47000000001b0001f1?xsec_token=AB1pr7zz5_duWgBKxFlN4SmP1NOVrpB8fWsBPMPmMKaEs=" TargetMode="External"/><Relationship Id="rId91" Type="http://schemas.openxmlformats.org/officeDocument/2006/relationships/hyperlink" Target="https://www.xiaohongshu.com/explore/69bb2e43000000001b002fc3?xsec_token=ABEmVnt27AS9ByoQNUMpJIsIfIeKpSJ075IlLgaiGbodc=" TargetMode="External"/><Relationship Id="rId145" Type="http://schemas.openxmlformats.org/officeDocument/2006/relationships/hyperlink" Target="https://www.xiaohongshu.com/explore/69c3c7bf0000000022027d94?xsec_token=ABdpONJOjt_de_peMQG2PK04P2ZS2XxO8KgAIcCQqSi-s=" TargetMode="External"/><Relationship Id="rId166" Type="http://schemas.openxmlformats.org/officeDocument/2006/relationships/hyperlink" Target="https://www.xiaohongshu.com/explore/69c7829a00000000230244d5?app_platform=android&amp;ignoreEngage=true&amp;app_version=9.20.0&amp;share_from_user_hidden=true&amp;xsec_source=app_share&amp;type=normal&amp;xsec_token=CBCwtZZ2dohOrf7XFciMfj1scdOINORWe1MuP6MIJ0XI8=&amp;author_share=1&amp;shareRedId=N0pFMjk6SkI2NzUyOTgwNjY0OTc6NTc8&amp;apptime=1774845901&amp;share_id=a4a14dd6bd7349be877fe658158a995b&amp;share_channel=copy_link&amp;appuid=5dc265f90000000001006013&amp;xhsshare=CopyLink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xiaohongshu.com/explore/69d9a9b0000000001a02b7f1?xsec_token=AB6M9XF_vNLGL8k_11vyeNbbRUAeqKDYNm8h8OI-E_mk4=" TargetMode="External"/><Relationship Id="rId21" Type="http://schemas.openxmlformats.org/officeDocument/2006/relationships/hyperlink" Target="https://www.xiaohongshu.com/explore/69d7a3a5000000001a035581?xsec_token=AB1z-5upmiYZZWKsX2hTW9yiKgDAzVO-hZP-IKceaH0NM=" TargetMode="External"/><Relationship Id="rId42" Type="http://schemas.openxmlformats.org/officeDocument/2006/relationships/hyperlink" Target="https://www.xiaohongshu.com/explore/69de516a000000001a023e14?xsec_token=ABKU4hGIdMFEuUNsQxAyF0hktDwR6n3ndPRqHAF0Lz6Nw=" TargetMode="External"/><Relationship Id="rId47" Type="http://schemas.openxmlformats.org/officeDocument/2006/relationships/hyperlink" Target="https://www.xiaohongshu.com/explore/69df8839000000001a02b201?xsec_token=ABPr-MtRmn6p9GMWQZQlcNYE77ND3OZ33EyANohX50ybY=" TargetMode="External"/><Relationship Id="rId63" Type="http://schemas.openxmlformats.org/officeDocument/2006/relationships/hyperlink" Target="https://www.xiaohongshu.com/explore/69e61b8b00000000210388a2?xsec_token=ABmBcRQSHJbWmv0ZhzZw_7TJkzXhtdrjNRaouzYx9zmSk=" TargetMode="External"/><Relationship Id="rId68" Type="http://schemas.openxmlformats.org/officeDocument/2006/relationships/hyperlink" Target="https://www.xiaohongshu.com/explore/69e988a5000000002103a1f4?xsec_token=ABWB215s-u3NEqombf2qmEuBFDdUcCixAIiv3ifWH7D-w=" TargetMode="External"/><Relationship Id="rId84" Type="http://schemas.openxmlformats.org/officeDocument/2006/relationships/hyperlink" Target="https://www.xiaohongshu.com/explore/69ea2112000000001a037e95?app_platform=android&amp;ignoreEngage=true&amp;app_version=9.20.0&amp;share_from_user_hidden=true&amp;xsec_source=app_share&amp;type=video&amp;xsec_token=CBhAKi1_uzcP1zYXfVnZf5e2XT4hdjn6lz_DfcqExMYck=&amp;author_share=1&amp;shareRedId=N0pFMjk6SkI2NzUyOTgwNjY0OTc6NTc8&amp;apptime=1777269032&amp;share_id=3b1fc37e0d3f48838a0840236a0674d4&amp;share_channel=copy_link&amp;appuid=5dc265f90000000001006013&amp;xhsshare=CopyLink" TargetMode="External"/><Relationship Id="rId89" Type="http://schemas.openxmlformats.org/officeDocument/2006/relationships/hyperlink" Target="https://www.xiaohongshu.com/explore/69f0a3e00000000022026d02?xsec_token=ABXzGd9O_x_RzY4Gkhs8M2tvUOJY7yXuVikDe4NwndPog=" TargetMode="External"/><Relationship Id="rId16" Type="http://schemas.openxmlformats.org/officeDocument/2006/relationships/hyperlink" Target="https://www.xiaohongshu.com/explore/69d28e34000000001d01cb53?xsec_token=ABrGwg2WGlotmJDV_mnZ_n_na77V5q_3YYILOa7eINVHg=" TargetMode="External"/><Relationship Id="rId11" Type="http://schemas.openxmlformats.org/officeDocument/2006/relationships/hyperlink" Target="https://www.xiaohongshu.com/explore/69d0db47000000001f003f94?app_platform=android&amp;ignoreEngage=true&amp;app_version=9.20.0&amp;share_from_user_hidden=true&amp;xsec_source=app_share&amp;type=normal&amp;xsec_token=CBwobPjDPmOOxyIAxfE9zk4GpWsNlPUqKx0CHedw-ql-4=&amp;author_share=1&amp;shareRedId=N0pFMjk6SkI2NzUyOTgwNjY0OTc6NTc8&amp;apptime=1775531966&amp;share_id=c3595e2f69ef4efd98cc4ee414f66d7f&amp;share_channel=copy_link&amp;appuid=5dc265f90000000001006013&amp;xhsshare=CopyLink" TargetMode="External"/><Relationship Id="rId32" Type="http://schemas.openxmlformats.org/officeDocument/2006/relationships/hyperlink" Target="https://www.xiaohongshu.com/explore/69dce6f50000000022003859?xsec_token=ABHKR4ElKh9q-dsYucMdqm4kKBAqh8XRUKE5U9HuvrY3k=" TargetMode="External"/><Relationship Id="rId37" Type="http://schemas.openxmlformats.org/officeDocument/2006/relationships/hyperlink" Target="https://www.xiaohongshu.com/explore/69dcc4e1000000002102f68e?xsec_token=ABHKR4ElKh9q-dsYucMdqm4p7sqJmd1CLUJkd1eWXUU0w=" TargetMode="External"/><Relationship Id="rId53" Type="http://schemas.openxmlformats.org/officeDocument/2006/relationships/hyperlink" Target="https://www.xiaohongshu.com/explore/69dce5bd000000001a027ce3?xsec_token=ABjxCP5y3uFHVBnz0c8Ezg1iKwaD1TwMDs_HEtCPS4mIA=" TargetMode="External"/><Relationship Id="rId58" Type="http://schemas.openxmlformats.org/officeDocument/2006/relationships/hyperlink" Target="https://www.xiaohongshu.com/explore/69e4ed94000000001d01b934?xsec_token=ABwWlrUnb4VwErJLcyy3U_BJJtGeHlcAjL2t_zv4HRnRU=" TargetMode="External"/><Relationship Id="rId74" Type="http://schemas.openxmlformats.org/officeDocument/2006/relationships/hyperlink" Target="https://www.xiaohongshu.com/explore/69eabe19000000002202988e?xsec_token=AB1Ovtm-ImnpG5ATFAAwXtpXElyJKaJCPjaD53s9wzImM=" TargetMode="External"/><Relationship Id="rId79" Type="http://schemas.openxmlformats.org/officeDocument/2006/relationships/hyperlink" Target="https://www.xiaohongshu.com/explore/69eb0e210000000022028197?app_platform=android&amp;ignoreEngage=true&amp;app_version=9.20.0&amp;share_from_user_hidden=true&amp;xsec_source=app_share&amp;type=normal&amp;xsec_token=CBRBODJwCf7Xkki9Lrwoz6RDdgqbRg4ysdOZi-mjYnB7U=&amp;author_share=1&amp;shareRedId=N0pFMjk6SkI2NzUyOTgwNjY0OTc6NTc8&amp;apptime=1777268809&amp;share_id=2e37223bab6a4cd4b81c31c96f4845f4&amp;share_channel=copy_link&amp;appuid=5dc265f90000000001006013&amp;xhsshare=CopyLink" TargetMode="External"/><Relationship Id="rId5" Type="http://schemas.openxmlformats.org/officeDocument/2006/relationships/hyperlink" Target="https://www.xiaohongshu.com/explore/69ce0fee000000001a02a7a8?xsec_token=ABKO8PaGl15RSIUyOh8LgedU3X4c0GlaJSZFZ8IwprpR4=" TargetMode="External"/><Relationship Id="rId90" Type="http://schemas.openxmlformats.org/officeDocument/2006/relationships/hyperlink" Target="https://www.xiaohongshu.com/explore/69f163390000000038023c04?xsec_token=ABLNcebe4EqMClPt2SyxgvoJrpZxF6h3B7Tca2NNCHN4g=" TargetMode="External"/><Relationship Id="rId95" Type="http://schemas.openxmlformats.org/officeDocument/2006/relationships/hyperlink" Target="https://www.xiaohongshu.com/explore/69f29fb3000000001a037e6b?xsec_token=ABlefarLtJ7O9GeX5GD5VUCzNb_Uj8Vqjkp92xc6p8OSI=" TargetMode="External"/><Relationship Id="rId22" Type="http://schemas.openxmlformats.org/officeDocument/2006/relationships/hyperlink" Target="https://www.xiaohongshu.com/explore/69d7d345000000001d0190de?xsec_token=AB1z-5upmiYZZWKsX2hTW9yqgd7C1Md9XpQ9ghShN-cxY=" TargetMode="External"/><Relationship Id="rId27" Type="http://schemas.openxmlformats.org/officeDocument/2006/relationships/hyperlink" Target="https://www.xiaohongshu.com/explore/69dc59ef000000001a028bbf?xsec_token=ABuHm2VVL9If9tOenMXINt-dGcQNs9dh4qNYrOXU8rKtE=" TargetMode="External"/><Relationship Id="rId43" Type="http://schemas.openxmlformats.org/officeDocument/2006/relationships/hyperlink" Target="https://www.xiaohongshu.com/explore/69ded36800000000230237c2?xsec_token=ABKU4hGIdMFEuUNsQxAyF0hsm9ZmQEEksCOJguZJCDDko=" TargetMode="External"/><Relationship Id="rId48" Type="http://schemas.openxmlformats.org/officeDocument/2006/relationships/hyperlink" Target="https://www.xiaohongshu.com/explore/69e0107a000000002301778e?xsec_token=AB-gX7Fo18SdAy-t4q1WjJ2r7VNR5YdPfPKp2dYwcgl4U=" TargetMode="External"/><Relationship Id="rId64" Type="http://schemas.openxmlformats.org/officeDocument/2006/relationships/hyperlink" Target="https://www.xiaohongshu.com/explore/69e60eeb000000001f0076f9?xsec_token=ABmBcRQSHJbWmv0ZhzZw_7TE9L4rjV-HUA4htqQ3BVb5E=" TargetMode="External"/><Relationship Id="rId69" Type="http://schemas.openxmlformats.org/officeDocument/2006/relationships/hyperlink" Target="https://www.xiaohongshu.com/explore/69e8a49f000000002302537e?xsec_token=ABTnCOUc1TmnbS_OCkgjb5NvTuXPr4qMtW6yZSZ8fDzy8=" TargetMode="External"/><Relationship Id="rId80" Type="http://schemas.openxmlformats.org/officeDocument/2006/relationships/hyperlink" Target="https://www.xiaohongshu.com/explore/69ec9a49000000002003a8a5?app_platform=android&amp;ignoreEngage=true&amp;app_version=9.20.0&amp;share_from_user_hidden=true&amp;xsec_source=app_share&amp;type=normal&amp;xsec_token=CB72J9O2h_nhgklQXtx0epaw7NfnClaruUDVlelcNhIxo=&amp;author_share=1&amp;shareRedId=N0pFMjk6SkI2NzUyOTgwNjY0OTc6NTc8&amp;apptime=1777268844&amp;share_id=3aad723da33b4b29ab73dbc3d31aa9c5&amp;share_channel=copy_link&amp;appuid=5dc265f90000000001006013&amp;xhsshare=CopyLink" TargetMode="External"/><Relationship Id="rId85" Type="http://schemas.openxmlformats.org/officeDocument/2006/relationships/hyperlink" Target="https://www.xiaohongshu.com/explore/69edd0cf0000000035025453?app_platform=android&amp;ignoreEngage=true&amp;app_version=9.20.0&amp;share_from_user_hidden=true&amp;xsec_source=app_share&amp;type=video&amp;xsec_token=CBOhELoPgqe_s-6GR15DKuFv-hmDEt7EGDPMbLZJk28ms=&amp;author_share=1&amp;shareRedId=N0pFMjk6SkI2NzUyOTgwNjY0OTc6NTc8&amp;apptime=1777268975&amp;share_id=c7544120782a493184918d40d8294a4f&amp;share_channel=copy_link&amp;appuid=5dc265f90000000001006013&amp;xhsshare=CopyLink" TargetMode="External"/><Relationship Id="rId3" Type="http://schemas.openxmlformats.org/officeDocument/2006/relationships/hyperlink" Target="https://www.xiaohongshu.com/explore/69cc9065000000001e00fcba?xsec_token=ABC1Rz8ntxdGac-0OCOPiJKv6s0uypjNb4LSn9pq-JZlc=" TargetMode="External"/><Relationship Id="rId12" Type="http://schemas.openxmlformats.org/officeDocument/2006/relationships/hyperlink" Target="https://www.xiaohongshu.com/explore/69d091da000000001b001175?app_platform=android&amp;ignoreEngage=true&amp;app_version=9.20.0&amp;share_from_user_hidden=true&amp;xsec_source=app_share&amp;type=normal&amp;xsec_token=CBwobPjDPmOOxyIAxfE9zk4PKG3AVKxgxu8tsekq8vqsk=&amp;author_share=1&amp;shareRedId=N0pFMjk6SkI2NzUyOTgwNjY0OTc6NTc8&amp;apptime=1775531987&amp;share_id=90c15ce089e04ad3b6946fd47e53ce0b&amp;share_channel=copy_link&amp;appuid=5dc265f90000000001006013&amp;xhsshare=CopyLink" TargetMode="External"/><Relationship Id="rId17" Type="http://schemas.openxmlformats.org/officeDocument/2006/relationships/hyperlink" Target="https://www.xiaohongshu.com/explore/69d4e7df000000001a02ec24?xsec_token=ABGtHAg_jNt7KKuA6ggEf8RmAIzUKLmSXHQ8fEYGZbnwc=" TargetMode="External"/><Relationship Id="rId25" Type="http://schemas.openxmlformats.org/officeDocument/2006/relationships/hyperlink" Target="https://www.xiaohongshu.com/explore/69dbd67c000000001a02680a?xsec_token=ABRRV5w5Q5q-uQYh7gVRPmMlKrIdBgrD2zh3OOQ0jS2jw=" TargetMode="External"/><Relationship Id="rId33" Type="http://schemas.openxmlformats.org/officeDocument/2006/relationships/hyperlink" Target="https://www.xiaohongshu.com/explore/69dcb7a3000000001f004a1b?xsec_token=ABHKR4ElKh9q-dsYucMdqm4udoaZK0PZTbYb8kjvBNV3c=" TargetMode="External"/><Relationship Id="rId38" Type="http://schemas.openxmlformats.org/officeDocument/2006/relationships/hyperlink" Target="https://www.xiaohongshu.com/explore/69dc59ef000000001a028bbf?xsec_token=ABHKR4ElKh9q-dsYucMdqm4rtL3QRlQTrCCIKm6yOQx6o=" TargetMode="External"/><Relationship Id="rId46" Type="http://schemas.openxmlformats.org/officeDocument/2006/relationships/hyperlink" Target="https://www.xiaohongshu.com/explore/69de5c4b000000001f0063dc?xsec_token=ABKU4hGIdMFEuUNsQxAyF0htHKglsI68qrkZPF4gIKKVI=" TargetMode="External"/><Relationship Id="rId59" Type="http://schemas.openxmlformats.org/officeDocument/2006/relationships/hyperlink" Target="https://www.xiaohongshu.com/explore/69e42ae9000000000803c777" TargetMode="External"/><Relationship Id="rId67" Type="http://schemas.openxmlformats.org/officeDocument/2006/relationships/hyperlink" Target="https://www.xiaohongshu.com/explore/69e754d80000000020038809?xsec_token=ABbtQmxJ_Z3qhWezOJm00mpuzQZVNdhmlJ_VzDzijFWsI=" TargetMode="External"/><Relationship Id="rId20" Type="http://schemas.openxmlformats.org/officeDocument/2006/relationships/hyperlink" Target="https://www.xiaohongshu.com/explore/69d4d4b90000000023013ba3?xsec_token=ABYYUFgY2v0W4mFyyQWIChwp260KjDNNBSx3glYz24ces=" TargetMode="External"/><Relationship Id="rId41" Type="http://schemas.openxmlformats.org/officeDocument/2006/relationships/hyperlink" Target="https://www.xiaohongshu.com/explore/69dcce0c000000001f000c40?xsec_token=ABuHm2VVL9If9tOenMXINt-axyDwS0wtBdsdsNKT2a4pM=" TargetMode="External"/><Relationship Id="rId54" Type="http://schemas.openxmlformats.org/officeDocument/2006/relationships/hyperlink" Target="https://www.xiaohongshu.com/explore/69e2247a00000000230040e2?app_platform=android&amp;ignoreEngage=true&amp;app_version=9.20.0&amp;share_from_user_hidden=true&amp;xsec_source=app_share&amp;type=normal&amp;xsec_token=CBbKDpEiz_PRvS2Fqzks4qNzaYtV4MqK3pHPhMvd525jI=&amp;author_share=1&amp;shareRedId=N0pFMjk6SkI2NzUyOTgwNjY0OTc6NTc8&amp;apptime=1776654411&amp;share_id=5428cb9baa8d4624bbdf79c60a222aaf&amp;share_channel=copy_link&amp;appuid=5dc265f90000000001006013&amp;xhsshare=CopyLink" TargetMode="External"/><Relationship Id="rId62" Type="http://schemas.openxmlformats.org/officeDocument/2006/relationships/hyperlink" Target="https://www.xiaohongshu.com/explore/69e6d13f0000000022002610?xsec_token=ABmBcRQSHJbWmv0ZhzZw_7TFxUjgFtfHVvZlf64xkYUPU=" TargetMode="External"/><Relationship Id="rId70" Type="http://schemas.openxmlformats.org/officeDocument/2006/relationships/hyperlink" Target="https://www.xiaohongshu.com/explore/69ea2da40000000012029803?xsec_token=AB1Ovtm-ImnpG5ATFAAwXtpbT0J4l-UIrDYwzQgZaKzn4=" TargetMode="External"/><Relationship Id="rId75" Type="http://schemas.openxmlformats.org/officeDocument/2006/relationships/hyperlink" Target="https://www.xiaohongshu.com/explore/69eddd5000000000220260c8?xsec_token=ABaHAN3hIQhd5vWwLK8w4HJq0UHKK3MBnPFdVNfWz-n8o=" TargetMode="External"/><Relationship Id="rId83" Type="http://schemas.openxmlformats.org/officeDocument/2006/relationships/hyperlink" Target="https://www.xiaohongshu.com/explore/69ec55f5000000003603382f?xsec_token=ABF3QwLT3B5t2ye6BO79HB5afO5ePClHxFbe5I4GIzXCI=" TargetMode="External"/><Relationship Id="rId88" Type="http://schemas.openxmlformats.org/officeDocument/2006/relationships/hyperlink" Target="https://www.xiaohongshu.com/explore/69f05157000000003700c60a?app_platform=ios&amp;app_version=9.28&amp;share_from_user_hidden=true&amp;xsec_source=app_share&amp;type=normal&amp;xsec_token=CBqoLGDKtx1pp2rAm9-jYEuZCP5mGekjpkHk6ro61eqgg=&amp;author_share=1&amp;xhsshare=CopyLink&amp;shareRedId=N0dDN0hINkI6TEZFSkoyPz41SjlJSEg9&amp;apptime=1777360718&amp;share_id=e0df64a71ec64a6f853070d5c652244b" TargetMode="External"/><Relationship Id="rId91" Type="http://schemas.openxmlformats.org/officeDocument/2006/relationships/hyperlink" Target="https://www.xiaohongshu.com/explore/69f194d5000000002301de8a?xsec_token=ABmbFepnQx-jFoEzvEhhzqxCMKi4KHHLcOP5v35xgvWN4=" TargetMode="External"/><Relationship Id="rId96" Type="http://schemas.openxmlformats.org/officeDocument/2006/relationships/hyperlink" Target="https://www.xiaohongshu.com/explore/69f1d8fe000000003503860e?xsec_token=ABh4kH9hXYWMgFpRFZgOeKrx-PZs9UmB28fGWl6lOwtHU=" TargetMode="External"/><Relationship Id="rId1" Type="http://schemas.openxmlformats.org/officeDocument/2006/relationships/hyperlink" Target="https://www.xiaohongshu.com/explore/69cdd2910000000023011fd6?xsec_token=ABMZD-8KEsL9pDypjf5pvIR5OGffRJ6NNI9LFtF7k-3Hs=" TargetMode="External"/><Relationship Id="rId6" Type="http://schemas.openxmlformats.org/officeDocument/2006/relationships/hyperlink" Target="https://www.xiaohongshu.com/explore/69ce72c5000000001b0005af?xsec_token=ABKO8PaGl15RSIUyOh8LgedV16Wqv70oYUCbRSrTcFG3c=" TargetMode="External"/><Relationship Id="rId15" Type="http://schemas.openxmlformats.org/officeDocument/2006/relationships/hyperlink" Target="https://www.xiaohongshu.com/explore/69d3a908000000002102d34d?app_platform=android&amp;ignoreEngage=true&amp;app_version=9.20.0&amp;share_from_user_hidden=true&amp;xsec_source=app_share&amp;type=normal&amp;xsec_token=CBczBodANeTxLZOq_OziYxMB_44NGhAV8t9nPQsU0cGv0=&amp;author_share=1&amp;shareRedId=N0pFMjk6SkI2NzUyOTgwNjY0OTc6NTc8&amp;apptime=1775532189&amp;share_id=dab19b1861de4c628d4daaeac1e3eaed&amp;share_channel=copy_link&amp;appuid=5dc265f90000000001006013&amp;xhsshare=CopyLink" TargetMode="External"/><Relationship Id="rId23" Type="http://schemas.openxmlformats.org/officeDocument/2006/relationships/hyperlink" Target="https://www.xiaohongshu.com/explore/69d74fd2000000001f004795?xsec_token=AB1z-5upmiYZZWKsX2hTW9yp6nGEBtb6NZyJK-lyFvnbo=" TargetMode="External"/><Relationship Id="rId28" Type="http://schemas.openxmlformats.org/officeDocument/2006/relationships/hyperlink" Target="https://www.xiaohongshu.com/explore/69db9931000000001a02feec?app_platform=android&amp;ignoreEngage=true&amp;app_version=9.20.0&amp;share_from_user_hidden=true&amp;xsec_source=app_share&amp;type=normal&amp;xsec_token=CBEVH9ThSIXWrSxzSb2sCcJth6jDUWrj_geZifjLF0IRQ=&amp;author_share=1&amp;shareRedId=N0pFMjk6SkI2NzUyOTgwNjY0OTc6NTc8&amp;apptime=1776048863&amp;share_id=05172e8c349640828aec337f4306fc65&amp;share_channel=copy_link&amp;appuid=5dc265f90000000001006013&amp;xhsshare=CopyLink" TargetMode="External"/><Relationship Id="rId36" Type="http://schemas.openxmlformats.org/officeDocument/2006/relationships/hyperlink" Target="https://www.xiaohongshu.com/explore/69dcdab4000000001a02b5ea?xsec_token=ABHKR4ElKh9q-dsYucMdqm4vqoiruV_kX5ntgyC3nt6yg=" TargetMode="External"/><Relationship Id="rId49" Type="http://schemas.openxmlformats.org/officeDocument/2006/relationships/hyperlink" Target="https://www.xiaohongshu.com/explore/69df3b19000000001a02ee0a?xsec_token=ABPr-MtRmn6p9GMWQZQlcNYL4glh_0V8JiduSxDfSRYAo=" TargetMode="External"/><Relationship Id="rId57" Type="http://schemas.openxmlformats.org/officeDocument/2006/relationships/hyperlink" Target="https://www.xiaohongshu.com/explore/69e5b835000000001a025554?xsec_token=ABCPS8mVQOb96Vyb8E2c50aLoXElkwzXTQBEicjZ6_D7Y=" TargetMode="External"/><Relationship Id="rId10" Type="http://schemas.openxmlformats.org/officeDocument/2006/relationships/hyperlink" Target="https://www.xiaohongshu.com/explore/69c7363c000000001a022c03?app_platform=android&amp;ignoreEngage=true&amp;app_version=9.20.0&amp;share_from_user_hidden=true&amp;xsec_source=app_share&amp;type=normal&amp;xsec_token=CBCwtZZ2dohOrf7XFciMfj1jlzfYjNRn4HaCsf4JD8-Bk=&amp;author_share=1&amp;shareRedId=N0pFMjk6SkI2NzUyOTgwNjY0OTc6NTc8&amp;apptime=1775531907&amp;share_id=a9285918a261442dba0373afe0721bf7&amp;share_channel=copy_link&amp;appuid=5dc265f90000000001006013&amp;xhsshare=CopyLink" TargetMode="External"/><Relationship Id="rId31" Type="http://schemas.openxmlformats.org/officeDocument/2006/relationships/hyperlink" Target="https://www.xiaohongshu.com/explore/69d8d3910000000022000919?xsec_token=ABfvdJ9NapNLuQ9Q2UxTyFI1feepV_rya-HMDUmNdqhOQ=&amp;xsec_source=pc_search&amp;source=web_explore_feed" TargetMode="External"/><Relationship Id="rId44" Type="http://schemas.openxmlformats.org/officeDocument/2006/relationships/hyperlink" Target="https://www.xiaohongshu.com/explore/69de38340000000023004ea9?xsec_token=ABKU4hGIdMFEuUNsQxAyF0hn1tmwUMujUcNbMrWJpIbPs=" TargetMode="External"/><Relationship Id="rId52" Type="http://schemas.openxmlformats.org/officeDocument/2006/relationships/hyperlink" Target="https://www.xiaohongshu.com/explore/69e190090000000023011251?xsec_token=ABPf6W9nl4PIWVJH6gXwtswcSfxZlsOtgg6AJhcOguYbM=" TargetMode="External"/><Relationship Id="rId60" Type="http://schemas.openxmlformats.org/officeDocument/2006/relationships/hyperlink" Target="https://www.xiaohongshu.com/explore/69e601d0000000002103aacd?xsec_token=ABmBcRQSHJbWmv0ZhzZw_7TJbPtvH3XS76xN9JdrI74CU=&amp;exSource=https://cooper.didichuxing.com/" TargetMode="External"/><Relationship Id="rId65" Type="http://schemas.openxmlformats.org/officeDocument/2006/relationships/hyperlink" Target="https://www.xiaohongshu.com/explore/69e6ce3c000000001d018677?xsec_token=ABmBcRQSHJbWmv0ZhzZw_7TAk7RdhI4o1VDr4LEQ9bHuc=" TargetMode="External"/><Relationship Id="rId73" Type="http://schemas.openxmlformats.org/officeDocument/2006/relationships/hyperlink" Target="https://www.xiaohongshu.com/explore/69ea27b10000000022029ddb?xsec_token=AB1Ovtm-ImnpG5ATFAAwXtpWtK7BN9KX4v8l_BQQNA4CA=" TargetMode="External"/><Relationship Id="rId78" Type="http://schemas.openxmlformats.org/officeDocument/2006/relationships/hyperlink" Target="https://www.xiaohongshu.com/explore/69eb14c4000000001a0368eb?app_platform=android&amp;ignoreEngage=true&amp;app_version=9.20.0&amp;share_from_user_hidden=true&amp;xsec_source=app_share&amp;type=normal&amp;xsec_token=CBRBODJwCf7Xkki9Lrwoz6RCd0f1-PKSlOEMsYlJMCO9I=&amp;author_share=1&amp;shareRedId=N0pFMjk6SkI2NzUyOTgwNjY0OTc6NTc8&amp;apptime=1777268776&amp;share_id=9332ff15581a4e27b29cb699a01d5b87&amp;share_channel=copy_link&amp;appuid=5dc265f90000000001006013&amp;xhsshare=CopyLink" TargetMode="External"/><Relationship Id="rId81" Type="http://schemas.openxmlformats.org/officeDocument/2006/relationships/hyperlink" Target="https://www.xiaohongshu.com/explore/69e94c89000000001a02ca10?app_platform=android&amp;ignoreEngage=true&amp;app_version=9.20.0&amp;share_from_user_hidden=true&amp;xsec_source=app_share&amp;type=normal&amp;xsec_token=CB85MM-rOkh6ubyxzyIZG3y_vP04Ffg-dEgxAzJ6JSFds=&amp;author_share=1&amp;shareRedId=N0pFMjk6SkI2NzUyOTgwNjY0OTc6NTc8&amp;apptime=1777269156&amp;share_id=fade4c07664f4b3f8d0f67b8ecfeb984&amp;share_channel=copy_link&amp;appuid=5dc265f90000000001006013&amp;xhsshare=CopyLink" TargetMode="External"/><Relationship Id="rId86" Type="http://schemas.openxmlformats.org/officeDocument/2006/relationships/hyperlink" Target="https://www.xiaohongshu.com/explore/69ef91b1000000002300564b?xsec_token=ABZgdCG38m42mQ1vgh4gAZk2fUZI96wuDPgk9xMqwSSV4=" TargetMode="External"/><Relationship Id="rId94" Type="http://schemas.openxmlformats.org/officeDocument/2006/relationships/hyperlink" Target="https://www.xiaohongshu.com/explore/69f2ecd80000000036000e40?xsec_token=ABetYAHOhY16yiR5a2fqXNDsPWuXDXNybg9Meg3UygIVM=" TargetMode="External"/><Relationship Id="rId4" Type="http://schemas.openxmlformats.org/officeDocument/2006/relationships/hyperlink" Target="https://www.xiaohongshu.com/explore/69cc97cc000000001a032a71?xsec_token=ABC1Rz8ntxdGac-0OCOPiJKsV0DFJqstkNaad4VOTdhVw=" TargetMode="External"/><Relationship Id="rId9" Type="http://schemas.openxmlformats.org/officeDocument/2006/relationships/hyperlink" Target="https://www.xiaohongshu.com/explore/69cf8182000000001f003ed4?xsec_token=ABoSvQFJ0f3PYK4Jsl071AAWDX4bAAn_7zXMolTpPtZXI=" TargetMode="External"/><Relationship Id="rId13" Type="http://schemas.openxmlformats.org/officeDocument/2006/relationships/hyperlink" Target="https://www.xiaohongshu.com/explore/69cde1010000000023024115?app_platform=android&amp;ignoreEngage=true&amp;app_version=9.20.0&amp;share_from_user_hidden=true&amp;xsec_source=app_share&amp;type=normal&amp;xsec_token=CBULY2uMAH1IeyA4C8LVnwhjKnLHO0p3Au2VZZpi-OoUU=&amp;author_share=1&amp;shareRedId=N0pFMjk6SkI2NzUyOTgwNjY0OTc6NTc8&amp;apptime=1775532035&amp;share_id=a23491bc97bd4be9bb3b3e704e6b6392&amp;share_channel=copy_link&amp;appuid=5dc265f90000000001006013&amp;xhsshare=CopyLink" TargetMode="External"/><Relationship Id="rId18" Type="http://schemas.openxmlformats.org/officeDocument/2006/relationships/hyperlink" Target="https://www.xiaohongshu.com/explore/69d623c5000000001a024f22?xsec_token=ABTMSPL7peDrTIZMOGwPwSP7RKj0iTsfzf8evfyey8-gA=" TargetMode="External"/><Relationship Id="rId39" Type="http://schemas.openxmlformats.org/officeDocument/2006/relationships/hyperlink" Target="https://www.xiaohongshu.com/explore/69dda7e6000000001f001170?xsec_token=AB1j-fIYpZpafnlnIfeJ5iGLxl-j6ReMuEcJBwtlK8GRY=" TargetMode="External"/><Relationship Id="rId34" Type="http://schemas.openxmlformats.org/officeDocument/2006/relationships/hyperlink" Target="https://www.xiaohongshu.com/explore/69ddab92000000001a0237b7?xsec_token=AB1GIw-n0OVafw-I-mNCpCEq-mSr96YcMWCiNmgLxbVPs=&amp;exSource=https://my.feishu.cn/" TargetMode="External"/><Relationship Id="rId50" Type="http://schemas.openxmlformats.org/officeDocument/2006/relationships/hyperlink" Target="https://www.xiaohongshu.com/explore/69def2eb000000002102d5fe?xsec_token=ABKU4hGIdMFEuUNsQxAyF0hs-fHrFg-iGEMDWAXvZasYM=" TargetMode="External"/><Relationship Id="rId55" Type="http://schemas.openxmlformats.org/officeDocument/2006/relationships/hyperlink" Target="https://www.xiaohongshu.com/explore/69e1fb3c000000001f003ee2?app_platform=android&amp;ignoreEngage=true&amp;app_version=9.20.0&amp;share_from_user_hidden=true&amp;xsec_source=app_share&amp;type=video&amp;xsec_token=CBilX6zXNpx51SRhsKlSyFdgyKWDYudIm2nTvD4l4zDqE=&amp;author_share=1&amp;shareRedId=N0pFMjk6SkI2NzUyOTgwNjY0OTc6NTc8&amp;apptime=1776654790&amp;share_id=38940b306b664ff68ae2b95c21bd13ff&amp;share_channel=copy_link&amp;appuid=5dc265f90000000001006013&amp;xhsshare=CopyLink" TargetMode="External"/><Relationship Id="rId76" Type="http://schemas.openxmlformats.org/officeDocument/2006/relationships/hyperlink" Target="https://www.xiaohongshu.com/explore/69eead98000000001a02f119?app_platform=android&amp;ignoreEngage=true&amp;app_version=9.20.0&amp;share_from_user_hidden=true&amp;xsec_source=app_share&amp;type=normal&amp;xsec_token=CBRsy7PkwLVAW1VQTzgvHSh5kZ8hSx017BydV2JDs7-3U=&amp;author_share=1&amp;shareRedId=N0pFMjk6SkI2NzUyOTgwNjY0OTc6NTc8&amp;apptime=1777268627&amp;share_id=fddd04bae8d944c3b1f8268f844fb00e&amp;share_channel=copy_link&amp;appuid=5dc265f90000000001006013&amp;xhsshare=CopyLink" TargetMode="External"/><Relationship Id="rId97" Type="http://schemas.openxmlformats.org/officeDocument/2006/relationships/hyperlink" Target="https://www.xiaohongshu.com/explore/69f19283000000003503b16f?xsec_token=ABh4kH9hXYWMgFpRFZgOeKr8kel0HHoTQxzsZVTsJZLAo=" TargetMode="External"/><Relationship Id="rId7" Type="http://schemas.openxmlformats.org/officeDocument/2006/relationships/hyperlink" Target="https://www.xiaohongshu.com/explore/69ce3d56000000002301015b?xsec_token=ABKO8PaGl15RSIUyOh8LgedfHl8OMj2V0Qqk9ovkGtu8E=" TargetMode="External"/><Relationship Id="rId71" Type="http://schemas.openxmlformats.org/officeDocument/2006/relationships/hyperlink" Target="https://www.xiaohongshu.com/explore/69ea443e000000001f031803?xsec_token=AB1Ovtm-ImnpG5ATFAAwXtpZhMltWt4kcXmbK6lDWN4xE=" TargetMode="External"/><Relationship Id="rId92" Type="http://schemas.openxmlformats.org/officeDocument/2006/relationships/hyperlink" Target="https://www.xiaohongshu.com/explore/69f17a30000000003502d8da?xsec_token=ABmbFepnQx-jFoEzvEhhzqxNRpCCA7k8sUY3_88LcNzEc=" TargetMode="External"/><Relationship Id="rId2" Type="http://schemas.openxmlformats.org/officeDocument/2006/relationships/hyperlink" Target="https://www.xiaohongshu.com/explore/69cc84e70000000023005861?xsec_token=ABC1Rz8ntxdGac-0OCOPiJKunuW9vAPWwI3mgz5qHfEdo=" TargetMode="External"/><Relationship Id="rId29" Type="http://schemas.openxmlformats.org/officeDocument/2006/relationships/hyperlink" Target="https://www.xiaohongshu.com/explore/69db1d7b000000002302066f?app_platform=android&amp;ignoreEngage=true&amp;app_version=9.20.0&amp;share_from_user_hidden=true&amp;xsec_source=app_share&amp;type=normal&amp;xsec_token=CBEVH9ThSIXWrSxzSb2sCcJtOytuvqf5MCjvka_H571mE=&amp;author_share=1&amp;shareRedId=N0pFMjk6SkI2NzUyOTgwNjY0OTc6NTc8&amp;apptime=1776048907&amp;share_id=9af951fc21c54fe0a6f5d210b4573be1&amp;share_channel=copy_link&amp;appuid=5dc265f90000000001006013&amp;xhsshare=CopyLink" TargetMode="External"/><Relationship Id="rId24" Type="http://schemas.openxmlformats.org/officeDocument/2006/relationships/hyperlink" Target="https://www.xiaohongshu.com/explore/69d878df000000001b0237fc?xsec_token=ABfvdJ9NapNLuQ9Q2UxTyFI67NG6m50gCvq_OoQLk0bOI=" TargetMode="External"/><Relationship Id="rId40" Type="http://schemas.openxmlformats.org/officeDocument/2006/relationships/hyperlink" Target="https://www.xiaohongshu.com/explore/69dcbff5000000001a03085a?xsec_token=ABuHm2VVL9If9tOenMXINt-XGTaWbua8PnLPHr0gDK9lY=" TargetMode="External"/><Relationship Id="rId45" Type="http://schemas.openxmlformats.org/officeDocument/2006/relationships/hyperlink" Target="https://www.xiaohongshu.com/explore/69ddda680000000022027822?xsec_token=AB1j-fIYpZpafnlnIfeJ5iGF9uvmm7nD9BdL6Ii9bJbnM=" TargetMode="External"/><Relationship Id="rId66" Type="http://schemas.openxmlformats.org/officeDocument/2006/relationships/hyperlink" Target="https://www.xiaohongshu.com/explore/69e859460000000023012e5e?xsec_token=ABTnCOUc1TmnbS_OCkgjb5Np0N-Fjuiup6J70odmH2aA4=&amp;xsec_source=pc_search&amp;source=web_search_result_notes" TargetMode="External"/><Relationship Id="rId87" Type="http://schemas.openxmlformats.org/officeDocument/2006/relationships/hyperlink" Target="https://www.xiaohongshu.com/explore/69ef76e8000000003601943f?xsec_token=ABZgdCG38m42mQ1vgh4gAZk-5YMxdg89uNnxoQxzmb3vQ=" TargetMode="External"/><Relationship Id="rId61" Type="http://schemas.openxmlformats.org/officeDocument/2006/relationships/hyperlink" Target="https://www.xiaohongshu.com/explore/69e705c10000000021010887?xsec_token=ABbtQmxJ_Z3qhWezOJm00mpmIi1g2VFo9b00dF64XdWGs=" TargetMode="External"/><Relationship Id="rId82" Type="http://schemas.openxmlformats.org/officeDocument/2006/relationships/hyperlink" Target="https://www.xiaohongshu.com/explore/69eb2894000000001f030c01?app_platform=android&amp;ignoreEngage=true&amp;app_version=9.20.0&amp;share_from_user_hidden=true&amp;xsec_source=app_share&amp;type=normal&amp;xsec_token=CBRBODJwCf7Xkki9Lrwoz6RLHbhu-cpyedGL_6nq9mOys=&amp;author_share=1&amp;shareRedId=N0pFMjk6SkI2NzUyOTgwNjY0OTc6NTc8&amp;apptime=1777269210&amp;share_id=2127a0fe368645b0ae91df0b08af4228&amp;share_channel=copy_link&amp;appuid=5dc265f90000000001006013&amp;xhsshare=CopyLink" TargetMode="External"/><Relationship Id="rId19" Type="http://schemas.openxmlformats.org/officeDocument/2006/relationships/hyperlink" Target="https://www.xiaohongshu.com/explore/69d480da0000000021039ef0?xsec_token=ABYYUFgY2v0W4mFyyQWIChwgygSJvxgXmoCrazzTTW-oM=" TargetMode="External"/><Relationship Id="rId14" Type="http://schemas.openxmlformats.org/officeDocument/2006/relationships/hyperlink" Target="https://www.xiaohongshu.com/explore/69d386a0000000001f006f81?app_platform=android&amp;ignoreEngage=true&amp;app_version=9.20.0&amp;share_from_user_hidden=true&amp;xsec_source=app_share&amp;type=normal&amp;xsec_token=CBczBodANeTxLZOq_OziYxMMy0FVMjbBAh3v7oT9wUL-s=&amp;author_share=1&amp;shareRedId=N0pFMjk6SkI2NzUyOTgwNjY0OTc6NTc8&amp;apptime=1775532141&amp;share_id=3e91c35fa6bd4d06b8b81016f5947fd2&amp;share_channel=copy_link&amp;appuid=5dc265f90000000001006013&amp;xhsshare=CopyLink" TargetMode="External"/><Relationship Id="rId30" Type="http://schemas.openxmlformats.org/officeDocument/2006/relationships/hyperlink" Target="https://www.xiaohongshu.com/explore/69d74fd2000000001f004795?xsec_token=AB57KkTZMlkZFp3GEtqmyf7Wj6dfakgUlFHiqRCmJMadM=" TargetMode="External"/><Relationship Id="rId35" Type="http://schemas.openxmlformats.org/officeDocument/2006/relationships/hyperlink" Target="https://www.xiaohongshu.com/explore/69dcfab60000000021039f5a?xsec_token=ABHKR4ElKh9q-dsYucMdqm4pZr0YL4mzkoHb4Jl7AzybY=" TargetMode="External"/><Relationship Id="rId56" Type="http://schemas.openxmlformats.org/officeDocument/2006/relationships/hyperlink" Target="https://www.xiaohongshu.com/explore/69e5966d0000000023020ddd?app_platform=android&amp;ignoreEngage=true&amp;app_version=9.20.0&amp;share_from_user_hidden=true&amp;xsec_source=app_share&amp;type=normal&amp;xsec_token=CB457ZQweTEy3aa2D2MPSgOZzfBvMYPkQMLeFjn-ff4w0=&amp;author_share=1&amp;shareRedId=N0pFMjk6SkI2NzUyOTgwNjY0OTc6NTc8&amp;apptime=1776654915&amp;share_id=296ae3d2a136451aa783884d884f34af&amp;share_channel=copy_link&amp;appuid=5dc265f90000000001006013&amp;xhsshare=CopyLink" TargetMode="External"/><Relationship Id="rId77" Type="http://schemas.openxmlformats.org/officeDocument/2006/relationships/hyperlink" Target="https://www.xiaohongshu.com/explore/69edfc54000000003502aae3?app_platform=android&amp;ignoreEngage=true&amp;app_version=9.20.0&amp;share_from_user_hidden=true&amp;xsec_source=app_share&amp;type=normal&amp;xsec_token=CBOhELoPgqe_s-6GR15DKuFltNQmeJNsJpz6rGYe5ckqA=&amp;author_share=1&amp;shareRedId=N0pFMjk6SkI2NzUyOTgwNjY0OTc6NTc8&amp;apptime=1777268706&amp;share_id=6ed3885279db4248aed63ba61bf4f4a2&amp;share_channel=copy_link&amp;appuid=5dc265f90000000001006013&amp;xhsshare=CopyLink" TargetMode="External"/><Relationship Id="rId8" Type="http://schemas.openxmlformats.org/officeDocument/2006/relationships/hyperlink" Target="https://www.xiaohongshu.com/explore/69ce00da000000002200048b?xsec_token=ABKO8PaGl15RSIUyOh8LgedVTGqK7M7iCjTdzslj4bpsE=" TargetMode="External"/><Relationship Id="rId51" Type="http://schemas.openxmlformats.org/officeDocument/2006/relationships/hyperlink" Target="https://www.xiaohongshu.com/explore/69e1a0b6000000001d01f65d?xsec_token=ABPf6W9nl4PIWVJH6gXwtswfhb9kZDmVecBUgWSVU8Xf0=" TargetMode="External"/><Relationship Id="rId72" Type="http://schemas.openxmlformats.org/officeDocument/2006/relationships/hyperlink" Target="https://www.xiaohongshu.com/explore/69e9e9e40000000012012803?xsec_token=ABuDCr01dadir9PwwT7w5mkVShjVZd4kbsnbW0nyHyxnU=" TargetMode="External"/><Relationship Id="rId93" Type="http://schemas.openxmlformats.org/officeDocument/2006/relationships/hyperlink" Target="https://www.xiaohongshu.com/explore/69f1c29d0000000023005a50?app_platform=ios&amp;app_version=9.28&amp;share_from_user_hidden=true&amp;xsec_source=app_share&amp;type=normal&amp;xsec_token=CBg2gaKUnCxg2ud8iQCl-jr45B4wRjJaReZTBWhc6ZI6I=&amp;author_share=1&amp;xhsshare=WeixinSession&amp;shareRedId=ODY6NTk5Nzs2NzUyOTgwNjY0OTc8OTxC&amp;apptime=1777472867&amp;share_id=df9fcb8ddf8e446c9a5118d8d3317c00&amp;code=2G20cXCQnOy" TargetMode="External"/><Relationship Id="rId98" Type="http://schemas.openxmlformats.org/officeDocument/2006/relationships/hyperlink" Target="https://www.xiaohongshu.com/explore/69f1b5c4000000003502cfd0?xsec_token=ABh4kH9hXYWMgFpRFZgOeKr3nDPNLrQBCZ3Y-2WjHeTck=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xiaohongshu.com/explore/69fcae64000000001a02cfdc?xsec_token=ABBtRwVR8gpszCBfbW9B5RgYaEC41EyjHY2KGY0I1izz8=" TargetMode="External"/><Relationship Id="rId18" Type="http://schemas.openxmlformats.org/officeDocument/2006/relationships/hyperlink" Target="https://www.xiaohongshu.com/explore/69fde0030000000035023490?xsec_token=ABNbFDvmT2gE-NxXGweO_FYI6uipgsb69YYyq6uLnaHi0=&amp;exSource=https://my.feishu.cn/" TargetMode="External"/><Relationship Id="rId26" Type="http://schemas.openxmlformats.org/officeDocument/2006/relationships/hyperlink" Target="https://www.xiaohongshu.com/explore/69edd0cf0000000035025453?xsec_token=ABkhnHrdTn66wpzixyl95xc6Rar_v_JNNubvWrO19cP24=&amp;xsec_source=pc_search" TargetMode="External"/><Relationship Id="rId39" Type="http://schemas.openxmlformats.org/officeDocument/2006/relationships/hyperlink" Target="https://www.xiaohongshu.com/explore/6a046b14000000000702a3b5?xsec_token=AB19yGNDIZJ8ti3fP2rXuFyYzgr_uZIkxb4zFf3gO10O8=&amp;xsec_source=pc_search" TargetMode="External"/><Relationship Id="rId21" Type="http://schemas.openxmlformats.org/officeDocument/2006/relationships/hyperlink" Target="https://www.xiaohongshu.com/explore/69ff2744000000003601bafd?xsec_token=ABSe7suRAYmulQ4PBfwqDWg_Ql-v1qHlDG2U5q2K-9fKY=" TargetMode="External"/><Relationship Id="rId34" Type="http://schemas.openxmlformats.org/officeDocument/2006/relationships/hyperlink" Target="https://www.xiaohongshu.com/explore/6a0319c60000000006021d84?xsec_token=ABUGydpp8sZT7bGqSkfVTRrHid3PrB1nq-JdnXf8CTZ_Y=" TargetMode="External"/><Relationship Id="rId42" Type="http://schemas.openxmlformats.org/officeDocument/2006/relationships/hyperlink" Target="https://www.xiaohongshu.com/explore/6a04598d0000000035023cee?xsec_token=AB19yGNDIZJ8ti3fP2rXuFySN9b_R401g8JkajaJ9r29E=&amp;xsec_source=pc_search" TargetMode="External"/><Relationship Id="rId47" Type="http://schemas.openxmlformats.org/officeDocument/2006/relationships/hyperlink" Target="https://www.xiaohongshu.com/explore/6a05d478000000000702a5fd?xsec_token=ABdRAD_phk1WlZetOXGBETlfNvPtylvs66xfjVJjvdhtA=&amp;xsec_source=pc_search" TargetMode="External"/><Relationship Id="rId50" Type="http://schemas.openxmlformats.org/officeDocument/2006/relationships/hyperlink" Target="https://www.xiaohongshu.com/explore/6a0f90e70000000036033d81?xsec_token=ABYM9RCRC7N0P5B2FWcGAocTrr2RqnlEyInEO2i3u4kFM=&amp;xsec_source=pc_search&amp;source=web_explore_feed" TargetMode="External"/><Relationship Id="rId55" Type="http://schemas.openxmlformats.org/officeDocument/2006/relationships/hyperlink" Target="https://www.xiaohongshu.com/explore/6a1b03320000000007023416?source=webshare&amp;xhsshare=pc_web&amp;xsec_token=ABVu2Ikww7Yvsqdp5W-WvR7mlO887D0zq7sUVZxpojDsM=&amp;xsec_source=pc_share" TargetMode="External"/><Relationship Id="rId7" Type="http://schemas.openxmlformats.org/officeDocument/2006/relationships/hyperlink" Target="https://www.xiaohongshu.com/explore/69fb226a00000000350207ff?xsec_token=ABelO7dPqxWwMbHBMg1xlMAEGTvMgcK3FdXgvdXSp_L80=" TargetMode="External"/><Relationship Id="rId2" Type="http://schemas.openxmlformats.org/officeDocument/2006/relationships/hyperlink" Target="https://www.xiaohongshu.com/explore/69f9d0d5000000003601a3f1?xsec_token=ABa01KIw3FNSCIsTS2LPTf6ZnSPxmuZqMjQP15XiIMumA=" TargetMode="External"/><Relationship Id="rId16" Type="http://schemas.openxmlformats.org/officeDocument/2006/relationships/hyperlink" Target="https://www.xiaohongshu.com/explore/69fab3fd000000003501edf9?app_platform=ios&amp;app_version=9.28.1&amp;share_from_user_hidden=true&amp;xsec_source=app_share&amp;type=normal&amp;xsec_token=CBPZ69__HQk7Q8Y-E8hjtw2iJs_hWjBOFCxxjj36RENAc=&amp;author_share=1&amp;xhsshare=CopyLink&amp;shareRedId=N0dDN0hINkI6TEZFSkoyPz41SjlJSEg9&amp;apptime=1778211219&amp;share_id=0fd8efd77d084114a3cdd4ddb5970ffc" TargetMode="External"/><Relationship Id="rId29" Type="http://schemas.openxmlformats.org/officeDocument/2006/relationships/hyperlink" Target="https://www.xiaohongshu.com/explore/6a02a86800000000070130aa?xsec_token=AB7U6zAAB-FbTocf-dL8C5T5OiIULUabftGK25BLSoZ4A=&amp;xsec_source=pc_search" TargetMode="External"/><Relationship Id="rId11" Type="http://schemas.openxmlformats.org/officeDocument/2006/relationships/hyperlink" Target="https://www.xiaohongshu.com/explore/69fa2dbd00000000360197a1?xsec_token=ABb9AmBAYzWHkEWhQuDzCy0R8llkPCrq9q8BHZwFn3sA4=" TargetMode="External"/><Relationship Id="rId24" Type="http://schemas.openxmlformats.org/officeDocument/2006/relationships/hyperlink" Target="https://www.xiaohongshu.com/explore/6a0044d200000000360190fc?source=webshare&amp;xhsshare=pc_web&amp;xsec_token=ABe7uh94rgLtb32KVXCgE6zdSecME_4lvf9lXqCwH7ZDM=&amp;xsec_source=pc_share" TargetMode="External"/><Relationship Id="rId32" Type="http://schemas.openxmlformats.org/officeDocument/2006/relationships/hyperlink" Target="https://www.xiaohongshu.com/explore/6a01ba55000000000702ca26?xsec_token=ABMDY_ifAXf43glQ4iD8PYNQpF_wV9vHtGDrwlg8rWheA=&amp;xsec_source=pc_search" TargetMode="External"/><Relationship Id="rId37" Type="http://schemas.openxmlformats.org/officeDocument/2006/relationships/hyperlink" Target="https://www.xiaohongshu.com/explore/6a03ef13000000003700e895?xsec_token=ABUGydpp8sZT7bGqSkfVTRrPwiu4gyIv_qx90a962TmYA=&amp;xsec_source=pc_search" TargetMode="External"/><Relationship Id="rId40" Type="http://schemas.openxmlformats.org/officeDocument/2006/relationships/hyperlink" Target="https://www.xiaohongshu.com/explore/6a0469a50000000008030b80?xsec_token=AB19yGNDIZJ8ti3fP2rXuFyY3zvWAaub09cgIoWuZmGto=&amp;xsec_source=pc_search" TargetMode="External"/><Relationship Id="rId45" Type="http://schemas.openxmlformats.org/officeDocument/2006/relationships/hyperlink" Target="https://www.xiaohongshu.com/explore/6a041bbf0000000038037d42?xsec_token=AB19yGNDIZJ8ti3fP2rXuFyekuWpqAfJnKvoyHP5H9I9E=&amp;xsec_source=pc_search&amp;source=web_search_result_notes&amp;exSource=https://my.feishu.cn/" TargetMode="External"/><Relationship Id="rId53" Type="http://schemas.openxmlformats.org/officeDocument/2006/relationships/hyperlink" Target="https://www.xiaohongshu.com/explore/6a1828080000000006033d4d?xsec_token=ABeCeeIQhmQb3WkzfAON5qvHvAzKVJvqZLnvaI4RXE3-o=&amp;source=web_explore_feed" TargetMode="External"/><Relationship Id="rId5" Type="http://schemas.openxmlformats.org/officeDocument/2006/relationships/hyperlink" Target="https://www.xiaohongshu.com/explore/69f6f7160000000035032d5a?note_flow_source=wechat&amp;xsec_token=CBI1UWmWTbRhl4rxrQu1WE8SosxLoRvzg3arIhEyKPYL4=" TargetMode="External"/><Relationship Id="rId10" Type="http://schemas.openxmlformats.org/officeDocument/2006/relationships/hyperlink" Target="https://www.xiaohongshu.com/explore/69fc2d28000000002003a003?xsec_token=ABwPYmqoMR6qCxnABY9tKfBXJ98AlN9BYjFmm7jjFXZHE=" TargetMode="External"/><Relationship Id="rId19" Type="http://schemas.openxmlformats.org/officeDocument/2006/relationships/hyperlink" Target="https://www.xiaohongshu.com/explore/69fe7e640000000023017177?xsec_token=AB7ukW7fajRnxFsjbDV6X4qNCdWkxaxQYO2sfNVQYaPQI=" TargetMode="External"/><Relationship Id="rId31" Type="http://schemas.openxmlformats.org/officeDocument/2006/relationships/hyperlink" Target="https://www.xiaohongshu.com/explore/6a01c59a0000000035038156?xsec_token=ABMDY_ifAXf43glQ4iD8PYNWfE3Q3cvQ3E4tJejze7REs=&amp;xsec_source=pc_search" TargetMode="External"/><Relationship Id="rId44" Type="http://schemas.openxmlformats.org/officeDocument/2006/relationships/hyperlink" Target="https://www.xiaohongshu.com/explore/6a0437f600000000070122fd?xsec_token=AB19yGNDIZJ8ti3fP2rXuFyaqzX_0syO4UU72X5pnSLog=&amp;xsec_source=pc_search&amp;source=web_note_detail_r10" TargetMode="External"/><Relationship Id="rId52" Type="http://schemas.openxmlformats.org/officeDocument/2006/relationships/hyperlink" Target="https://www.xiaohongshu.com/explore/6a1699680000000035039b6f?source=webshare&amp;xhsshare=pc_web&amp;xsec_token=CBjo7cxXH3SRqsRbXebnT6kWk9o8HKY7hdl9oFRt13snc=&amp;xsec_source=pc_share" TargetMode="External"/><Relationship Id="rId4" Type="http://schemas.openxmlformats.org/officeDocument/2006/relationships/hyperlink" Target="https://www.xiaohongshu.com/explore/69f1e8ef000000001e00cc08?note_flow_source=wechat&amp;xsec_token=CB8RFidiOHx448pSCWzbm3uUoSBFRPNp8Df9NjnF-0CM4=" TargetMode="External"/><Relationship Id="rId9" Type="http://schemas.openxmlformats.org/officeDocument/2006/relationships/hyperlink" Target="https://www.xiaohongshu.com/explore/69fb34d0000000003703435a?xsec_token=ABARK6t9lwvGdzCFjVrffVdgqwyb1B3wbS-uqEQn8QZmE=" TargetMode="External"/><Relationship Id="rId14" Type="http://schemas.openxmlformats.org/officeDocument/2006/relationships/hyperlink" Target="https://www.xiaohongshu.com/explore/69fc65f90000000022028b6c?app_platform=ios&amp;app_version=9.28.1&amp;share_from_user_hidden=true&amp;xsec_source=app_share&amp;type=normal&amp;xsec_token=CBAxrSWo8Hhf4veuCxUrwqpC0T6aWsI46v29AvU_0nATA=&amp;author_share=1&amp;xhsshare=CopyLink&amp;shareRedId=N0dDN0hINkI6TEZFSkoyPz41SjlJSEg9&amp;apptime=1778211149&amp;share_id=649545e6b4c74bc3b79f908fac0a7947" TargetMode="External"/><Relationship Id="rId22" Type="http://schemas.openxmlformats.org/officeDocument/2006/relationships/hyperlink" Target="https://www.xiaohongshu.com/explore/6a01468400000000060214be?xsec_token=ABMDY_ifAXf43glQ4iD8PYNZWMIiDvTz3M6rD-nGS0c0M=&amp;xsec_source=pc_search" TargetMode="External"/><Relationship Id="rId27" Type="http://schemas.openxmlformats.org/officeDocument/2006/relationships/hyperlink" Target="https://www.xiaohongshu.com/explore/6a013f80000000000803ca41?xsec_token=ABMDY_ifAXf43glQ4iD8PYNd0fpxtyb-aDsuPHeEeUSac=&amp;xsec_source=pc_search&amp;source=web_explore_feed" TargetMode="External"/><Relationship Id="rId30" Type="http://schemas.openxmlformats.org/officeDocument/2006/relationships/hyperlink" Target="https://www.xiaohongshu.com/explore/6a01ed3a000000003503a60e?xsec_token=ABMDY_ifAXf43glQ4iD8PYNQBwgNEHYp4wX45z4dWdtjo=&amp;xsec_source=pc_search" TargetMode="External"/><Relationship Id="rId35" Type="http://schemas.openxmlformats.org/officeDocument/2006/relationships/hyperlink" Target="https://www.xiaohongshu.com/explore/6a015f1700000000380356d7?xsec_token=ABMDY_ifAXf43glQ4iD8PYNaniy7YBsqf9b7hzbiqag-s=&amp;xsec_source=pc_search" TargetMode="External"/><Relationship Id="rId43" Type="http://schemas.openxmlformats.org/officeDocument/2006/relationships/hyperlink" Target="https://www.xiaohongshu.com/explore/6a0439ad0000000036033ee4?xsec_token=AB19yGNDIZJ8ti3fP2rXuFyQJIhmwnZmNbhu_vtK2KefQ=&amp;xsec_source=pc_search&amp;source=web_note_detail_r10" TargetMode="External"/><Relationship Id="rId48" Type="http://schemas.openxmlformats.org/officeDocument/2006/relationships/hyperlink" Target="https://www.xiaohongshu.com/explore/6a05a83700000000070281e9?xsec_token=ABdRAD_phk1WlZetOXGBETlWPqpm8Dt5G2igt8vaRy8bs=&amp;xsec_source=pc_search" TargetMode="External"/><Relationship Id="rId8" Type="http://schemas.openxmlformats.org/officeDocument/2006/relationships/hyperlink" Target="https://www.xiaohongshu.com/explore/69fc0ddb000000001f005a56?xsec_token=ABcsHLT2IdhyDi6N_CLnT_R8sSTrsaAX_qNGmqfsKQqq8=&amp;xsec_source=pc_search&amp;source=web_search_result_notes" TargetMode="External"/><Relationship Id="rId51" Type="http://schemas.openxmlformats.org/officeDocument/2006/relationships/hyperlink" Target="https://www.xiaohongshu.com/explore/6a0ede3d0000000035038e85?xsec_token=AB4GV38jFFqgm3TMJ-nHEVkYt84aeP8HDEnET8H8bTKzg=&amp;xsec_source=pc_search" TargetMode="External"/><Relationship Id="rId3" Type="http://schemas.openxmlformats.org/officeDocument/2006/relationships/hyperlink" Target="https://www.xiaohongshu.com/explore/69f2f64d000000002202410c?app_platform=ios&amp;app_version=9.23&amp;share_from_user_hidden=true&amp;xsec_source=app_share&amp;type=normal&amp;xsec_token=CBBV9_vzbj_FXbJ_j67LntrsyjW4OxBrPaT5RMvpK-lIw=&amp;author_share=1&amp;xhsshare=CopyLink&amp;shareRedId=ODY0NzU8Rzo2NzUyOTgwNjY0OThIN0lA&amp;apptime=1778036727&amp;share_id=c7a1f6846c00444d8a5fcdbf6f3744df" TargetMode="External"/><Relationship Id="rId12" Type="http://schemas.openxmlformats.org/officeDocument/2006/relationships/hyperlink" Target="https://www.xiaohongshu.com/explore/69fc838f0000000035039774?xsec_token=ABBtRwVR8gpszCBfbW9B5RgdOPvIaKdFdsDFAzyoA7ds4=" TargetMode="External"/><Relationship Id="rId17" Type="http://schemas.openxmlformats.org/officeDocument/2006/relationships/hyperlink" Target="https://www.xiaohongshu.com/explore/69fc798c000000003502a9d8?xsec_token=ABcsHLT2IdhyDi6N_CLnT_R8DhhUAlroRDer_EtK6e-TU=" TargetMode="External"/><Relationship Id="rId25" Type="http://schemas.openxmlformats.org/officeDocument/2006/relationships/hyperlink" Target="https://www.xiaohongshu.com/explore/6a015c4b00000000060375d5?app_platform=ios&amp;app_version=9.29&amp;share_from_user_hidden=true&amp;xsec_source=app_share&amp;type=video&amp;xsec_token=CB0EIrGEJAR4IkKD6WrpqGlpqf93X6j_93NaDh5PA3tzg=&amp;author_share=1&amp;xhsshare=CopyLink&amp;shareRedId=N0dDN0hINkI6TEZFSkoyPz41SjlJSEg9&amp;apptime=1778482875&amp;share_id=f1045e5ebc884cc3a25f3f6dbe720b37" TargetMode="External"/><Relationship Id="rId33" Type="http://schemas.openxmlformats.org/officeDocument/2006/relationships/hyperlink" Target="https://www.xiaohongshu.com/explore/6a019fc3000000003502aa17?xsec_token=ABMDY_ifAXf43glQ4iD8PYNe3edi3uM3rB-Ib-bKXaLuY=&amp;xsec_source=pc_search" TargetMode="External"/><Relationship Id="rId38" Type="http://schemas.openxmlformats.org/officeDocument/2006/relationships/hyperlink" Target="https://www.xiaohongshu.com/explore/6a043375000000003501ceb1?xsec_token=AB19yGNDIZJ8ti3fP2rXuFyRJoCGskAnp4wRqybahT-RU=" TargetMode="External"/><Relationship Id="rId46" Type="http://schemas.openxmlformats.org/officeDocument/2006/relationships/hyperlink" Target="https://www.xiaohongshu.com/explore/6a0588ec000000000603655e?xsec_token=ABdRAD_phk1WlZetOXGBETlXHd5bpXMA87JRN5dFOiEjI=&amp;xsec_source=pc_search" TargetMode="External"/><Relationship Id="rId20" Type="http://schemas.openxmlformats.org/officeDocument/2006/relationships/hyperlink" Target="https://www.xiaohongshu.com/explore/6a011d41000000000702031a?xsec_token=ABMDY_ifAXf43glQ4iD8PYNQ5y3nGwbGTzhVuJCHwfsc4=" TargetMode="External"/><Relationship Id="rId41" Type="http://schemas.openxmlformats.org/officeDocument/2006/relationships/hyperlink" Target="https://www.xiaohongshu.com/explore/6a045c91000000003700d056?xsec_token=AB19yGNDIZJ8ti3fP2rXuFyaf1zFDYzeXYNexiBPTQHbY=&amp;xsec_source=pc_search" TargetMode="External"/><Relationship Id="rId54" Type="http://schemas.openxmlformats.org/officeDocument/2006/relationships/hyperlink" Target="https://www.xiaohongshu.com/explore/6a18187f00000000060205c0?xsec_token=ABXW9ehr4jSOOeAchPEo22Dz10rrAKO4JkTIRwA6q1evY=&amp;xsec_source=pc_search&amp;source=web_explore_feed" TargetMode="External"/><Relationship Id="rId1" Type="http://schemas.openxmlformats.org/officeDocument/2006/relationships/hyperlink" Target="https://www.xiaohongshu.com/explore/69f9fede0000000036001eb0?xsec_token=ABXpClgvyZnrSy5ahzs9wzetu_zEFUA_9CYj7xk9dk_iA=" TargetMode="External"/><Relationship Id="rId6" Type="http://schemas.openxmlformats.org/officeDocument/2006/relationships/hyperlink" Target="https://www.xiaohongshu.com/explore/69fb8678000000003503053f?xsec_token=ABelO7dPqxWwMbHBMg1xlMAIqZ6Ub9LcPBZ9rP9eRY2HI=" TargetMode="External"/><Relationship Id="rId15" Type="http://schemas.openxmlformats.org/officeDocument/2006/relationships/hyperlink" Target="https://www.xiaohongshu.com/explore/69f8702a000000001b021637?app_platform=ios&amp;app_version=9.28.1&amp;share_from_user_hidden=true&amp;xsec_source=app_share&amp;type=normal&amp;xsec_token=CB2UKSax5DF2QA_I7rhNuoqUlhNkevLLDd7iEEZWVmZ7U=&amp;author_share=1&amp;xhsshare=CopyLink&amp;shareRedId=N0dDN0hINkI6TEZFSkoyPz41SjlJSEg9&amp;apptime=1778211176&amp;share_id=af6a6d5c0f8b459abce45f5a54064a24" TargetMode="External"/><Relationship Id="rId23" Type="http://schemas.openxmlformats.org/officeDocument/2006/relationships/hyperlink" Target="https://www.xiaohongshu.com/explore/6a014275000000003601e660?xsec_token=ABMDY_ifAXf43glQ4iD8PYNRElQwjKn3KHY0HzRZsXs9c=&amp;xsec_source=pc_search" TargetMode="External"/><Relationship Id="rId28" Type="http://schemas.openxmlformats.org/officeDocument/2006/relationships/hyperlink" Target="https://www.xiaohongshu.com/explore/6a01b530000000003601e708?xsec_token=ABMDY_ifAXf43glQ4iD8PYNaevaIXtJtDMT-ktepBCU3s=" TargetMode="External"/><Relationship Id="rId36" Type="http://schemas.openxmlformats.org/officeDocument/2006/relationships/hyperlink" Target="https://www.xiaohongshu.com/explore/6a0418bf0000000036003c40?xsec_token=AB19yGNDIZJ8ti3fP2rXuFyZ6Z-lDwCZBwbGotTrdV23k=&amp;xsec_source=pc_search" TargetMode="External"/><Relationship Id="rId49" Type="http://schemas.openxmlformats.org/officeDocument/2006/relationships/hyperlink" Target="https://www.xiaohongshu.com/explore/6a0b2c92000000003501eb92?xsec_token=ABSh5LZ7oqI4X51MmHsTwJ26z966ZxiyFh4ACmQOIpVw8=&amp;xsec_source=pc_search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xiaohongshu.com/explore/6a22ddc9000000001702a5c5?xsec_token=ABpke63dIVqT2RLvXt_VGhuLaDBKqsCr8sTuLPwFApwLs=&amp;source=web_explore_feed" TargetMode="External"/><Relationship Id="rId3" Type="http://schemas.openxmlformats.org/officeDocument/2006/relationships/hyperlink" Target="https://www.xiaohongshu.com/explore/6a1c42830000000035024247?note_flow_source=wechat&amp;xsec_token=CBy2FGghjeNOtAPK8dW61S2K0iIY4APzag2SzR3BP8HZc=" TargetMode="External"/><Relationship Id="rId7" Type="http://schemas.openxmlformats.org/officeDocument/2006/relationships/hyperlink" Target="https://www.xiaohongshu.com/explore/6a20c28b0000000035025767?app_platform=ios&amp;app_version=9.33.2&amp;share_from_user_hidden=true&amp;xsec_source=app_share&amp;type=normal&amp;xsec_token=CBavQdohy-cZxpMc7sfNubApugkM2W6BAjP6KpSLa86ac=&amp;author_share=1&amp;xhsshare=CopyLink&amp;shareRedId=ODo4MUY6OEo2NzUyOTgwNjczOTk4PD45&amp;apptime=1780655165&amp;share_id=6fc1a84fb7744cf8a5c344ae4302024b" TargetMode="External"/><Relationship Id="rId2" Type="http://schemas.openxmlformats.org/officeDocument/2006/relationships/hyperlink" Target="https://www.xiaohongshu.com/explore/6a1d4d55000000003503be4c?xsec_token=AB_KFYS2vULnjigWis5sAwdKtgbLSP6R6cGz6fTfsT0LQ=&amp;source=web_explore_feed" TargetMode="External"/><Relationship Id="rId1" Type="http://schemas.openxmlformats.org/officeDocument/2006/relationships/hyperlink" Target="https://www.xiaohongshu.com/explore/6a1d60a9000000003503bd43?xsec_token=AB_KFYS2vULnjigWis5sAwdHw6HPJwTOyMKFBoQ8vmLRs=&amp;source=web_explore_feed" TargetMode="External"/><Relationship Id="rId6" Type="http://schemas.openxmlformats.org/officeDocument/2006/relationships/hyperlink" Target="https://www.xiaohongshu.com/explore/6a20c28b0000000035025767?app_platform=ios&amp;app_version=9.33.2&amp;share_from_user_hidden=true&amp;xsec_source=app_share&amp;type=normal&amp;xsec_token=CBavQdohy-cZxpMc7sfNubApugkM2W6BAjP6KpSLa86ac=&amp;author_share=1&amp;xhsshare=CopyLink&amp;shareRedId=ODo4MUY6OEo2NzUyOTgwNjczOTk4PD45&amp;apptime=1780655165&amp;share_id=6fc1a84fb7744cf8a5c344ae4302024b" TargetMode="External"/><Relationship Id="rId5" Type="http://schemas.openxmlformats.org/officeDocument/2006/relationships/hyperlink" Target="https://www.xiaohongshu.com/explore/6a1c0e4a000000003600117f?app_platform=ios&amp;app_version=9.32.2&amp;share_from_user_hidden=true&amp;xsec_source=app_share&amp;type=normal&amp;xsec_token=CBVaOt65qTlBrjpLv7ic8e6qLwqH3AWsvKmTaN0A6KGsg=&amp;author_share=1&amp;xhsshare=CopyLink&amp;shareRedId=OD47QUk3NUs2NzUyOTgwNjc8OTdJNj1K&amp;apptime=1780224568&amp;share_id=155d8c9ac34c4ccf8390c8d8df8fe1db" TargetMode="External"/><Relationship Id="rId10" Type="http://schemas.openxmlformats.org/officeDocument/2006/relationships/hyperlink" Target="https://www.xiaohongshu.com/explore/6a2b6fb8000000002101ae37?xsec_token=ABvHq-DDj2nKeD7f6dy17-3hayBjeUtb5TIfsekgbQuNY=&amp;xsec_source=pc_search&amp;source=web_explore_feed" TargetMode="External"/><Relationship Id="rId4" Type="http://schemas.openxmlformats.org/officeDocument/2006/relationships/hyperlink" Target="https://www.xiaohongshu.com/explore/6a1bb58a000000003601c0d3?app_platform=ios&amp;app_version=9.32.2&amp;share_from_user_hidden=true&amp;xsec_source=app_share&amp;type=normal&amp;xsec_token=CBZBjDiJTiBznrXYqTCM4u5yo8-UH-yvB5Y0F79fniRd0=&amp;author_share=1&amp;xhsshare=CopyLink&amp;shareRedId=N0hDMURIPUI7Oks5Qk4wNjY0PD1KPjhM&amp;apptime=1780225753&amp;share_id=6e079c94072f485db15c49a71219de3b" TargetMode="External"/><Relationship Id="rId9" Type="http://schemas.openxmlformats.org/officeDocument/2006/relationships/hyperlink" Target="https://www.xiaohongshu.com/explore/6a22e03c0000000021015ba9?xsec_token=ABj68FdOzHVJPtaigypuKt-TttIJBnHFAi-6E1zdoPUwI=&amp;source=web_explore_feed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xiaohongshu.com/explore/69fc838f0000000035039774?xsec_token=ABBtRwVR8gpszCBfbW9B5RgdOPvIaKdFdsDFAzyoA7ds4=" TargetMode="External"/><Relationship Id="rId21" Type="http://schemas.openxmlformats.org/officeDocument/2006/relationships/hyperlink" Target="https://www.xiaohongshu.com/explore/69fb34d0000000003703435a?xsec_token=ABARK6t9lwvGdzCFjVrffVdgqwyb1B3wbS-uqEQn8QZmE=" TargetMode="External"/><Relationship Id="rId42" Type="http://schemas.openxmlformats.org/officeDocument/2006/relationships/hyperlink" Target="https://www.xiaohongshu.com/explore/6a01b530000000003601e708?xsec_token=ABMDY_ifAXf43glQ4iD8PYNaevaIXtJtDMT-ktepBCU3s=" TargetMode="External"/><Relationship Id="rId47" Type="http://schemas.openxmlformats.org/officeDocument/2006/relationships/hyperlink" Target="https://www.xiaohongshu.com/explore/6a019fc3000000003502aa17?xsec_token=ABMDY_ifAXf43glQ4iD8PYNe3edi3uM3rB-Ib-bKXaLuY=&amp;xsec_source=pc_search" TargetMode="External"/><Relationship Id="rId63" Type="http://schemas.openxmlformats.org/officeDocument/2006/relationships/hyperlink" Target="https://www.xiaohongshu.com/explore/6a04598d0000000035023cee?xsec_token=AB19yGNDIZJ8ti3fP2rXuFySN9b_R401g8JkajaJ9r29E=&amp;xsec_source=pc_search" TargetMode="External"/><Relationship Id="rId68" Type="http://schemas.openxmlformats.org/officeDocument/2006/relationships/hyperlink" Target="https://www.xiaohongshu.com/explore/69fe7e640000000023017177?xsec_token=AB7ukW7fajRnxFsjbDV6X4qNCdWkxaxQYO2sfNVQYaPQI=" TargetMode="External"/><Relationship Id="rId16" Type="http://schemas.openxmlformats.org/officeDocument/2006/relationships/hyperlink" Target="https://www.xiaohongshu.com/explore/69f1e8ef000000001e00cc08?note_flow_source=wechat&amp;xsec_token=CB8RFidiOHx448pSCWzbm3uUoSBFRPNp8Df9NjnF-0CM4=" TargetMode="External"/><Relationship Id="rId11" Type="http://schemas.openxmlformats.org/officeDocument/2006/relationships/hyperlink" Target="https://www.xiaohongshu.com/explore/69f19283000000003503b16f?xsec_token=ABh4kH9hXYWMgFpRFZgOeKr8kel0HHoTQxzsZVTsJZLAo=" TargetMode="External"/><Relationship Id="rId32" Type="http://schemas.openxmlformats.org/officeDocument/2006/relationships/hyperlink" Target="https://www.xiaohongshu.com/explore/69fde0030000000035023490?xsec_token=ABNbFDvmT2gE-NxXGweO_FYI6uipgsb69YYyq6uLnaHi0=&amp;exSource=https://my.feishu.cn/" TargetMode="External"/><Relationship Id="rId37" Type="http://schemas.openxmlformats.org/officeDocument/2006/relationships/hyperlink" Target="https://www.xiaohongshu.com/explore/6a014275000000003601e660?xsec_token=ABMDY_ifAXf43glQ4iD8PYNRElQwjKn3KHY0HzRZsXs9c=&amp;xsec_source=pc_search" TargetMode="External"/><Relationship Id="rId53" Type="http://schemas.openxmlformats.org/officeDocument/2006/relationships/hyperlink" Target="https://www.xiaohongshu.com/explore/69fde0030000000035023490?xsec_token=ABNbFDvmT2gE-NxXGweO_FYI6uipgsb69YYyq6uLnaHi0=&amp;exSource=https://my.feishu.cn/" TargetMode="External"/><Relationship Id="rId58" Type="http://schemas.openxmlformats.org/officeDocument/2006/relationships/hyperlink" Target="https://www.xiaohongshu.com/explore/6a03ef13000000003700e895?xsec_token=ABUGydpp8sZT7bGqSkfVTRrPwiu4gyIv_qx90a962TmYA=&amp;xsec_source=pc_search" TargetMode="External"/><Relationship Id="rId74" Type="http://schemas.openxmlformats.org/officeDocument/2006/relationships/hyperlink" Target="https://www.xiaohongshu.com/explore/6a0b2c92000000003501eb92?xsec_token=ABSh5LZ7oqI4X51MmHsTwJ26z966ZxiyFh4ACmQOIpVw8=&amp;xsec_source=pc_search" TargetMode="External"/><Relationship Id="rId79" Type="http://schemas.openxmlformats.org/officeDocument/2006/relationships/hyperlink" Target="https://www.xiaohongshu.com/explore/6a1828080000000006033d4d?xsec_token=ABeCeeIQhmQb3WkzfAON5qvHvAzKVJvqZLnvaI4RXE3-o=&amp;source=web_explore_feed" TargetMode="External"/><Relationship Id="rId5" Type="http://schemas.openxmlformats.org/officeDocument/2006/relationships/hyperlink" Target="https://www.xiaohongshu.com/explore/69f194d5000000002301de8a?xsec_token=ABmbFepnQx-jFoEzvEhhzqxCMKi4KHHLcOP5v35xgvWN4=" TargetMode="External"/><Relationship Id="rId61" Type="http://schemas.openxmlformats.org/officeDocument/2006/relationships/hyperlink" Target="https://www.xiaohongshu.com/explore/6a0469a50000000008030b80?xsec_token=AB19yGNDIZJ8ti3fP2rXuFyY3zvWAaub09cgIoWuZmGto=&amp;xsec_source=pc_search" TargetMode="External"/><Relationship Id="rId19" Type="http://schemas.openxmlformats.org/officeDocument/2006/relationships/hyperlink" Target="https://www.xiaohongshu.com/explore/69fb226a00000000350207ff?xsec_token=ABelO7dPqxWwMbHBMg1xlMAEGTvMgcK3FdXgvdXSp_L80=" TargetMode="External"/><Relationship Id="rId14" Type="http://schemas.openxmlformats.org/officeDocument/2006/relationships/hyperlink" Target="https://www.xiaohongshu.com/explore/69f9d0d5000000003601a3f1?xsec_token=ABa01KIw3FNSCIsTS2LPTf6ZnSPxmuZqMjQP15XiIMumA=" TargetMode="External"/><Relationship Id="rId22" Type="http://schemas.openxmlformats.org/officeDocument/2006/relationships/hyperlink" Target="https://www.xiaohongshu.com/explore/69fc2d28000000002003a003?xsec_token=ABwPYmqoMR6qCxnABY9tKfBXJ98AlN9BYjFmm7jjFXZHE=" TargetMode="External"/><Relationship Id="rId27" Type="http://schemas.openxmlformats.org/officeDocument/2006/relationships/hyperlink" Target="https://www.xiaohongshu.com/explore/69fcae64000000001a02cfdc?xsec_token=ABBtRwVR8gpszCBfbW9B5RgYaEC41EyjHY2KGY0I1izz8=" TargetMode="External"/><Relationship Id="rId30" Type="http://schemas.openxmlformats.org/officeDocument/2006/relationships/hyperlink" Target="https://www.xiaohongshu.com/explore/69fab3fd000000003501edf9?app_platform=ios&amp;app_version=9.28.1&amp;share_from_user_hidden=true&amp;xsec_source=app_share&amp;type=normal&amp;xsec_token=CBPZ69__HQk7Q8Y-E8hjtw2iJs_hWjBOFCxxjj36RENAc=&amp;author_share=1&amp;xhsshare=CopyLink&amp;shareRedId=N0dDN0hINkI6TEZFSkoyPz41SjlJSEg9&amp;apptime=1778211219&amp;share_id=0fd8efd77d084114a3cdd4ddb5970ffc" TargetMode="External"/><Relationship Id="rId35" Type="http://schemas.openxmlformats.org/officeDocument/2006/relationships/hyperlink" Target="https://www.xiaohongshu.com/explore/69ff2744000000003601bafd?xsec_token=ABSe7suRAYmulQ4PBfwqDWg_Ql-v1qHlDG2U5q2K-9fKY=" TargetMode="External"/><Relationship Id="rId43" Type="http://schemas.openxmlformats.org/officeDocument/2006/relationships/hyperlink" Target="https://www.xiaohongshu.com/explore/6a02a86800000000070130aa?xsec_token=AB7U6zAAB-FbTocf-dL8C5T5OiIULUabftGK25BLSoZ4A=&amp;xsec_source=pc_search" TargetMode="External"/><Relationship Id="rId48" Type="http://schemas.openxmlformats.org/officeDocument/2006/relationships/hyperlink" Target="https://www.xiaohongshu.com/explore/69fde0030000000035023490?xsec_token=ABNbFDvmT2gE-NxXGweO_FYI6uipgsb69YYyq6uLnaHi0=&amp;exSource=https://my.feishu.cn/" TargetMode="External"/><Relationship Id="rId56" Type="http://schemas.openxmlformats.org/officeDocument/2006/relationships/hyperlink" Target="https://www.xiaohongshu.com/explore/6a019fc3000000003502aa17?xsec_token=ABMDY_ifAXf43glQ4iD8PYNe3edi3uM3rB-Ib-bKXaLuY=&amp;xsec_source=pc_search" TargetMode="External"/><Relationship Id="rId64" Type="http://schemas.openxmlformats.org/officeDocument/2006/relationships/hyperlink" Target="https://www.xiaohongshu.com/explore/6a0439ad0000000036033ee4?xsec_token=AB19yGNDIZJ8ti3fP2rXuFyQJIhmwnZmNbhu_vtK2KefQ=&amp;xsec_source=pc_search&amp;source=web_note_detail_r10" TargetMode="External"/><Relationship Id="rId69" Type="http://schemas.openxmlformats.org/officeDocument/2006/relationships/hyperlink" Target="https://www.xiaohongshu.com/explore/6a019fc3000000003502aa17?xsec_token=ABMDY_ifAXf43glQ4iD8PYNe3edi3uM3rB-Ib-bKXaLuY=&amp;xsec_source=pc_search" TargetMode="External"/><Relationship Id="rId77" Type="http://schemas.openxmlformats.org/officeDocument/2006/relationships/hyperlink" Target="https://www.xiaohongshu.com/explore/6a0ede3d0000000035038e85?xsec_token=AB4GV38jFFqgm3TMJ-nHEVkYt84aeP8HDEnET8H8bTKzg=&amp;xsec_source=pc_search" TargetMode="External"/><Relationship Id="rId8" Type="http://schemas.openxmlformats.org/officeDocument/2006/relationships/hyperlink" Target="https://www.xiaohongshu.com/explore/69f2ecd80000000036000e40?xsec_token=ABetYAHOhY16yiR5a2fqXNDsPWuXDXNybg9Meg3UygIVM=" TargetMode="External"/><Relationship Id="rId51" Type="http://schemas.openxmlformats.org/officeDocument/2006/relationships/hyperlink" Target="https://www.xiaohongshu.com/explore/6a0319c60000000006021d84?xsec_token=ABUGydpp8sZT7bGqSkfVTRrHid3PrB1nq-JdnXf8CTZ_Y=" TargetMode="External"/><Relationship Id="rId72" Type="http://schemas.openxmlformats.org/officeDocument/2006/relationships/hyperlink" Target="https://www.xiaohongshu.com/explore/6a05d478000000000702a5fd?xsec_token=ABdRAD_phk1WlZetOXGBETlfNvPtylvs66xfjVJjvdhtA=&amp;xsec_source=pc_search" TargetMode="External"/><Relationship Id="rId80" Type="http://schemas.openxmlformats.org/officeDocument/2006/relationships/hyperlink" Target="https://www.xiaohongshu.com/explore/6a18187f00000000060205c0?xsec_token=ABXW9ehr4jSOOeAchPEo22Dz10rrAKO4JkTIRwA6q1evY=&amp;xsec_source=pc_search&amp;source=web_explore_feed" TargetMode="External"/><Relationship Id="rId3" Type="http://schemas.openxmlformats.org/officeDocument/2006/relationships/hyperlink" Target="https://www.xiaohongshu.com/explore/69f0a3e00000000022026d02?xsec_token=ABXzGd9O_x_RzY4Gkhs8M2tvUOJY7yXuVikDe4NwndPog=" TargetMode="External"/><Relationship Id="rId12" Type="http://schemas.openxmlformats.org/officeDocument/2006/relationships/hyperlink" Target="https://www.xiaohongshu.com/explore/69f1b5c4000000003502cfd0?xsec_token=ABh4kH9hXYWMgFpRFZgOeKr3nDPNLrQBCZ3Y-2WjHeTck=" TargetMode="External"/><Relationship Id="rId17" Type="http://schemas.openxmlformats.org/officeDocument/2006/relationships/hyperlink" Target="https://www.xiaohongshu.com/explore/69f6f7160000000035032d5a?note_flow_source=wechat&amp;xsec_token=CBI1UWmWTbRhl4rxrQu1WE8SosxLoRvzg3arIhEyKPYL4=" TargetMode="External"/><Relationship Id="rId25" Type="http://schemas.openxmlformats.org/officeDocument/2006/relationships/hyperlink" Target="https://www.xiaohongshu.com/explore/69fb226a00000000350207ff?xsec_token=ABelO7dPqxWwMbHBMg1xlMAEGTvMgcK3FdXgvdXSp_L80=" TargetMode="External"/><Relationship Id="rId33" Type="http://schemas.openxmlformats.org/officeDocument/2006/relationships/hyperlink" Target="https://www.xiaohongshu.com/explore/69fe7e640000000023017177?xsec_token=AB7ukW7fajRnxFsjbDV6X4qNCdWkxaxQYO2sfNVQYaPQI=" TargetMode="External"/><Relationship Id="rId38" Type="http://schemas.openxmlformats.org/officeDocument/2006/relationships/hyperlink" Target="https://www.xiaohongshu.com/explore/6a0044d200000000360190fc?source=webshare&amp;xhsshare=pc_web&amp;xsec_token=ABe7uh94rgLtb32KVXCgE6zdSecME_4lvf9lXqCwH7ZDM=&amp;xsec_source=pc_share" TargetMode="External"/><Relationship Id="rId46" Type="http://schemas.openxmlformats.org/officeDocument/2006/relationships/hyperlink" Target="https://www.xiaohongshu.com/explore/6a01ba55000000000702ca26?xsec_token=ABMDY_ifAXf43glQ4iD8PYNQpF_wV9vHtGDrwlg8rWheA=&amp;xsec_source=pc_search" TargetMode="External"/><Relationship Id="rId59" Type="http://schemas.openxmlformats.org/officeDocument/2006/relationships/hyperlink" Target="https://www.xiaohongshu.com/explore/6a043375000000003501ceb1?xsec_token=AB19yGNDIZJ8ti3fP2rXuFyRJoCGskAnp4wRqybahT-RU=" TargetMode="External"/><Relationship Id="rId67" Type="http://schemas.openxmlformats.org/officeDocument/2006/relationships/hyperlink" Target="https://www.xiaohongshu.com/explore/69fde0030000000035023490?xsec_token=ABNbFDvmT2gE-NxXGweO_FYI6uipgsb69YYyq6uLnaHi0=&amp;exSource=https://my.feishu.cn/" TargetMode="External"/><Relationship Id="rId20" Type="http://schemas.openxmlformats.org/officeDocument/2006/relationships/hyperlink" Target="https://www.xiaohongshu.com/explore/69fc0ddb000000001f005a56?xsec_token=ABcsHLT2IdhyDi6N_CLnT_R8sSTrsaAX_qNGmqfsKQqq8=&amp;xsec_source=pc_search&amp;source=web_search_result_notes" TargetMode="External"/><Relationship Id="rId41" Type="http://schemas.openxmlformats.org/officeDocument/2006/relationships/hyperlink" Target="https://www.xiaohongshu.com/explore/6a013f80000000000803ca41?xsec_token=ABMDY_ifAXf43glQ4iD8PYNd0fpxtyb-aDsuPHeEeUSac=&amp;xsec_source=pc_search&amp;source=web_explore_feed" TargetMode="External"/><Relationship Id="rId54" Type="http://schemas.openxmlformats.org/officeDocument/2006/relationships/hyperlink" Target="https://www.xiaohongshu.com/explore/69fe7e640000000023017177?xsec_token=AB7ukW7fajRnxFsjbDV6X4qNCdWkxaxQYO2sfNVQYaPQI=" TargetMode="External"/><Relationship Id="rId62" Type="http://schemas.openxmlformats.org/officeDocument/2006/relationships/hyperlink" Target="https://www.xiaohongshu.com/explore/6a045c91000000003700d056?xsec_token=AB19yGNDIZJ8ti3fP2rXuFyaf1zFDYzeXYNexiBPTQHbY=&amp;xsec_source=pc_search" TargetMode="External"/><Relationship Id="rId70" Type="http://schemas.openxmlformats.org/officeDocument/2006/relationships/hyperlink" Target="https://www.xiaohongshu.com/explore/6a015f1700000000380356d7?xsec_token=ABMDY_ifAXf43glQ4iD8PYNaniy7YBsqf9b7hzbiqag-s=&amp;xsec_source=pc_search" TargetMode="External"/><Relationship Id="rId75" Type="http://schemas.openxmlformats.org/officeDocument/2006/relationships/hyperlink" Target="https://www.xiaohongshu.com/explore/6a0f90e70000000036033d81?xsec_token=ABYM9RCRC7N0P5B2FWcGAocTrr2RqnlEyInEO2i3u4kFM=&amp;xsec_source=pc_search&amp;source=web_explore_feed" TargetMode="External"/><Relationship Id="rId1" Type="http://schemas.openxmlformats.org/officeDocument/2006/relationships/hyperlink" Target="https://www.xiaohongshu.com/explore/69ef91b1000000002300564b?xsec_token=ABZgdCG38m42mQ1vgh4gAZk2fUZI96wuDPgk9xMqwSSV4=" TargetMode="External"/><Relationship Id="rId6" Type="http://schemas.openxmlformats.org/officeDocument/2006/relationships/hyperlink" Target="https://www.xiaohongshu.com/explore/69f17a30000000003502d8da?xsec_token=ABmbFepnQx-jFoEzvEhhzqxNRpCCA7k8sUY3_88LcNzEc=" TargetMode="External"/><Relationship Id="rId15" Type="http://schemas.openxmlformats.org/officeDocument/2006/relationships/hyperlink" Target="https://www.xiaohongshu.com/explore/69f2f64d000000002202410c?app_platform=ios&amp;app_version=9.23&amp;share_from_user_hidden=true&amp;xsec_source=app_share&amp;type=normal&amp;xsec_token=CBBV9_vzbj_FXbJ_j67LntrsyjW4OxBrPaT5RMvpK-lIw=&amp;author_share=1&amp;xhsshare=CopyLink&amp;shareRedId=ODY0NzU8Rzo2NzUyOTgwNjY0OThIN0lA&amp;apptime=1778036727&amp;share_id=c7a1f6846c00444d8a5fcdbf6f3744df" TargetMode="External"/><Relationship Id="rId23" Type="http://schemas.openxmlformats.org/officeDocument/2006/relationships/hyperlink" Target="https://www.xiaohongshu.com/explore/69fa2dbd00000000360197a1?xsec_token=ABb9AmBAYzWHkEWhQuDzCy0R8llkPCrq9q8BHZwFn3sA4=" TargetMode="External"/><Relationship Id="rId28" Type="http://schemas.openxmlformats.org/officeDocument/2006/relationships/hyperlink" Target="https://www.xiaohongshu.com/explore/69fc65f90000000022028b6c?app_platform=ios&amp;app_version=9.28.1&amp;share_from_user_hidden=true&amp;xsec_source=app_share&amp;type=normal&amp;xsec_token=CBAxrSWo8Hhf4veuCxUrwqpC0T6aWsI46v29AvU_0nATA=&amp;author_share=1&amp;xhsshare=CopyLink&amp;shareRedId=N0dDN0hINkI6TEZFSkoyPz41SjlJSEg9&amp;apptime=1778211149&amp;share_id=649545e6b4c74bc3b79f908fac0a7947" TargetMode="External"/><Relationship Id="rId36" Type="http://schemas.openxmlformats.org/officeDocument/2006/relationships/hyperlink" Target="https://www.xiaohongshu.com/explore/6a01468400000000060214be?xsec_token=ABMDY_ifAXf43glQ4iD8PYNZWMIiDvTz3M6rD-nGS0c0M=&amp;xsec_source=pc_search" TargetMode="External"/><Relationship Id="rId49" Type="http://schemas.openxmlformats.org/officeDocument/2006/relationships/hyperlink" Target="https://www.xiaohongshu.com/explore/69fe7e640000000023017177?xsec_token=AB7ukW7fajRnxFsjbDV6X4qNCdWkxaxQYO2sfNVQYaPQI=" TargetMode="External"/><Relationship Id="rId57" Type="http://schemas.openxmlformats.org/officeDocument/2006/relationships/hyperlink" Target="https://www.xiaohongshu.com/explore/6a0418bf0000000036003c40?xsec_token=AB19yGNDIZJ8ti3fP2rXuFyZ6Z-lDwCZBwbGotTrdV23k=&amp;xsec_source=pc_search" TargetMode="External"/><Relationship Id="rId10" Type="http://schemas.openxmlformats.org/officeDocument/2006/relationships/hyperlink" Target="https://www.xiaohongshu.com/explore/69f1d8fe000000003503860e?xsec_token=ABh4kH9hXYWMgFpRFZgOeKrx-PZs9UmB28fGWl6lOwtHU=" TargetMode="External"/><Relationship Id="rId31" Type="http://schemas.openxmlformats.org/officeDocument/2006/relationships/hyperlink" Target="https://www.xiaohongshu.com/explore/69fc798c000000003502a9d8?xsec_token=ABcsHLT2IdhyDi6N_CLnT_R8DhhUAlroRDer_EtK6e-TU=" TargetMode="External"/><Relationship Id="rId44" Type="http://schemas.openxmlformats.org/officeDocument/2006/relationships/hyperlink" Target="https://www.xiaohongshu.com/explore/6a01ed3a000000003503a60e?xsec_token=ABMDY_ifAXf43glQ4iD8PYNQBwgNEHYp4wX45z4dWdtjo=&amp;xsec_source=pc_search" TargetMode="External"/><Relationship Id="rId52" Type="http://schemas.openxmlformats.org/officeDocument/2006/relationships/hyperlink" Target="https://www.xiaohongshu.com/explore/6a015f1700000000380356d7?xsec_token=ABMDY_ifAXf43glQ4iD8PYNaniy7YBsqf9b7hzbiqag-s=&amp;xsec_source=pc_search" TargetMode="External"/><Relationship Id="rId60" Type="http://schemas.openxmlformats.org/officeDocument/2006/relationships/hyperlink" Target="https://www.xiaohongshu.com/explore/6a046b14000000000702a3b5?xsec_token=AB19yGNDIZJ8ti3fP2rXuFyYzgr_uZIkxb4zFf3gO10O8=&amp;xsec_source=pc_search" TargetMode="External"/><Relationship Id="rId65" Type="http://schemas.openxmlformats.org/officeDocument/2006/relationships/hyperlink" Target="https://www.xiaohongshu.com/explore/6a0437f600000000070122fd?xsec_token=AB19yGNDIZJ8ti3fP2rXuFyaqzX_0syO4UU72X5pnSLog=&amp;xsec_source=pc_search&amp;source=web_note_detail_r10" TargetMode="External"/><Relationship Id="rId73" Type="http://schemas.openxmlformats.org/officeDocument/2006/relationships/hyperlink" Target="https://www.xiaohongshu.com/explore/6a05a83700000000070281e9?xsec_token=ABdRAD_phk1WlZetOXGBETlWPqpm8Dt5G2igt8vaRy8bs=&amp;xsec_source=pc_search" TargetMode="External"/><Relationship Id="rId78" Type="http://schemas.openxmlformats.org/officeDocument/2006/relationships/hyperlink" Target="https://www.xiaohongshu.com/explore/6a1699680000000035039b6f?source=webshare&amp;xhsshare=pc_web&amp;xsec_token=CBjo7cxXH3SRqsRbXebnT6kWk9o8HKY7hdl9oFRt13snc=&amp;xsec_source=pc_share" TargetMode="External"/><Relationship Id="rId81" Type="http://schemas.openxmlformats.org/officeDocument/2006/relationships/hyperlink" Target="https://www.xiaohongshu.com/explore/6a1699680000000035039b6f?source=webshare&amp;xhsshare=pc_web&amp;xsec_token=CBjo7cxXH3SRqsRbXebnT6kWk9o8HKY7hdl9oFRt13snc=&amp;xsec_source=pc_share" TargetMode="External"/><Relationship Id="rId4" Type="http://schemas.openxmlformats.org/officeDocument/2006/relationships/hyperlink" Target="https://www.xiaohongshu.com/explore/69f163390000000038023c04?xsec_token=ABLNcebe4EqMClPt2SyxgvoJrpZxF6h3B7Tca2NNCHN4g=" TargetMode="External"/><Relationship Id="rId9" Type="http://schemas.openxmlformats.org/officeDocument/2006/relationships/hyperlink" Target="https://www.xiaohongshu.com/explore/69f29fb3000000001a037e6b?xsec_token=ABlefarLtJ7O9GeX5GD5VUCzNb_Uj8Vqjkp92xc6p8OSI=" TargetMode="External"/><Relationship Id="rId13" Type="http://schemas.openxmlformats.org/officeDocument/2006/relationships/hyperlink" Target="https://www.xiaohongshu.com/explore/69f9fede0000000036001eb0?xsec_token=ABXpClgvyZnrSy5ahzs9wzetu_zEFUA_9CYj7xk9dk_iA=" TargetMode="External"/><Relationship Id="rId18" Type="http://schemas.openxmlformats.org/officeDocument/2006/relationships/hyperlink" Target="https://www.xiaohongshu.com/explore/69fb8678000000003503053f?xsec_token=ABelO7dPqxWwMbHBMg1xlMAIqZ6Ub9LcPBZ9rP9eRY2HI=" TargetMode="External"/><Relationship Id="rId39" Type="http://schemas.openxmlformats.org/officeDocument/2006/relationships/hyperlink" Target="https://www.xiaohongshu.com/explore/6a015c4b00000000060375d5?app_platform=ios&amp;app_version=9.29&amp;share_from_user_hidden=true&amp;xsec_source=app_share&amp;type=video&amp;xsec_token=CB0EIrGEJAR4IkKD6WrpqGlpqf93X6j_93NaDh5PA3tzg=&amp;author_share=1&amp;xhsshare=CopyLink&amp;shareRedId=N0dDN0hINkI6TEZFSkoyPz41SjlJSEg9&amp;apptime=1778482875&amp;share_id=f1045e5ebc884cc3a25f3f6dbe720b37" TargetMode="External"/><Relationship Id="rId34" Type="http://schemas.openxmlformats.org/officeDocument/2006/relationships/hyperlink" Target="https://www.xiaohongshu.com/explore/6a011d41000000000702031a?xsec_token=ABMDY_ifAXf43glQ4iD8PYNQ5y3nGwbGTzhVuJCHwfsc4=" TargetMode="External"/><Relationship Id="rId50" Type="http://schemas.openxmlformats.org/officeDocument/2006/relationships/hyperlink" Target="https://www.xiaohongshu.com/explore/6a01468400000000060214be?xsec_token=ABMDY_ifAXf43glQ4iD8PYNZWMIiDvTz3M6rD-nGS0c0M=&amp;xsec_source=pc_search" TargetMode="External"/><Relationship Id="rId55" Type="http://schemas.openxmlformats.org/officeDocument/2006/relationships/hyperlink" Target="https://www.xiaohongshu.com/explore/6a01468400000000060214be?xsec_token=ABMDY_ifAXf43glQ4iD8PYNZWMIiDvTz3M6rD-nGS0c0M=&amp;xsec_source=pc_search" TargetMode="External"/><Relationship Id="rId76" Type="http://schemas.openxmlformats.org/officeDocument/2006/relationships/hyperlink" Target="https://www.xiaohongshu.com/explore/6a0ede3d0000000035038e85?xsec_token=AB4GV38jFFqgm3TMJ-nHEVkYt84aeP8HDEnET8H8bTKzg=&amp;xsec_source=pc_search" TargetMode="External"/><Relationship Id="rId7" Type="http://schemas.openxmlformats.org/officeDocument/2006/relationships/hyperlink" Target="https://www.xiaohongshu.com/explore/69f1c29d0000000023005a50?app_platform=ios&amp;app_version=9.28&amp;share_from_user_hidden=true&amp;xsec_source=app_share&amp;type=normal&amp;xsec_token=CBg2gaKUnCxg2ud8iQCl-jr45B4wRjJaReZTBWhc6ZI6I=&amp;author_share=1&amp;xhsshare=WeixinSession&amp;shareRedId=ODY6NTk5Nzs2NzUyOTgwNjY0OTc8OTxC&amp;apptime=1777472867&amp;share_id=df9fcb8ddf8e446c9a5118d8d3317c00&amp;code=2G20cXCQnO" TargetMode="External"/><Relationship Id="rId71" Type="http://schemas.openxmlformats.org/officeDocument/2006/relationships/hyperlink" Target="https://www.xiaohongshu.com/explore/6a0588ec000000000603655e?xsec_token=ABdRAD_phk1WlZetOXGBETlXHd5bpXMA87JRN5dFOiEjI=&amp;xsec_source=pc_search" TargetMode="External"/><Relationship Id="rId2" Type="http://schemas.openxmlformats.org/officeDocument/2006/relationships/hyperlink" Target="https://www.xiaohongshu.com/explore/69f05157000000003700c60a?app_platform=ios&amp;app_version=9.28&amp;share_from_user_hidden=true&amp;xsec_source=app_share&amp;type=normal&amp;xsec_token=CBqoLGDKtx1pp2rAm9-jYEuZCP5mGekjpkHk6ro61eqgg=&amp;author_share=1&amp;xhsshare=CopyLink&amp;shareRedId=N0dDN0hINkI6TEZFSkoyPz41SjlJSEg9&amp;apptime=1777360718&amp;share_id=e0df64a71ec64a6f853070d5c652244b" TargetMode="External"/><Relationship Id="rId29" Type="http://schemas.openxmlformats.org/officeDocument/2006/relationships/hyperlink" Target="https://www.xiaohongshu.com/explore/69f8702a000000001b021637?app_platform=ios&amp;app_version=9.28.1&amp;share_from_user_hidden=true&amp;xsec_source=app_share&amp;type=normal&amp;xsec_token=CB2UKSax5DF2QA_I7rhNuoqUlhNkevLLDd7iEEZWVmZ7U=&amp;author_share=1&amp;xhsshare=CopyLink&amp;shareRedId=N0dDN0hINkI6TEZFSkoyPz41SjlJSEg9&amp;apptime=1778211176&amp;share_id=af6a6d5c0f8b459abce45f5a54064a24" TargetMode="External"/><Relationship Id="rId24" Type="http://schemas.openxmlformats.org/officeDocument/2006/relationships/hyperlink" Target="https://www.xiaohongshu.com/explore/69f9fede0000000036001eb0?xsec_token=ABXpClgvyZnrSy5ahzs9wzetu_zEFUA_9CYj7xk9dk_iA=" TargetMode="External"/><Relationship Id="rId40" Type="http://schemas.openxmlformats.org/officeDocument/2006/relationships/hyperlink" Target="https://www.xiaohongshu.com/explore/69edd0cf0000000035025453?xsec_token=ABkhnHrdTn66wpzixyl95xc6Rar_v_JNNubvWrO19cP24=&amp;xsec_source=pc_search" TargetMode="External"/><Relationship Id="rId45" Type="http://schemas.openxmlformats.org/officeDocument/2006/relationships/hyperlink" Target="https://www.xiaohongshu.com/explore/6a01c59a0000000035038156?xsec_token=ABMDY_ifAXf43glQ4iD8PYNWfE3Q3cvQ3E4tJejze7REs=&amp;xsec_source=pc_search" TargetMode="External"/><Relationship Id="rId66" Type="http://schemas.openxmlformats.org/officeDocument/2006/relationships/hyperlink" Target="https://www.xiaohongshu.com/explore/6a041bbf0000000038037d42?xsec_token=AB19yGNDIZJ8ti3fP2rXuFyekuWpqAfJnKvoyHP5H9I9E=&amp;xsec_source=pc_search&amp;source=web_search_result_notes&amp;exSource=https://my.feishu.c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X200"/>
  <sheetViews>
    <sheetView workbookViewId="0">
      <pane ySplit="1" topLeftCell="A9" activePane="bottomLeft" state="frozen"/>
      <selection pane="bottomLeft"/>
    </sheetView>
  </sheetViews>
  <sheetFormatPr baseColWidth="10" defaultColWidth="14" defaultRowHeight="13"/>
  <cols>
    <col min="1" max="2" width="14" customWidth="1"/>
    <col min="4" max="4" width="14" customWidth="1"/>
    <col min="5" max="5" width="39" customWidth="1"/>
    <col min="6" max="6" width="16" customWidth="1"/>
    <col min="7" max="7" width="39" customWidth="1"/>
    <col min="12" max="12" width="27" customWidth="1"/>
    <col min="13" max="13" width="10" customWidth="1"/>
    <col min="14" max="14" width="8" customWidth="1"/>
    <col min="15" max="16" width="14" customWidth="1"/>
  </cols>
  <sheetData>
    <row r="1" spans="1:2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/>
      <c r="R1" s="3"/>
      <c r="S1" s="3"/>
      <c r="T1" s="3"/>
      <c r="U1" s="3"/>
    </row>
    <row r="2" spans="1:24">
      <c r="A2" s="81" t="s">
        <v>16</v>
      </c>
      <c r="B2" s="82"/>
      <c r="C2" s="82"/>
      <c r="D2" s="82"/>
      <c r="E2" s="82"/>
      <c r="F2" s="82"/>
      <c r="G2" s="82"/>
      <c r="H2" s="1" t="s">
        <v>17</v>
      </c>
      <c r="I2" s="1" t="s">
        <v>17</v>
      </c>
      <c r="J2" s="1">
        <f>SUM(J3:J200)</f>
        <v>6250</v>
      </c>
      <c r="K2" s="2">
        <f>SUM(K3:K200)</f>
        <v>6968.909999999998</v>
      </c>
      <c r="L2" s="4">
        <f>K2/J2</f>
        <v>1.1150255999999996</v>
      </c>
      <c r="M2" s="1"/>
      <c r="N2" s="1"/>
      <c r="O2" s="1"/>
      <c r="P2" s="1"/>
      <c r="Q2" s="3"/>
      <c r="R2" s="3"/>
      <c r="S2" s="3"/>
      <c r="T2" s="3"/>
      <c r="U2" s="3"/>
      <c r="V2" s="3"/>
      <c r="W2" s="3"/>
      <c r="X2" s="3"/>
    </row>
    <row r="3" spans="1:24" ht="28">
      <c r="A3" s="5">
        <v>46081</v>
      </c>
      <c r="B3" s="6">
        <f t="shared" ref="B3:B34" si="0">A3+7</f>
        <v>46088</v>
      </c>
      <c r="C3" t="s">
        <v>18</v>
      </c>
      <c r="D3" s="7" t="s">
        <v>19</v>
      </c>
      <c r="E3" s="8" t="str">
        <f>MID(D3,FIND("explore/",D3)+8,24)</f>
        <v>69a1791c000000001d010e81</v>
      </c>
      <c r="F3" s="9" t="s">
        <v>20</v>
      </c>
      <c r="G3" s="7" t="s">
        <v>21</v>
      </c>
      <c r="H3" s="7">
        <v>8</v>
      </c>
      <c r="I3" s="7">
        <v>896</v>
      </c>
      <c r="J3" s="7">
        <v>985</v>
      </c>
      <c r="K3" s="10">
        <v>1200.6400000000001</v>
      </c>
      <c r="L3" s="11">
        <f>K3/J3</f>
        <v>1.2189238578680204</v>
      </c>
      <c r="M3" s="12" t="s">
        <v>22</v>
      </c>
      <c r="N3" s="12" t="s">
        <v>23</v>
      </c>
      <c r="P3" s="9" t="str">
        <f>IF(J3="","",IF(J3&gt;=5000,"S 级",IF(J3&gt;=1000,"A 级",IF(J3&gt;=500,"B 级","C 级"))))</f>
        <v>B 级</v>
      </c>
    </row>
    <row r="4" spans="1:24">
      <c r="A4" s="5">
        <v>46081</v>
      </c>
      <c r="B4" s="6">
        <f t="shared" si="0"/>
        <v>46088</v>
      </c>
      <c r="C4" t="s">
        <v>24</v>
      </c>
      <c r="D4" s="7" t="s">
        <v>25</v>
      </c>
      <c r="E4" s="8" t="str">
        <f>MID(D4,FIND("explore/",D4)+8,24)</f>
        <v>69a13438000000001a037eb5</v>
      </c>
      <c r="G4" s="7" t="s">
        <v>26</v>
      </c>
      <c r="H4" s="7">
        <v>15</v>
      </c>
      <c r="K4" s="13"/>
    </row>
    <row r="5" spans="1:24" ht="15">
      <c r="A5" s="5">
        <v>46081</v>
      </c>
      <c r="B5" s="6">
        <f t="shared" si="0"/>
        <v>46088</v>
      </c>
      <c r="C5" t="s">
        <v>27</v>
      </c>
      <c r="D5" s="7" t="s">
        <v>28</v>
      </c>
      <c r="E5" s="8" t="str">
        <f>MID(D5,FIND("explore/",D5)+8,24)</f>
        <v>69996f83000000000a03ca57</v>
      </c>
      <c r="G5" s="7" t="s">
        <v>29</v>
      </c>
      <c r="H5" s="7">
        <v>5</v>
      </c>
      <c r="K5" s="13"/>
      <c r="O5" s="14" t="s">
        <v>30</v>
      </c>
    </row>
    <row r="6" spans="1:24" ht="28">
      <c r="A6" s="5">
        <v>46085</v>
      </c>
      <c r="B6" s="6">
        <f t="shared" si="0"/>
        <v>46092</v>
      </c>
      <c r="C6" t="s">
        <v>27</v>
      </c>
      <c r="D6" s="7" t="s">
        <v>31</v>
      </c>
      <c r="E6" s="8" t="s">
        <v>32</v>
      </c>
      <c r="G6" s="7" t="s">
        <v>33</v>
      </c>
      <c r="H6" s="7">
        <v>2</v>
      </c>
      <c r="K6" s="13"/>
      <c r="M6" t="s">
        <v>34</v>
      </c>
      <c r="N6" s="15" t="s">
        <v>35</v>
      </c>
      <c r="O6" s="14" t="s">
        <v>30</v>
      </c>
    </row>
    <row r="7" spans="1:24" ht="15">
      <c r="A7" s="5">
        <v>46084</v>
      </c>
      <c r="B7" s="6">
        <f t="shared" si="0"/>
        <v>46091</v>
      </c>
      <c r="C7" t="s">
        <v>27</v>
      </c>
      <c r="D7" s="7" t="s">
        <v>36</v>
      </c>
      <c r="E7" s="16" t="s">
        <v>37</v>
      </c>
      <c r="G7" s="7" t="s">
        <v>38</v>
      </c>
      <c r="H7" s="7">
        <v>94</v>
      </c>
      <c r="K7" s="13"/>
      <c r="M7" t="s">
        <v>22</v>
      </c>
      <c r="N7" s="7" t="s">
        <v>39</v>
      </c>
      <c r="O7" s="14" t="s">
        <v>30</v>
      </c>
    </row>
    <row r="8" spans="1:24" ht="15">
      <c r="A8" s="5">
        <v>46084</v>
      </c>
      <c r="B8" s="6">
        <f t="shared" si="0"/>
        <v>46091</v>
      </c>
      <c r="C8" t="s">
        <v>27</v>
      </c>
      <c r="D8" s="7" t="s">
        <v>40</v>
      </c>
      <c r="E8" s="7" t="s">
        <v>41</v>
      </c>
      <c r="G8" s="7" t="s">
        <v>42</v>
      </c>
      <c r="H8" s="7">
        <v>3</v>
      </c>
      <c r="K8" s="13"/>
      <c r="M8" t="s">
        <v>43</v>
      </c>
      <c r="N8" s="7" t="s">
        <v>44</v>
      </c>
      <c r="O8" s="14" t="s">
        <v>30</v>
      </c>
    </row>
    <row r="9" spans="1:24" ht="28">
      <c r="A9" s="5">
        <v>46085</v>
      </c>
      <c r="B9" s="6">
        <f t="shared" si="0"/>
        <v>46092</v>
      </c>
      <c r="C9" t="s">
        <v>27</v>
      </c>
      <c r="D9" s="7" t="s">
        <v>45</v>
      </c>
      <c r="E9" s="7" t="s">
        <v>46</v>
      </c>
      <c r="G9" s="7" t="s">
        <v>47</v>
      </c>
      <c r="H9" s="7">
        <v>0</v>
      </c>
      <c r="K9" s="13"/>
      <c r="M9" t="s">
        <v>43</v>
      </c>
      <c r="N9" s="15" t="s">
        <v>48</v>
      </c>
      <c r="O9" s="14" t="s">
        <v>30</v>
      </c>
    </row>
    <row r="10" spans="1:24" ht="15">
      <c r="A10" s="5">
        <v>46085</v>
      </c>
      <c r="B10" s="6">
        <f t="shared" si="0"/>
        <v>46092</v>
      </c>
      <c r="C10" t="s">
        <v>27</v>
      </c>
      <c r="D10" s="7" t="s">
        <v>49</v>
      </c>
      <c r="E10" s="7" t="s">
        <v>50</v>
      </c>
      <c r="G10" t="s">
        <v>51</v>
      </c>
      <c r="H10" s="7">
        <v>2</v>
      </c>
      <c r="K10" s="13"/>
      <c r="M10" t="s">
        <v>34</v>
      </c>
      <c r="N10" s="7" t="s">
        <v>52</v>
      </c>
      <c r="O10" s="14" t="s">
        <v>30</v>
      </c>
    </row>
    <row r="11" spans="1:24" ht="15">
      <c r="A11" s="5">
        <v>46085</v>
      </c>
      <c r="B11" s="6">
        <f t="shared" si="0"/>
        <v>46092</v>
      </c>
      <c r="C11" t="s">
        <v>27</v>
      </c>
      <c r="D11" s="7" t="s">
        <v>53</v>
      </c>
      <c r="E11" s="7" t="s">
        <v>54</v>
      </c>
      <c r="G11" s="7" t="s">
        <v>55</v>
      </c>
      <c r="H11" s="7">
        <v>12</v>
      </c>
      <c r="K11" s="13"/>
      <c r="M11" t="s">
        <v>34</v>
      </c>
      <c r="N11" s="7" t="s">
        <v>52</v>
      </c>
      <c r="O11" s="14" t="s">
        <v>30</v>
      </c>
    </row>
    <row r="12" spans="1:24" ht="15">
      <c r="A12" s="5">
        <v>46084</v>
      </c>
      <c r="B12" s="6">
        <f t="shared" si="0"/>
        <v>46091</v>
      </c>
      <c r="C12" t="s">
        <v>27</v>
      </c>
      <c r="D12" s="7" t="s">
        <v>56</v>
      </c>
      <c r="E12" s="7" t="s">
        <v>57</v>
      </c>
      <c r="G12" t="s">
        <v>58</v>
      </c>
      <c r="H12" s="7">
        <v>2</v>
      </c>
      <c r="K12" s="13"/>
      <c r="M12" t="s">
        <v>43</v>
      </c>
      <c r="N12" s="7" t="s">
        <v>44</v>
      </c>
      <c r="O12" s="14" t="s">
        <v>30</v>
      </c>
    </row>
    <row r="13" spans="1:24" ht="15">
      <c r="A13" s="5">
        <v>46085</v>
      </c>
      <c r="B13" s="6">
        <f t="shared" si="0"/>
        <v>46092</v>
      </c>
      <c r="C13" t="s">
        <v>27</v>
      </c>
      <c r="D13" s="7" t="s">
        <v>59</v>
      </c>
      <c r="E13" s="7" t="s">
        <v>60</v>
      </c>
      <c r="G13" t="s">
        <v>61</v>
      </c>
      <c r="H13" s="7">
        <v>94</v>
      </c>
      <c r="K13" s="13"/>
      <c r="M13" t="s">
        <v>34</v>
      </c>
      <c r="N13" s="7" t="s">
        <v>52</v>
      </c>
      <c r="O13" s="14" t="s">
        <v>30</v>
      </c>
    </row>
    <row r="14" spans="1:24" ht="28">
      <c r="A14" s="5">
        <v>46086</v>
      </c>
      <c r="B14" s="6">
        <f t="shared" si="0"/>
        <v>46093</v>
      </c>
      <c r="C14" t="s">
        <v>18</v>
      </c>
      <c r="D14" s="7" t="s">
        <v>62</v>
      </c>
      <c r="E14" s="7" t="s">
        <v>63</v>
      </c>
      <c r="F14" s="9" t="s">
        <v>64</v>
      </c>
      <c r="G14" t="s">
        <v>65</v>
      </c>
      <c r="H14" s="7">
        <v>4</v>
      </c>
      <c r="I14" s="7">
        <v>27</v>
      </c>
      <c r="J14" s="7">
        <v>28</v>
      </c>
      <c r="K14" s="13">
        <v>82.8</v>
      </c>
      <c r="L14" s="11">
        <f>K14/J14</f>
        <v>2.9571428571428569</v>
      </c>
      <c r="M14" s="17" t="s">
        <v>34</v>
      </c>
      <c r="N14" s="17" t="s">
        <v>66</v>
      </c>
      <c r="P14" s="9" t="str">
        <f>IF(J14="","",IF(J14&gt;=5000,"S 级",IF(J14&gt;=1000,"A 级",IF(J14&gt;=500,"B 级","C 级"))))</f>
        <v>C 级</v>
      </c>
    </row>
    <row r="15" spans="1:24" ht="15">
      <c r="A15" s="5">
        <v>46086</v>
      </c>
      <c r="B15" s="6">
        <f t="shared" si="0"/>
        <v>46093</v>
      </c>
      <c r="C15" t="s">
        <v>27</v>
      </c>
      <c r="D15" s="7" t="s">
        <v>67</v>
      </c>
      <c r="E15" s="7" t="s">
        <v>68</v>
      </c>
      <c r="G15" t="s">
        <v>69</v>
      </c>
      <c r="H15" s="7">
        <v>0</v>
      </c>
      <c r="K15" s="13"/>
      <c r="M15" t="s">
        <v>22</v>
      </c>
      <c r="N15" s="7" t="s">
        <v>48</v>
      </c>
      <c r="O15" s="14" t="s">
        <v>30</v>
      </c>
    </row>
    <row r="16" spans="1:24" ht="15">
      <c r="A16" s="5">
        <v>46086</v>
      </c>
      <c r="B16" s="6">
        <f t="shared" si="0"/>
        <v>46093</v>
      </c>
      <c r="C16" t="s">
        <v>27</v>
      </c>
      <c r="D16" s="7" t="s">
        <v>70</v>
      </c>
      <c r="E16" s="7" t="s">
        <v>71</v>
      </c>
      <c r="G16" t="s">
        <v>72</v>
      </c>
      <c r="H16" s="7">
        <v>0</v>
      </c>
      <c r="K16" s="13"/>
      <c r="M16" t="s">
        <v>34</v>
      </c>
      <c r="N16" s="7" t="s">
        <v>73</v>
      </c>
      <c r="O16" s="14" t="s">
        <v>30</v>
      </c>
    </row>
    <row r="17" spans="1:15" ht="15">
      <c r="A17" s="5">
        <v>46087</v>
      </c>
      <c r="B17" s="6">
        <f t="shared" si="0"/>
        <v>46094</v>
      </c>
      <c r="C17" t="s">
        <v>27</v>
      </c>
      <c r="D17" s="7" t="s">
        <v>74</v>
      </c>
      <c r="E17" s="7" t="s">
        <v>75</v>
      </c>
      <c r="G17" t="s">
        <v>76</v>
      </c>
      <c r="H17" s="7">
        <v>98</v>
      </c>
      <c r="K17" s="13"/>
      <c r="M17" t="s">
        <v>34</v>
      </c>
      <c r="N17" s="7" t="s">
        <v>52</v>
      </c>
      <c r="O17" s="14" t="s">
        <v>77</v>
      </c>
    </row>
    <row r="18" spans="1:15" ht="15">
      <c r="A18" s="5">
        <v>46086</v>
      </c>
      <c r="B18" s="6">
        <f t="shared" si="0"/>
        <v>46093</v>
      </c>
      <c r="C18" t="s">
        <v>27</v>
      </c>
      <c r="D18" s="7" t="s">
        <v>78</v>
      </c>
      <c r="E18" s="16" t="s">
        <v>79</v>
      </c>
      <c r="G18" t="s">
        <v>80</v>
      </c>
      <c r="H18" s="7">
        <v>21</v>
      </c>
      <c r="K18" s="13"/>
      <c r="O18" s="14" t="s">
        <v>30</v>
      </c>
    </row>
    <row r="19" spans="1:15" ht="16">
      <c r="A19" s="5">
        <v>46087</v>
      </c>
      <c r="B19" s="6">
        <f t="shared" si="0"/>
        <v>46094</v>
      </c>
      <c r="C19" t="s">
        <v>27</v>
      </c>
      <c r="D19" s="7" t="s">
        <v>81</v>
      </c>
      <c r="E19" s="7" t="s">
        <v>82</v>
      </c>
      <c r="G19" s="18" t="s">
        <v>83</v>
      </c>
      <c r="H19" s="7">
        <v>9</v>
      </c>
      <c r="K19" s="13"/>
      <c r="O19" s="14" t="s">
        <v>30</v>
      </c>
    </row>
    <row r="20" spans="1:15" ht="15">
      <c r="A20" s="5">
        <v>46086</v>
      </c>
      <c r="B20" s="6">
        <f t="shared" si="0"/>
        <v>46093</v>
      </c>
      <c r="C20" t="s">
        <v>27</v>
      </c>
      <c r="D20" s="7" t="s">
        <v>84</v>
      </c>
      <c r="E20" s="7" t="s">
        <v>85</v>
      </c>
      <c r="G20" t="s">
        <v>86</v>
      </c>
      <c r="H20" s="7">
        <v>5</v>
      </c>
      <c r="K20" s="13"/>
      <c r="O20" s="14" t="s">
        <v>30</v>
      </c>
    </row>
    <row r="21" spans="1:15" ht="15">
      <c r="A21" s="5">
        <v>46087</v>
      </c>
      <c r="B21" s="6">
        <f t="shared" si="0"/>
        <v>46094</v>
      </c>
      <c r="C21" t="s">
        <v>27</v>
      </c>
      <c r="D21" s="7" t="s">
        <v>87</v>
      </c>
      <c r="E21" s="7" t="s">
        <v>88</v>
      </c>
      <c r="G21" t="s">
        <v>89</v>
      </c>
      <c r="H21" s="7">
        <v>3</v>
      </c>
      <c r="K21" s="13"/>
      <c r="O21" s="14" t="s">
        <v>30</v>
      </c>
    </row>
    <row r="22" spans="1:15" ht="15">
      <c r="A22" s="5">
        <v>46087</v>
      </c>
      <c r="B22" s="6">
        <f t="shared" si="0"/>
        <v>46094</v>
      </c>
      <c r="C22" t="s">
        <v>27</v>
      </c>
      <c r="D22" s="7" t="s">
        <v>90</v>
      </c>
      <c r="E22" s="7" t="s">
        <v>91</v>
      </c>
      <c r="G22" t="s">
        <v>92</v>
      </c>
      <c r="H22" s="7">
        <v>6</v>
      </c>
      <c r="K22" s="13"/>
      <c r="O22" s="14" t="s">
        <v>30</v>
      </c>
    </row>
    <row r="23" spans="1:15" ht="15">
      <c r="A23" s="5">
        <v>46087</v>
      </c>
      <c r="B23" s="6">
        <f t="shared" si="0"/>
        <v>46094</v>
      </c>
      <c r="C23" t="s">
        <v>27</v>
      </c>
      <c r="D23" s="7" t="s">
        <v>93</v>
      </c>
      <c r="E23" s="7" t="s">
        <v>94</v>
      </c>
      <c r="G23" t="s">
        <v>95</v>
      </c>
      <c r="H23" s="7">
        <v>2</v>
      </c>
      <c r="K23" s="13"/>
      <c r="O23" s="14" t="s">
        <v>30</v>
      </c>
    </row>
    <row r="24" spans="1:15">
      <c r="A24" s="5">
        <v>46089</v>
      </c>
      <c r="B24" s="6">
        <f t="shared" si="0"/>
        <v>46096</v>
      </c>
      <c r="C24" t="s">
        <v>27</v>
      </c>
      <c r="D24" s="7" t="s">
        <v>96</v>
      </c>
      <c r="E24" s="7" t="s">
        <v>97</v>
      </c>
      <c r="G24" t="s">
        <v>98</v>
      </c>
      <c r="H24" s="7" t="s">
        <v>99</v>
      </c>
      <c r="K24" s="13"/>
      <c r="O24" t="s">
        <v>30</v>
      </c>
    </row>
    <row r="25" spans="1:15">
      <c r="A25" s="5">
        <v>46089</v>
      </c>
      <c r="B25" s="6">
        <f t="shared" si="0"/>
        <v>46096</v>
      </c>
      <c r="C25" t="s">
        <v>27</v>
      </c>
      <c r="D25" s="7" t="s">
        <v>100</v>
      </c>
      <c r="E25" s="7" t="s">
        <v>101</v>
      </c>
      <c r="G25" t="s">
        <v>102</v>
      </c>
      <c r="H25" s="7">
        <v>7</v>
      </c>
      <c r="K25" s="13"/>
      <c r="O25" t="s">
        <v>30</v>
      </c>
    </row>
    <row r="26" spans="1:15">
      <c r="A26" s="5">
        <v>46089</v>
      </c>
      <c r="B26" s="6">
        <f t="shared" si="0"/>
        <v>46096</v>
      </c>
      <c r="C26" t="s">
        <v>27</v>
      </c>
      <c r="D26" s="7" t="s">
        <v>103</v>
      </c>
      <c r="E26" s="7" t="s">
        <v>104</v>
      </c>
      <c r="G26" t="s">
        <v>105</v>
      </c>
      <c r="H26" s="7">
        <v>12</v>
      </c>
      <c r="K26" s="13"/>
      <c r="O26" t="s">
        <v>30</v>
      </c>
    </row>
    <row r="27" spans="1:15">
      <c r="A27" s="5">
        <v>46091</v>
      </c>
      <c r="B27" s="6">
        <f t="shared" si="0"/>
        <v>46098</v>
      </c>
      <c r="C27" t="s">
        <v>27</v>
      </c>
      <c r="D27" s="7" t="s">
        <v>106</v>
      </c>
      <c r="E27" s="7" t="s">
        <v>107</v>
      </c>
      <c r="G27" t="s">
        <v>108</v>
      </c>
      <c r="H27" s="7">
        <v>1</v>
      </c>
      <c r="K27" s="13"/>
      <c r="O27" t="s">
        <v>30</v>
      </c>
    </row>
    <row r="28" spans="1:15">
      <c r="A28" s="5">
        <v>46090</v>
      </c>
      <c r="B28" s="6">
        <f t="shared" si="0"/>
        <v>46097</v>
      </c>
      <c r="C28" t="s">
        <v>27</v>
      </c>
      <c r="D28" s="7" t="s">
        <v>109</v>
      </c>
      <c r="E28" s="7" t="s">
        <v>110</v>
      </c>
      <c r="G28" t="s">
        <v>111</v>
      </c>
      <c r="H28" s="7">
        <v>11</v>
      </c>
      <c r="K28" s="13"/>
      <c r="O28" t="s">
        <v>30</v>
      </c>
    </row>
    <row r="29" spans="1:15">
      <c r="A29" s="5">
        <v>46091</v>
      </c>
      <c r="B29" s="6">
        <f t="shared" si="0"/>
        <v>46098</v>
      </c>
      <c r="C29" t="s">
        <v>27</v>
      </c>
      <c r="D29" s="7" t="s">
        <v>112</v>
      </c>
      <c r="E29" s="7" t="s">
        <v>113</v>
      </c>
      <c r="G29" t="s">
        <v>114</v>
      </c>
      <c r="H29" s="7">
        <v>2</v>
      </c>
      <c r="K29" s="13"/>
      <c r="O29" t="s">
        <v>77</v>
      </c>
    </row>
    <row r="30" spans="1:15">
      <c r="A30" s="5">
        <v>46090</v>
      </c>
      <c r="B30" s="6">
        <f t="shared" si="0"/>
        <v>46097</v>
      </c>
      <c r="C30" t="s">
        <v>27</v>
      </c>
      <c r="D30" s="7" t="s">
        <v>115</v>
      </c>
      <c r="E30" s="7" t="s">
        <v>116</v>
      </c>
      <c r="G30" t="s">
        <v>117</v>
      </c>
      <c r="H30" s="7">
        <v>6</v>
      </c>
      <c r="K30" s="13"/>
      <c r="O30" t="s">
        <v>30</v>
      </c>
    </row>
    <row r="31" spans="1:15">
      <c r="A31" s="5">
        <v>46090</v>
      </c>
      <c r="B31" s="6">
        <f t="shared" si="0"/>
        <v>46097</v>
      </c>
      <c r="C31" t="s">
        <v>27</v>
      </c>
      <c r="D31" s="7" t="s">
        <v>118</v>
      </c>
      <c r="E31" s="7" t="s">
        <v>119</v>
      </c>
      <c r="G31" t="s">
        <v>120</v>
      </c>
      <c r="H31" s="7">
        <v>27</v>
      </c>
      <c r="K31" s="13"/>
      <c r="O31" t="s">
        <v>30</v>
      </c>
    </row>
    <row r="32" spans="1:15">
      <c r="A32" s="5">
        <v>46090</v>
      </c>
      <c r="B32" s="6">
        <f t="shared" si="0"/>
        <v>46097</v>
      </c>
      <c r="C32" t="s">
        <v>27</v>
      </c>
      <c r="D32" s="7" t="s">
        <v>121</v>
      </c>
      <c r="E32" s="8" t="str">
        <f>MID(D32,FIND("explore/",D32)+8,24)</f>
        <v>69ae8994000000000d008e1c</v>
      </c>
      <c r="G32" t="s">
        <v>122</v>
      </c>
      <c r="H32" s="7">
        <v>90</v>
      </c>
      <c r="K32" s="13"/>
      <c r="O32" t="s">
        <v>30</v>
      </c>
    </row>
    <row r="33" spans="1:16">
      <c r="A33" s="5">
        <v>46090</v>
      </c>
      <c r="B33" s="6">
        <f t="shared" si="0"/>
        <v>46097</v>
      </c>
      <c r="C33" t="s">
        <v>27</v>
      </c>
      <c r="D33" s="7" t="s">
        <v>123</v>
      </c>
      <c r="E33" s="7" t="s">
        <v>124</v>
      </c>
      <c r="G33" t="s">
        <v>125</v>
      </c>
      <c r="H33" s="7">
        <v>127</v>
      </c>
      <c r="K33" s="13"/>
      <c r="O33" t="s">
        <v>126</v>
      </c>
    </row>
    <row r="34" spans="1:16" ht="15">
      <c r="A34" s="5">
        <v>46092</v>
      </c>
      <c r="B34" s="6">
        <f t="shared" si="0"/>
        <v>46099</v>
      </c>
      <c r="C34" t="s">
        <v>127</v>
      </c>
      <c r="D34" s="7" t="s">
        <v>128</v>
      </c>
      <c r="E34" s="7" t="s">
        <v>129</v>
      </c>
      <c r="F34" s="7" t="s">
        <v>130</v>
      </c>
      <c r="G34" t="s">
        <v>131</v>
      </c>
      <c r="H34" s="7">
        <v>11</v>
      </c>
      <c r="I34" s="7">
        <v>119</v>
      </c>
      <c r="J34" s="7">
        <v>119</v>
      </c>
      <c r="K34" s="13">
        <v>200.51</v>
      </c>
      <c r="L34" s="11">
        <f>K34/J34</f>
        <v>1.6849579831932773</v>
      </c>
      <c r="O34" s="19" t="s">
        <v>132</v>
      </c>
    </row>
    <row r="35" spans="1:16" ht="28">
      <c r="A35" s="5">
        <v>46091</v>
      </c>
      <c r="B35" s="6">
        <f t="shared" ref="B35:B66" si="1">A35+7</f>
        <v>46098</v>
      </c>
      <c r="C35" t="s">
        <v>18</v>
      </c>
      <c r="D35" s="7" t="s">
        <v>133</v>
      </c>
      <c r="E35" s="7" t="s">
        <v>134</v>
      </c>
      <c r="F35" s="7" t="s">
        <v>135</v>
      </c>
      <c r="G35" t="s">
        <v>136</v>
      </c>
      <c r="H35" s="7">
        <v>1</v>
      </c>
      <c r="I35" s="7">
        <v>201</v>
      </c>
      <c r="J35" s="7">
        <v>244</v>
      </c>
      <c r="K35" s="20">
        <v>396.31</v>
      </c>
      <c r="L35" s="11">
        <f>K35/J35</f>
        <v>1.6242213114754098</v>
      </c>
      <c r="M35" s="12" t="s">
        <v>22</v>
      </c>
      <c r="N35" s="12" t="s">
        <v>137</v>
      </c>
      <c r="P35" s="9" t="str">
        <f>IF(J35="","",IF(J35&gt;=5000,"S 级",IF(J35&gt;=1000,"A 级",IF(J35&gt;=500,"B 级","C 级"))))</f>
        <v>C 级</v>
      </c>
    </row>
    <row r="36" spans="1:16">
      <c r="A36" s="5">
        <v>46091</v>
      </c>
      <c r="B36" s="6">
        <f t="shared" si="1"/>
        <v>46098</v>
      </c>
      <c r="C36" t="s">
        <v>27</v>
      </c>
      <c r="D36" s="7" t="s">
        <v>138</v>
      </c>
      <c r="E36" s="7" t="s">
        <v>139</v>
      </c>
      <c r="G36" t="s">
        <v>140</v>
      </c>
      <c r="H36" s="7">
        <v>0</v>
      </c>
      <c r="K36" s="13"/>
      <c r="O36" t="s">
        <v>30</v>
      </c>
    </row>
    <row r="37" spans="1:16">
      <c r="A37" s="5">
        <v>46091</v>
      </c>
      <c r="B37" s="6">
        <f t="shared" si="1"/>
        <v>46098</v>
      </c>
      <c r="C37" t="s">
        <v>27</v>
      </c>
      <c r="D37" s="7" t="s">
        <v>141</v>
      </c>
      <c r="E37" s="7" t="s">
        <v>142</v>
      </c>
      <c r="G37" t="s">
        <v>143</v>
      </c>
      <c r="H37" s="7">
        <v>1</v>
      </c>
      <c r="K37" s="13"/>
      <c r="O37" t="s">
        <v>30</v>
      </c>
    </row>
    <row r="38" spans="1:16">
      <c r="A38" s="5">
        <v>46092</v>
      </c>
      <c r="B38" s="6">
        <f t="shared" si="1"/>
        <v>46099</v>
      </c>
      <c r="C38" t="s">
        <v>27</v>
      </c>
      <c r="D38" s="7" t="s">
        <v>144</v>
      </c>
      <c r="E38" s="7" t="s">
        <v>145</v>
      </c>
      <c r="G38" t="s">
        <v>146</v>
      </c>
      <c r="H38" s="7">
        <v>27</v>
      </c>
      <c r="K38" s="13"/>
      <c r="O38" t="s">
        <v>30</v>
      </c>
    </row>
    <row r="39" spans="1:16" ht="28">
      <c r="A39" s="5">
        <v>46091</v>
      </c>
      <c r="B39" s="6">
        <f t="shared" si="1"/>
        <v>46098</v>
      </c>
      <c r="C39" t="s">
        <v>18</v>
      </c>
      <c r="D39" s="7" t="s">
        <v>147</v>
      </c>
      <c r="E39" s="7" t="s">
        <v>148</v>
      </c>
      <c r="F39" s="7" t="s">
        <v>149</v>
      </c>
      <c r="G39" t="s">
        <v>150</v>
      </c>
      <c r="H39" s="7">
        <v>1</v>
      </c>
      <c r="I39" s="7">
        <v>117</v>
      </c>
      <c r="J39" s="7">
        <v>119</v>
      </c>
      <c r="K39" s="21">
        <v>202.14</v>
      </c>
      <c r="L39" s="11">
        <f>K39/J39</f>
        <v>1.6986554621848737</v>
      </c>
      <c r="M39" s="12" t="s">
        <v>22</v>
      </c>
      <c r="N39" s="12" t="s">
        <v>151</v>
      </c>
      <c r="P39" s="9" t="str">
        <f>IF(J39="","",IF(J39&gt;=5000,"S 级",IF(J39&gt;=1000,"A 级",IF(J39&gt;=500,"B 级","C 级"))))</f>
        <v>C 级</v>
      </c>
    </row>
    <row r="40" spans="1:16">
      <c r="A40" s="5">
        <v>46091</v>
      </c>
      <c r="B40" s="6">
        <f t="shared" si="1"/>
        <v>46098</v>
      </c>
      <c r="C40" t="s">
        <v>27</v>
      </c>
      <c r="D40" s="7" t="s">
        <v>152</v>
      </c>
      <c r="E40" s="7" t="s">
        <v>153</v>
      </c>
      <c r="G40" t="s">
        <v>154</v>
      </c>
      <c r="H40" s="7">
        <v>10</v>
      </c>
      <c r="K40" s="13"/>
      <c r="O40" t="s">
        <v>30</v>
      </c>
    </row>
    <row r="41" spans="1:16">
      <c r="A41" s="5">
        <v>46091</v>
      </c>
      <c r="B41" s="6">
        <f t="shared" si="1"/>
        <v>46098</v>
      </c>
      <c r="C41" t="s">
        <v>27</v>
      </c>
      <c r="D41" s="7" t="s">
        <v>155</v>
      </c>
      <c r="E41" s="7" t="s">
        <v>156</v>
      </c>
      <c r="G41" t="s">
        <v>157</v>
      </c>
      <c r="H41" s="7">
        <v>5</v>
      </c>
      <c r="K41" s="13"/>
      <c r="O41" t="s">
        <v>30</v>
      </c>
    </row>
    <row r="42" spans="1:16" ht="15">
      <c r="A42" s="5">
        <v>46091</v>
      </c>
      <c r="B42" s="6">
        <f t="shared" si="1"/>
        <v>46098</v>
      </c>
      <c r="C42" t="s">
        <v>27</v>
      </c>
      <c r="D42" s="7" t="s">
        <v>158</v>
      </c>
      <c r="E42" s="7" t="s">
        <v>159</v>
      </c>
      <c r="G42" t="s">
        <v>160</v>
      </c>
      <c r="H42" s="7">
        <v>36</v>
      </c>
      <c r="K42" s="13"/>
      <c r="O42" s="14" t="s">
        <v>30</v>
      </c>
    </row>
    <row r="43" spans="1:16" ht="28">
      <c r="A43" s="6">
        <v>46093</v>
      </c>
      <c r="B43" s="6">
        <f t="shared" si="1"/>
        <v>46100</v>
      </c>
      <c r="C43" t="s">
        <v>18</v>
      </c>
      <c r="D43" s="7" t="s">
        <v>161</v>
      </c>
      <c r="E43" s="7" t="s">
        <v>162</v>
      </c>
      <c r="F43" s="7" t="s">
        <v>163</v>
      </c>
      <c r="G43" t="s">
        <v>164</v>
      </c>
      <c r="H43" s="7">
        <v>47</v>
      </c>
      <c r="I43" s="7">
        <v>143</v>
      </c>
      <c r="J43" s="7">
        <v>1915</v>
      </c>
      <c r="K43" s="21">
        <v>211.14</v>
      </c>
      <c r="L43" s="11">
        <f>K43/J43</f>
        <v>0.11025587467362924</v>
      </c>
      <c r="M43" s="12" t="s">
        <v>22</v>
      </c>
      <c r="N43" s="12" t="s">
        <v>151</v>
      </c>
      <c r="O43" s="14" t="s">
        <v>165</v>
      </c>
      <c r="P43" s="9" t="str">
        <f>IF(J43="","",IF(J43&gt;=5000,"S 级",IF(J43&gt;=1000,"A 级",IF(J43&gt;=500,"B 级","C 级"))))</f>
        <v>A 级</v>
      </c>
    </row>
    <row r="44" spans="1:16">
      <c r="A44" s="6">
        <v>46092</v>
      </c>
      <c r="B44" s="6">
        <f t="shared" si="1"/>
        <v>46099</v>
      </c>
      <c r="C44" t="s">
        <v>27</v>
      </c>
      <c r="D44" s="7" t="s">
        <v>166</v>
      </c>
      <c r="E44" s="7" t="s">
        <v>167</v>
      </c>
      <c r="G44" t="s">
        <v>168</v>
      </c>
      <c r="H44" s="7">
        <v>8</v>
      </c>
      <c r="K44" s="13"/>
      <c r="O44" t="s">
        <v>30</v>
      </c>
    </row>
    <row r="45" spans="1:16">
      <c r="A45" s="6">
        <v>46093</v>
      </c>
      <c r="B45" s="6">
        <f t="shared" si="1"/>
        <v>46100</v>
      </c>
      <c r="C45" t="s">
        <v>24</v>
      </c>
      <c r="D45" s="7" t="s">
        <v>169</v>
      </c>
      <c r="E45" s="7" t="s">
        <v>170</v>
      </c>
      <c r="G45" t="s">
        <v>171</v>
      </c>
      <c r="H45" s="7">
        <v>1</v>
      </c>
      <c r="K45" s="13"/>
    </row>
    <row r="46" spans="1:16" ht="28">
      <c r="A46" s="6">
        <v>46094</v>
      </c>
      <c r="B46" s="6">
        <f t="shared" si="1"/>
        <v>46101</v>
      </c>
      <c r="C46" t="s">
        <v>18</v>
      </c>
      <c r="D46" s="7" t="s">
        <v>172</v>
      </c>
      <c r="E46" s="7" t="s">
        <v>173</v>
      </c>
      <c r="F46" s="7" t="s">
        <v>174</v>
      </c>
      <c r="G46" t="s">
        <v>175</v>
      </c>
      <c r="H46" s="7">
        <v>2</v>
      </c>
      <c r="I46" s="7">
        <v>110</v>
      </c>
      <c r="J46" s="7">
        <v>112</v>
      </c>
      <c r="K46" s="13">
        <v>201.74</v>
      </c>
      <c r="L46" s="11">
        <f>K46/J46</f>
        <v>1.80125</v>
      </c>
      <c r="M46" s="12" t="s">
        <v>22</v>
      </c>
      <c r="N46" s="12" t="s">
        <v>48</v>
      </c>
      <c r="P46" s="9" t="str">
        <f>IF(J46="","",IF(J46&gt;=5000,"S 级",IF(J46&gt;=1000,"A 级",IF(J46&gt;=500,"B 级","C 级"))))</f>
        <v>C 级</v>
      </c>
    </row>
    <row r="47" spans="1:16" ht="15">
      <c r="A47" s="6">
        <v>46093</v>
      </c>
      <c r="B47" s="6">
        <f t="shared" si="1"/>
        <v>46100</v>
      </c>
      <c r="C47" t="s">
        <v>27</v>
      </c>
      <c r="D47" s="7" t="s">
        <v>176</v>
      </c>
      <c r="E47" s="7" t="s">
        <v>177</v>
      </c>
      <c r="G47" t="s">
        <v>178</v>
      </c>
      <c r="H47" s="7">
        <v>1</v>
      </c>
      <c r="K47" s="13"/>
      <c r="O47" s="14" t="s">
        <v>30</v>
      </c>
    </row>
    <row r="48" spans="1:16" ht="15">
      <c r="A48" s="6">
        <v>46093</v>
      </c>
      <c r="B48" s="6">
        <f t="shared" si="1"/>
        <v>46100</v>
      </c>
      <c r="C48" t="s">
        <v>27</v>
      </c>
      <c r="D48" s="7" t="s">
        <v>179</v>
      </c>
      <c r="E48" s="7" t="s">
        <v>180</v>
      </c>
      <c r="G48" t="s">
        <v>181</v>
      </c>
      <c r="H48" s="7">
        <v>2</v>
      </c>
      <c r="K48" s="13"/>
      <c r="O48" s="14" t="s">
        <v>126</v>
      </c>
    </row>
    <row r="49" spans="1:16" ht="15">
      <c r="A49" s="6">
        <v>46094</v>
      </c>
      <c r="B49" s="6">
        <f t="shared" si="1"/>
        <v>46101</v>
      </c>
      <c r="C49" t="s">
        <v>24</v>
      </c>
      <c r="D49" s="7" t="s">
        <v>182</v>
      </c>
      <c r="E49" s="7" t="s">
        <v>183</v>
      </c>
      <c r="G49" t="s">
        <v>184</v>
      </c>
      <c r="H49" s="7">
        <v>6</v>
      </c>
      <c r="K49" s="13"/>
      <c r="O49" s="14"/>
    </row>
    <row r="50" spans="1:16" ht="15">
      <c r="A50" s="6">
        <v>46094</v>
      </c>
      <c r="B50" s="6">
        <f t="shared" si="1"/>
        <v>46101</v>
      </c>
      <c r="C50" t="s">
        <v>27</v>
      </c>
      <c r="D50" s="7" t="s">
        <v>185</v>
      </c>
      <c r="E50" s="7" t="s">
        <v>186</v>
      </c>
      <c r="G50" t="s">
        <v>187</v>
      </c>
      <c r="H50" s="7">
        <v>2</v>
      </c>
      <c r="K50" s="13"/>
      <c r="O50" s="14" t="s">
        <v>30</v>
      </c>
    </row>
    <row r="51" spans="1:16" ht="15">
      <c r="A51" s="6">
        <v>46093</v>
      </c>
      <c r="B51" s="6">
        <f t="shared" si="1"/>
        <v>46100</v>
      </c>
      <c r="C51" t="s">
        <v>27</v>
      </c>
      <c r="D51" s="7" t="s">
        <v>188</v>
      </c>
      <c r="E51" s="7" t="s">
        <v>189</v>
      </c>
      <c r="G51" t="s">
        <v>190</v>
      </c>
      <c r="H51" s="7">
        <v>3</v>
      </c>
      <c r="K51" s="13"/>
      <c r="O51" s="14" t="s">
        <v>30</v>
      </c>
    </row>
    <row r="52" spans="1:16" ht="15">
      <c r="A52" s="6">
        <v>46093</v>
      </c>
      <c r="B52" s="6">
        <f t="shared" si="1"/>
        <v>46100</v>
      </c>
      <c r="C52" t="s">
        <v>27</v>
      </c>
      <c r="D52" s="7" t="s">
        <v>191</v>
      </c>
      <c r="E52" s="7" t="s">
        <v>192</v>
      </c>
      <c r="G52" t="s">
        <v>193</v>
      </c>
      <c r="H52" s="7">
        <v>31</v>
      </c>
      <c r="K52" s="13"/>
      <c r="O52" s="14" t="s">
        <v>30</v>
      </c>
    </row>
    <row r="53" spans="1:16">
      <c r="A53" s="6">
        <v>46097</v>
      </c>
      <c r="B53" s="6">
        <f t="shared" si="1"/>
        <v>46104</v>
      </c>
      <c r="C53" t="s">
        <v>27</v>
      </c>
      <c r="D53" s="7" t="s">
        <v>194</v>
      </c>
      <c r="E53" s="7" t="s">
        <v>195</v>
      </c>
      <c r="G53" t="s">
        <v>196</v>
      </c>
      <c r="H53" s="7">
        <v>7</v>
      </c>
      <c r="K53" s="13"/>
      <c r="O53" t="s">
        <v>30</v>
      </c>
    </row>
    <row r="54" spans="1:16">
      <c r="A54" s="6">
        <v>46096</v>
      </c>
      <c r="B54" s="6">
        <f t="shared" si="1"/>
        <v>46103</v>
      </c>
      <c r="C54" t="s">
        <v>27</v>
      </c>
      <c r="D54" s="7" t="s">
        <v>197</v>
      </c>
      <c r="E54" s="7" t="s">
        <v>198</v>
      </c>
      <c r="G54" t="s">
        <v>199</v>
      </c>
      <c r="H54" s="7">
        <v>2</v>
      </c>
      <c r="K54" s="13"/>
      <c r="O54" t="s">
        <v>30</v>
      </c>
    </row>
    <row r="55" spans="1:16">
      <c r="A55" s="6">
        <v>46096</v>
      </c>
      <c r="B55" s="6">
        <f t="shared" si="1"/>
        <v>46103</v>
      </c>
      <c r="C55" t="s">
        <v>27</v>
      </c>
      <c r="D55" s="7" t="s">
        <v>200</v>
      </c>
      <c r="E55" s="7" t="s">
        <v>201</v>
      </c>
      <c r="G55" t="s">
        <v>202</v>
      </c>
      <c r="H55" s="7">
        <v>318</v>
      </c>
      <c r="K55" s="13"/>
      <c r="O55" t="s">
        <v>30</v>
      </c>
    </row>
    <row r="56" spans="1:16">
      <c r="A56" s="6">
        <v>46095</v>
      </c>
      <c r="B56" s="6">
        <f t="shared" si="1"/>
        <v>46102</v>
      </c>
      <c r="C56" t="s">
        <v>27</v>
      </c>
      <c r="D56" s="7" t="s">
        <v>203</v>
      </c>
      <c r="E56" s="7" t="s">
        <v>204</v>
      </c>
      <c r="G56" t="s">
        <v>205</v>
      </c>
      <c r="H56" s="7">
        <v>201</v>
      </c>
      <c r="K56" s="13"/>
      <c r="O56" t="s">
        <v>30</v>
      </c>
    </row>
    <row r="57" spans="1:16" ht="14">
      <c r="A57" s="6">
        <v>46097</v>
      </c>
      <c r="B57" s="6">
        <f t="shared" si="1"/>
        <v>46104</v>
      </c>
      <c r="C57" t="s">
        <v>18</v>
      </c>
      <c r="D57" s="7" t="s">
        <v>206</v>
      </c>
      <c r="E57" s="7" t="s">
        <v>207</v>
      </c>
      <c r="F57" s="7" t="s">
        <v>208</v>
      </c>
      <c r="G57" t="s">
        <v>209</v>
      </c>
      <c r="H57" s="7">
        <v>104</v>
      </c>
      <c r="I57" s="7">
        <v>448</v>
      </c>
      <c r="J57" s="7">
        <v>546</v>
      </c>
      <c r="K57" s="22">
        <v>724.69</v>
      </c>
      <c r="L57" s="11">
        <f>K57/J57</f>
        <v>1.3272710622710624</v>
      </c>
      <c r="M57" s="17" t="s">
        <v>34</v>
      </c>
      <c r="N57" s="17" t="s">
        <v>210</v>
      </c>
      <c r="P57" s="9" t="str">
        <f>IF(J57="","",IF(J57&gt;=5000,"S 级",IF(J57&gt;=1000,"A 级",IF(J57&gt;=500,"B 级","C 级"))))</f>
        <v>B 级</v>
      </c>
    </row>
    <row r="58" spans="1:16">
      <c r="A58" s="6">
        <v>46097</v>
      </c>
      <c r="B58" s="6">
        <f t="shared" si="1"/>
        <v>46104</v>
      </c>
      <c r="C58" t="s">
        <v>27</v>
      </c>
      <c r="D58" s="7" t="s">
        <v>211</v>
      </c>
      <c r="E58" s="7" t="s">
        <v>212</v>
      </c>
      <c r="G58" t="s">
        <v>213</v>
      </c>
      <c r="H58" s="7">
        <v>1</v>
      </c>
      <c r="K58" s="13"/>
      <c r="O58" t="s">
        <v>30</v>
      </c>
    </row>
    <row r="59" spans="1:16">
      <c r="A59" s="6">
        <v>46098</v>
      </c>
      <c r="B59" s="6">
        <f t="shared" si="1"/>
        <v>46105</v>
      </c>
      <c r="C59" t="s">
        <v>27</v>
      </c>
      <c r="D59" s="7" t="s">
        <v>214</v>
      </c>
      <c r="E59" s="7" t="s">
        <v>215</v>
      </c>
      <c r="G59" t="s">
        <v>216</v>
      </c>
      <c r="H59" s="7">
        <v>5</v>
      </c>
      <c r="K59" s="13"/>
      <c r="O59" t="s">
        <v>30</v>
      </c>
    </row>
    <row r="60" spans="1:16">
      <c r="A60" s="6">
        <v>46097</v>
      </c>
      <c r="B60" s="6">
        <f t="shared" si="1"/>
        <v>46104</v>
      </c>
      <c r="C60" t="s">
        <v>27</v>
      </c>
      <c r="D60" s="7" t="s">
        <v>217</v>
      </c>
      <c r="E60" s="7" t="s">
        <v>218</v>
      </c>
      <c r="G60" t="s">
        <v>219</v>
      </c>
      <c r="H60" s="7">
        <v>3</v>
      </c>
      <c r="K60" s="13"/>
      <c r="O60" t="s">
        <v>30</v>
      </c>
    </row>
    <row r="61" spans="1:16">
      <c r="A61" s="6">
        <v>46097</v>
      </c>
      <c r="B61" s="6">
        <f t="shared" si="1"/>
        <v>46104</v>
      </c>
      <c r="C61" t="s">
        <v>27</v>
      </c>
      <c r="D61" s="7" t="s">
        <v>220</v>
      </c>
      <c r="E61" t="s">
        <v>221</v>
      </c>
      <c r="G61" t="s">
        <v>222</v>
      </c>
      <c r="H61" s="7">
        <v>54</v>
      </c>
      <c r="K61" s="13"/>
      <c r="O61" t="s">
        <v>30</v>
      </c>
    </row>
    <row r="62" spans="1:16">
      <c r="A62" s="6">
        <v>46098</v>
      </c>
      <c r="B62" s="6">
        <f t="shared" si="1"/>
        <v>46105</v>
      </c>
      <c r="C62" t="s">
        <v>27</v>
      </c>
      <c r="D62" s="7" t="s">
        <v>223</v>
      </c>
      <c r="E62" s="7" t="s">
        <v>224</v>
      </c>
      <c r="G62" t="s">
        <v>225</v>
      </c>
      <c r="H62" s="7">
        <v>3</v>
      </c>
      <c r="K62" s="13"/>
      <c r="O62" t="s">
        <v>30</v>
      </c>
    </row>
    <row r="63" spans="1:16" ht="28">
      <c r="A63" s="6">
        <v>46099</v>
      </c>
      <c r="B63" s="6">
        <f t="shared" si="1"/>
        <v>46106</v>
      </c>
      <c r="C63" t="s">
        <v>18</v>
      </c>
      <c r="D63" s="7" t="s">
        <v>226</v>
      </c>
      <c r="E63" s="7" t="s">
        <v>227</v>
      </c>
      <c r="F63" s="7" t="s">
        <v>228</v>
      </c>
      <c r="G63" t="s">
        <v>229</v>
      </c>
      <c r="H63" s="7">
        <v>3</v>
      </c>
      <c r="I63" s="7">
        <v>366</v>
      </c>
      <c r="J63" s="7">
        <v>370</v>
      </c>
      <c r="K63" s="13">
        <v>691.37</v>
      </c>
      <c r="L63" s="11">
        <f>K63/J63</f>
        <v>1.8685675675675675</v>
      </c>
      <c r="M63" s="12" t="s">
        <v>22</v>
      </c>
      <c r="N63" s="12" t="s">
        <v>151</v>
      </c>
      <c r="P63" s="9" t="str">
        <f>IF(J63="","",IF(J63&gt;=5000,"S 级",IF(J63&gt;=1000,"A 级",IF(J63&gt;=500,"B 级","C 级"))))</f>
        <v>C 级</v>
      </c>
    </row>
    <row r="64" spans="1:16">
      <c r="A64" s="6">
        <v>46098</v>
      </c>
      <c r="B64" s="6">
        <f t="shared" si="1"/>
        <v>46105</v>
      </c>
      <c r="C64" t="s">
        <v>27</v>
      </c>
      <c r="D64" s="7" t="s">
        <v>230</v>
      </c>
      <c r="E64" s="7" t="s">
        <v>231</v>
      </c>
      <c r="G64" t="s">
        <v>232</v>
      </c>
      <c r="H64" s="7">
        <v>38</v>
      </c>
      <c r="K64" s="13"/>
      <c r="O64" t="s">
        <v>30</v>
      </c>
    </row>
    <row r="65" spans="1:16">
      <c r="A65" s="6">
        <v>46098</v>
      </c>
      <c r="B65" s="6">
        <f t="shared" si="1"/>
        <v>46105</v>
      </c>
      <c r="C65" t="s">
        <v>127</v>
      </c>
      <c r="D65" s="7" t="s">
        <v>233</v>
      </c>
      <c r="E65" s="7" t="s">
        <v>234</v>
      </c>
      <c r="G65" t="s">
        <v>235</v>
      </c>
      <c r="H65" s="7">
        <v>311</v>
      </c>
      <c r="K65" s="13"/>
    </row>
    <row r="66" spans="1:16">
      <c r="A66" s="6">
        <v>46098</v>
      </c>
      <c r="B66" s="6">
        <f t="shared" si="1"/>
        <v>46105</v>
      </c>
      <c r="C66" t="s">
        <v>27</v>
      </c>
      <c r="D66" s="7" t="s">
        <v>236</v>
      </c>
      <c r="E66" s="7" t="s">
        <v>237</v>
      </c>
      <c r="G66" t="s">
        <v>238</v>
      </c>
      <c r="H66" s="7">
        <v>32</v>
      </c>
      <c r="K66" s="13"/>
      <c r="O66" t="s">
        <v>30</v>
      </c>
    </row>
    <row r="67" spans="1:16">
      <c r="A67" s="6">
        <v>46098</v>
      </c>
      <c r="B67" s="6">
        <f t="shared" ref="B67:B98" si="2">A67+7</f>
        <v>46105</v>
      </c>
      <c r="C67" t="s">
        <v>27</v>
      </c>
      <c r="D67" s="7" t="s">
        <v>239</v>
      </c>
      <c r="E67" s="7" t="s">
        <v>240</v>
      </c>
      <c r="G67" t="s">
        <v>241</v>
      </c>
      <c r="H67" s="7">
        <v>1</v>
      </c>
      <c r="K67" s="13"/>
      <c r="O67" t="s">
        <v>30</v>
      </c>
    </row>
    <row r="68" spans="1:16">
      <c r="A68" s="6">
        <v>46100</v>
      </c>
      <c r="B68" s="6">
        <f t="shared" si="2"/>
        <v>46107</v>
      </c>
      <c r="C68" t="s">
        <v>24</v>
      </c>
      <c r="D68" s="7" t="s">
        <v>242</v>
      </c>
      <c r="E68" s="7" t="s">
        <v>243</v>
      </c>
      <c r="G68" t="s">
        <v>244</v>
      </c>
      <c r="H68" s="7">
        <v>8</v>
      </c>
      <c r="K68" s="13"/>
    </row>
    <row r="69" spans="1:16">
      <c r="A69" s="6">
        <v>46099</v>
      </c>
      <c r="B69" s="6">
        <f t="shared" si="2"/>
        <v>46106</v>
      </c>
      <c r="C69" t="s">
        <v>27</v>
      </c>
      <c r="D69" s="7" t="s">
        <v>245</v>
      </c>
      <c r="E69" s="7" t="s">
        <v>246</v>
      </c>
      <c r="G69" t="s">
        <v>247</v>
      </c>
      <c r="H69" s="7">
        <v>0</v>
      </c>
      <c r="K69" s="13"/>
      <c r="O69" t="s">
        <v>30</v>
      </c>
    </row>
    <row r="70" spans="1:16" ht="28">
      <c r="A70" s="6">
        <v>46100</v>
      </c>
      <c r="B70" s="6">
        <f t="shared" si="2"/>
        <v>46107</v>
      </c>
      <c r="C70" t="s">
        <v>18</v>
      </c>
      <c r="D70" s="7" t="s">
        <v>248</v>
      </c>
      <c r="E70" s="7" t="s">
        <v>249</v>
      </c>
      <c r="F70" s="7" t="s">
        <v>250</v>
      </c>
      <c r="G70" t="s">
        <v>251</v>
      </c>
      <c r="H70" s="7">
        <v>3</v>
      </c>
      <c r="I70" s="7">
        <v>99</v>
      </c>
      <c r="J70" s="7">
        <v>105</v>
      </c>
      <c r="K70" s="13">
        <v>189.49</v>
      </c>
      <c r="L70" s="10">
        <f>K70/J70</f>
        <v>1.8046666666666669</v>
      </c>
      <c r="M70" s="12" t="s">
        <v>22</v>
      </c>
      <c r="N70" s="12" t="s">
        <v>151</v>
      </c>
      <c r="P70" s="9" t="str">
        <f>IF(J70="","",IF(J70&gt;=5000,"S 级",IF(J70&gt;=1000,"A 级",IF(J70&gt;=500,"B 级","C 级"))))</f>
        <v>C 级</v>
      </c>
    </row>
    <row r="71" spans="1:16">
      <c r="A71" s="6">
        <v>46099</v>
      </c>
      <c r="B71" s="6">
        <f t="shared" si="2"/>
        <v>46106</v>
      </c>
      <c r="C71" t="s">
        <v>27</v>
      </c>
      <c r="D71" s="7" t="s">
        <v>252</v>
      </c>
      <c r="E71" s="7" t="s">
        <v>253</v>
      </c>
      <c r="G71" t="s">
        <v>254</v>
      </c>
      <c r="H71" s="7">
        <v>12</v>
      </c>
      <c r="K71" s="13"/>
      <c r="O71" t="s">
        <v>77</v>
      </c>
    </row>
    <row r="72" spans="1:16">
      <c r="A72" s="6">
        <v>46099</v>
      </c>
      <c r="B72" s="6">
        <f t="shared" si="2"/>
        <v>46106</v>
      </c>
      <c r="C72" t="s">
        <v>27</v>
      </c>
      <c r="D72" s="7" t="s">
        <v>255</v>
      </c>
      <c r="E72" s="7" t="s">
        <v>256</v>
      </c>
      <c r="G72" t="s">
        <v>257</v>
      </c>
      <c r="H72" s="7">
        <v>4</v>
      </c>
      <c r="K72" s="13"/>
      <c r="O72" t="s">
        <v>77</v>
      </c>
    </row>
    <row r="73" spans="1:16">
      <c r="A73" s="6">
        <v>46099</v>
      </c>
      <c r="B73" s="6">
        <f t="shared" si="2"/>
        <v>46106</v>
      </c>
      <c r="C73" t="s">
        <v>27</v>
      </c>
      <c r="D73" s="7" t="s">
        <v>258</v>
      </c>
      <c r="E73" s="7" t="s">
        <v>259</v>
      </c>
      <c r="G73" t="s">
        <v>260</v>
      </c>
      <c r="H73" s="7">
        <v>13</v>
      </c>
      <c r="K73" s="13"/>
      <c r="O73" t="s">
        <v>30</v>
      </c>
    </row>
    <row r="74" spans="1:16" ht="17">
      <c r="A74" s="6">
        <v>46099</v>
      </c>
      <c r="B74" s="6">
        <f t="shared" si="2"/>
        <v>46106</v>
      </c>
      <c r="C74" t="s">
        <v>27</v>
      </c>
      <c r="D74" s="7" t="s">
        <v>261</v>
      </c>
      <c r="E74" s="7" t="s">
        <v>262</v>
      </c>
      <c r="G74" s="23" t="s">
        <v>263</v>
      </c>
      <c r="H74" s="7">
        <v>0</v>
      </c>
      <c r="K74" s="13"/>
      <c r="O74" t="s">
        <v>30</v>
      </c>
    </row>
    <row r="75" spans="1:16">
      <c r="A75" s="6">
        <v>46099</v>
      </c>
      <c r="B75" s="6">
        <f t="shared" si="2"/>
        <v>46106</v>
      </c>
      <c r="C75" t="s">
        <v>27</v>
      </c>
      <c r="D75" s="7" t="s">
        <v>264</v>
      </c>
      <c r="E75" s="7" t="s">
        <v>265</v>
      </c>
      <c r="G75" t="s">
        <v>266</v>
      </c>
      <c r="H75" s="7">
        <v>47</v>
      </c>
      <c r="K75" s="13"/>
      <c r="O75" t="s">
        <v>267</v>
      </c>
    </row>
    <row r="76" spans="1:16">
      <c r="A76" s="6">
        <v>46099</v>
      </c>
      <c r="B76" s="6">
        <f t="shared" si="2"/>
        <v>46106</v>
      </c>
      <c r="C76" t="s">
        <v>127</v>
      </c>
      <c r="D76" s="7" t="s">
        <v>268</v>
      </c>
      <c r="E76" s="7" t="s">
        <v>269</v>
      </c>
      <c r="G76" t="s">
        <v>270</v>
      </c>
      <c r="H76" s="7">
        <v>138</v>
      </c>
      <c r="K76" s="13"/>
    </row>
    <row r="77" spans="1:16">
      <c r="A77" s="6">
        <v>46099</v>
      </c>
      <c r="B77" s="6">
        <f t="shared" si="2"/>
        <v>46106</v>
      </c>
      <c r="C77" t="s">
        <v>27</v>
      </c>
      <c r="D77" s="7" t="s">
        <v>271</v>
      </c>
      <c r="E77" s="7" t="s">
        <v>272</v>
      </c>
      <c r="G77" t="s">
        <v>273</v>
      </c>
      <c r="H77" s="7">
        <v>4</v>
      </c>
      <c r="K77" s="13"/>
      <c r="O77" t="s">
        <v>30</v>
      </c>
    </row>
    <row r="78" spans="1:16">
      <c r="A78" s="6">
        <v>46099</v>
      </c>
      <c r="B78" s="6">
        <f t="shared" si="2"/>
        <v>46106</v>
      </c>
      <c r="C78" t="s">
        <v>24</v>
      </c>
      <c r="D78" s="7" t="s">
        <v>274</v>
      </c>
      <c r="E78" s="7" t="s">
        <v>275</v>
      </c>
      <c r="G78" t="s">
        <v>276</v>
      </c>
      <c r="H78" s="7">
        <v>0</v>
      </c>
      <c r="K78" s="13"/>
    </row>
    <row r="79" spans="1:16" ht="28">
      <c r="A79" s="6">
        <v>46097</v>
      </c>
      <c r="B79" s="6">
        <f t="shared" si="2"/>
        <v>46104</v>
      </c>
      <c r="C79" t="s">
        <v>18</v>
      </c>
      <c r="D79" s="7" t="s">
        <v>277</v>
      </c>
      <c r="E79" s="7" t="s">
        <v>278</v>
      </c>
      <c r="F79" s="7" t="s">
        <v>279</v>
      </c>
      <c r="G79" t="s">
        <v>280</v>
      </c>
      <c r="H79" s="7">
        <v>5</v>
      </c>
      <c r="I79" s="7">
        <v>113</v>
      </c>
      <c r="J79" s="7">
        <v>115</v>
      </c>
      <c r="K79" s="24">
        <v>200.23</v>
      </c>
      <c r="L79" s="10">
        <f>K79/J79</f>
        <v>1.7411304347826086</v>
      </c>
      <c r="M79" s="17" t="s">
        <v>34</v>
      </c>
      <c r="N79" s="17" t="s">
        <v>281</v>
      </c>
      <c r="P79" s="9" t="str">
        <f>IF(J79="","",IF(J79&gt;=5000,"S 级",IF(J79&gt;=1000,"A 级",IF(J79&gt;=500,"B 级","C 级"))))</f>
        <v>C 级</v>
      </c>
    </row>
    <row r="80" spans="1:16" ht="28">
      <c r="A80" s="6">
        <v>46097</v>
      </c>
      <c r="B80" s="6">
        <f t="shared" si="2"/>
        <v>46104</v>
      </c>
      <c r="C80" t="s">
        <v>18</v>
      </c>
      <c r="D80" s="7" t="s">
        <v>282</v>
      </c>
      <c r="E80" s="7" t="s">
        <v>283</v>
      </c>
      <c r="F80" s="7" t="s">
        <v>284</v>
      </c>
      <c r="G80" t="s">
        <v>285</v>
      </c>
      <c r="H80" s="7">
        <v>4</v>
      </c>
      <c r="I80" s="7">
        <v>117</v>
      </c>
      <c r="J80" s="7">
        <v>120</v>
      </c>
      <c r="K80" s="25">
        <v>202.1</v>
      </c>
      <c r="L80" s="10">
        <f>K80/J80</f>
        <v>1.6841666666666666</v>
      </c>
      <c r="M80" s="12" t="s">
        <v>22</v>
      </c>
      <c r="N80" s="12" t="s">
        <v>151</v>
      </c>
      <c r="P80" s="9" t="str">
        <f>IF(J80="","",IF(J80&gt;=5000,"S 级",IF(J80&gt;=1000,"A 级",IF(J80&gt;=500,"B 级","C 级"))))</f>
        <v>C 级</v>
      </c>
    </row>
    <row r="81" spans="1:16" ht="28">
      <c r="A81" s="6">
        <v>46097</v>
      </c>
      <c r="B81" s="6">
        <f t="shared" si="2"/>
        <v>46104</v>
      </c>
      <c r="C81" t="s">
        <v>18</v>
      </c>
      <c r="D81" s="7" t="s">
        <v>286</v>
      </c>
      <c r="E81" s="7" t="s">
        <v>287</v>
      </c>
      <c r="F81" s="7" t="s">
        <v>288</v>
      </c>
      <c r="G81" t="s">
        <v>289</v>
      </c>
      <c r="H81" s="7">
        <v>2</v>
      </c>
      <c r="I81" s="7">
        <v>104</v>
      </c>
      <c r="J81" s="26">
        <v>97</v>
      </c>
      <c r="K81" s="26">
        <v>200.9</v>
      </c>
      <c r="L81" s="10">
        <f>K81/J81</f>
        <v>2.0711340206185569</v>
      </c>
      <c r="M81" s="27" t="s">
        <v>290</v>
      </c>
      <c r="N81" s="27" t="s">
        <v>35</v>
      </c>
      <c r="P81" s="9" t="str">
        <f>IF(J81="","",IF(J81&gt;=5000,"S 级",IF(J81&gt;=1000,"A 级",IF(J81&gt;=500,"B 级","C 级"))))</f>
        <v>C 级</v>
      </c>
    </row>
    <row r="82" spans="1:16" ht="14">
      <c r="A82" s="6">
        <v>46096</v>
      </c>
      <c r="B82" s="6">
        <f t="shared" si="2"/>
        <v>46103</v>
      </c>
      <c r="C82" t="s">
        <v>18</v>
      </c>
      <c r="D82" s="7" t="s">
        <v>291</v>
      </c>
      <c r="E82" s="7" t="s">
        <v>292</v>
      </c>
      <c r="F82" s="7" t="s">
        <v>293</v>
      </c>
      <c r="G82" t="s">
        <v>294</v>
      </c>
      <c r="H82" s="7">
        <v>2</v>
      </c>
      <c r="I82" s="7">
        <v>113</v>
      </c>
      <c r="J82" s="7">
        <v>103</v>
      </c>
      <c r="K82" s="13">
        <v>201.62</v>
      </c>
      <c r="L82" s="10">
        <f>K82/J82</f>
        <v>1.9574757281553399</v>
      </c>
      <c r="M82" s="27" t="s">
        <v>290</v>
      </c>
      <c r="N82" s="27" t="s">
        <v>295</v>
      </c>
      <c r="P82" s="9" t="str">
        <f>IF(J82="","",IF(J82&gt;=5000,"S 级",IF(J82&gt;=1000,"A 级",IF(J82&gt;=500,"B 级","C 级"))))</f>
        <v>C 级</v>
      </c>
    </row>
    <row r="83" spans="1:16" ht="28">
      <c r="A83" s="6">
        <v>46098</v>
      </c>
      <c r="B83" s="6">
        <f t="shared" si="2"/>
        <v>46105</v>
      </c>
      <c r="C83" t="s">
        <v>18</v>
      </c>
      <c r="D83" s="7" t="s">
        <v>296</v>
      </c>
      <c r="E83" s="7" t="s">
        <v>297</v>
      </c>
      <c r="F83" s="7" t="s">
        <v>298</v>
      </c>
      <c r="G83" t="s">
        <v>299</v>
      </c>
      <c r="H83" s="7">
        <v>0</v>
      </c>
      <c r="I83" s="7">
        <v>112</v>
      </c>
      <c r="J83" s="7">
        <v>104</v>
      </c>
      <c r="K83" s="13">
        <v>203.98</v>
      </c>
      <c r="L83" s="10">
        <f>K83/J83</f>
        <v>1.9613461538461539</v>
      </c>
      <c r="M83" s="17" t="s">
        <v>34</v>
      </c>
      <c r="N83" s="17" t="s">
        <v>66</v>
      </c>
      <c r="P83" s="9" t="str">
        <f>IF(J83="","",IF(J83&gt;=5000,"S 级",IF(J83&gt;=1000,"A 级",IF(J83&gt;=500,"B 级","C 级"))))</f>
        <v>C 级</v>
      </c>
    </row>
    <row r="84" spans="1:16" ht="14">
      <c r="A84" s="6">
        <v>46101</v>
      </c>
      <c r="B84" s="6">
        <f t="shared" si="2"/>
        <v>46108</v>
      </c>
      <c r="C84" t="s">
        <v>27</v>
      </c>
      <c r="D84" s="7" t="s">
        <v>300</v>
      </c>
      <c r="E84" s="7" t="s">
        <v>301</v>
      </c>
      <c r="G84" s="15" t="s">
        <v>302</v>
      </c>
      <c r="H84" s="7">
        <v>3</v>
      </c>
      <c r="K84" s="13"/>
      <c r="O84" t="s">
        <v>30</v>
      </c>
    </row>
    <row r="85" spans="1:16" ht="14">
      <c r="A85" s="6">
        <v>46101</v>
      </c>
      <c r="B85" s="6">
        <f t="shared" si="2"/>
        <v>46108</v>
      </c>
      <c r="C85" t="s">
        <v>27</v>
      </c>
      <c r="D85" s="7" t="s">
        <v>303</v>
      </c>
      <c r="E85" s="15" t="s">
        <v>304</v>
      </c>
      <c r="G85" s="15" t="s">
        <v>305</v>
      </c>
      <c r="H85" s="7">
        <v>3</v>
      </c>
      <c r="K85" s="13"/>
      <c r="O85" t="s">
        <v>30</v>
      </c>
    </row>
    <row r="86" spans="1:16">
      <c r="A86" s="6">
        <v>46100</v>
      </c>
      <c r="B86" s="6">
        <f t="shared" si="2"/>
        <v>46107</v>
      </c>
      <c r="C86" t="s">
        <v>24</v>
      </c>
      <c r="D86" s="7" t="s">
        <v>306</v>
      </c>
      <c r="E86" s="7" t="s">
        <v>307</v>
      </c>
      <c r="G86" t="s">
        <v>308</v>
      </c>
      <c r="H86" s="7">
        <v>4</v>
      </c>
      <c r="K86" s="13"/>
    </row>
    <row r="87" spans="1:16">
      <c r="A87" s="6">
        <v>46100</v>
      </c>
      <c r="B87" s="6">
        <f t="shared" si="2"/>
        <v>46107</v>
      </c>
      <c r="C87" t="s">
        <v>27</v>
      </c>
      <c r="D87" s="7" t="s">
        <v>309</v>
      </c>
      <c r="E87" s="7" t="s">
        <v>310</v>
      </c>
      <c r="G87" t="s">
        <v>311</v>
      </c>
      <c r="H87" s="7">
        <v>1</v>
      </c>
      <c r="K87" s="13"/>
      <c r="O87" t="s">
        <v>30</v>
      </c>
    </row>
    <row r="88" spans="1:16">
      <c r="A88" s="6">
        <v>46100</v>
      </c>
      <c r="B88" s="6">
        <f t="shared" si="2"/>
        <v>46107</v>
      </c>
      <c r="C88" t="s">
        <v>27</v>
      </c>
      <c r="D88" s="7" t="s">
        <v>312</v>
      </c>
      <c r="E88" s="7" t="s">
        <v>313</v>
      </c>
      <c r="G88" t="s">
        <v>314</v>
      </c>
      <c r="H88" s="7">
        <v>8</v>
      </c>
      <c r="K88" s="13"/>
      <c r="O88" t="s">
        <v>30</v>
      </c>
    </row>
    <row r="89" spans="1:16">
      <c r="A89" s="6">
        <v>46100</v>
      </c>
      <c r="B89" s="6">
        <f t="shared" si="2"/>
        <v>46107</v>
      </c>
      <c r="C89" t="s">
        <v>27</v>
      </c>
      <c r="D89" s="7" t="s">
        <v>315</v>
      </c>
      <c r="E89" s="7" t="s">
        <v>316</v>
      </c>
      <c r="G89" t="s">
        <v>317</v>
      </c>
      <c r="H89" s="7">
        <v>8</v>
      </c>
      <c r="K89" s="13"/>
      <c r="O89" t="s">
        <v>30</v>
      </c>
    </row>
    <row r="90" spans="1:16" ht="15">
      <c r="A90" s="6">
        <v>46100</v>
      </c>
      <c r="B90" s="6">
        <f t="shared" si="2"/>
        <v>46107</v>
      </c>
      <c r="C90" t="s">
        <v>318</v>
      </c>
      <c r="D90" s="7" t="s">
        <v>319</v>
      </c>
      <c r="E90" s="7" t="s">
        <v>320</v>
      </c>
      <c r="G90" t="s">
        <v>321</v>
      </c>
      <c r="H90" s="7">
        <v>43</v>
      </c>
      <c r="K90" s="13"/>
      <c r="O90" s="14" t="s">
        <v>322</v>
      </c>
      <c r="P90" s="14"/>
    </row>
    <row r="91" spans="1:16" ht="17">
      <c r="A91" s="6">
        <v>46101</v>
      </c>
      <c r="B91" s="6">
        <f t="shared" si="2"/>
        <v>46108</v>
      </c>
      <c r="C91" t="s">
        <v>27</v>
      </c>
      <c r="D91" s="7" t="s">
        <v>323</v>
      </c>
      <c r="E91" s="7" t="s">
        <v>324</v>
      </c>
      <c r="G91" s="23" t="s">
        <v>325</v>
      </c>
      <c r="H91" s="7">
        <v>2</v>
      </c>
      <c r="K91" s="13"/>
      <c r="O91" t="s">
        <v>30</v>
      </c>
    </row>
    <row r="92" spans="1:16">
      <c r="A92" s="6">
        <v>46100</v>
      </c>
      <c r="B92" s="6">
        <f t="shared" si="2"/>
        <v>46107</v>
      </c>
      <c r="C92" t="s">
        <v>27</v>
      </c>
      <c r="D92" s="7" t="s">
        <v>326</v>
      </c>
      <c r="E92" s="7" t="s">
        <v>327</v>
      </c>
      <c r="G92" t="s">
        <v>328</v>
      </c>
      <c r="H92" s="7">
        <v>1</v>
      </c>
      <c r="K92" s="13"/>
      <c r="O92" t="s">
        <v>126</v>
      </c>
    </row>
    <row r="93" spans="1:16">
      <c r="A93" s="6">
        <v>46098</v>
      </c>
      <c r="B93" s="6">
        <f t="shared" si="2"/>
        <v>46105</v>
      </c>
      <c r="C93" t="s">
        <v>24</v>
      </c>
      <c r="D93" s="7" t="s">
        <v>329</v>
      </c>
      <c r="E93" s="7" t="s">
        <v>330</v>
      </c>
      <c r="G93" t="s">
        <v>331</v>
      </c>
      <c r="H93" s="7">
        <v>14</v>
      </c>
      <c r="K93" s="13"/>
    </row>
    <row r="94" spans="1:16">
      <c r="A94" s="6">
        <v>46100</v>
      </c>
      <c r="B94" s="6">
        <f t="shared" si="2"/>
        <v>46107</v>
      </c>
      <c r="C94" t="s">
        <v>27</v>
      </c>
      <c r="D94" s="7" t="s">
        <v>332</v>
      </c>
      <c r="E94" s="7" t="s">
        <v>333</v>
      </c>
      <c r="G94" t="s">
        <v>334</v>
      </c>
      <c r="H94" s="7">
        <v>183</v>
      </c>
      <c r="K94" s="13"/>
      <c r="O94" t="s">
        <v>335</v>
      </c>
    </row>
    <row r="95" spans="1:16" ht="15">
      <c r="A95" s="6">
        <v>46104</v>
      </c>
      <c r="B95" s="6">
        <f t="shared" si="2"/>
        <v>46111</v>
      </c>
      <c r="C95" t="s">
        <v>27</v>
      </c>
      <c r="D95" s="7" t="s">
        <v>336</v>
      </c>
      <c r="E95" s="7" t="s">
        <v>337</v>
      </c>
      <c r="G95" t="s">
        <v>338</v>
      </c>
      <c r="H95" s="7">
        <v>7</v>
      </c>
      <c r="K95" s="13"/>
      <c r="O95" s="14" t="s">
        <v>126</v>
      </c>
    </row>
    <row r="96" spans="1:16" ht="15">
      <c r="A96" s="6">
        <v>46104</v>
      </c>
      <c r="B96" s="6">
        <f t="shared" si="2"/>
        <v>46111</v>
      </c>
      <c r="C96" t="s">
        <v>27</v>
      </c>
      <c r="D96" s="7" t="s">
        <v>339</v>
      </c>
      <c r="E96" s="7" t="s">
        <v>340</v>
      </c>
      <c r="G96" t="s">
        <v>341</v>
      </c>
      <c r="H96" s="7">
        <v>22</v>
      </c>
      <c r="K96" s="13"/>
      <c r="O96" s="14" t="s">
        <v>126</v>
      </c>
    </row>
    <row r="97" spans="1:16">
      <c r="A97" s="6">
        <v>46104</v>
      </c>
      <c r="B97" s="6">
        <f t="shared" si="2"/>
        <v>46111</v>
      </c>
      <c r="C97" t="s">
        <v>27</v>
      </c>
      <c r="D97" s="7" t="s">
        <v>342</v>
      </c>
      <c r="E97" s="7" t="s">
        <v>343</v>
      </c>
      <c r="G97" t="s">
        <v>344</v>
      </c>
      <c r="H97" s="7">
        <v>8</v>
      </c>
      <c r="I97" s="7"/>
      <c r="J97" s="7"/>
      <c r="K97" s="13"/>
      <c r="L97" s="10"/>
      <c r="O97" t="s">
        <v>30</v>
      </c>
    </row>
    <row r="98" spans="1:16" ht="28">
      <c r="A98" s="6">
        <v>46103</v>
      </c>
      <c r="B98" s="6">
        <f t="shared" si="2"/>
        <v>46110</v>
      </c>
      <c r="C98" t="s">
        <v>18</v>
      </c>
      <c r="D98" s="7" t="s">
        <v>345</v>
      </c>
      <c r="E98" s="16" t="s">
        <v>346</v>
      </c>
      <c r="F98" s="7" t="s">
        <v>347</v>
      </c>
      <c r="G98" t="s">
        <v>348</v>
      </c>
      <c r="H98" s="7">
        <v>2</v>
      </c>
      <c r="I98" s="7">
        <v>107</v>
      </c>
      <c r="J98" s="7">
        <v>104</v>
      </c>
      <c r="K98" s="13">
        <v>203.19</v>
      </c>
      <c r="L98" s="10">
        <f>K98/J98</f>
        <v>1.9537499999999999</v>
      </c>
      <c r="M98" s="17" t="s">
        <v>34</v>
      </c>
      <c r="N98" s="17" t="s">
        <v>349</v>
      </c>
      <c r="P98" s="9" t="str">
        <f>IF(J98="","",IF(J98&gt;=5000,"S 级",IF(J98&gt;=1000,"A 级",IF(J98&gt;=500,"B 级","C 级"))))</f>
        <v>C 级</v>
      </c>
    </row>
    <row r="99" spans="1:16" ht="28">
      <c r="A99" s="6">
        <v>46101</v>
      </c>
      <c r="B99" s="6">
        <f t="shared" ref="B99:B130" si="3">A99+7</f>
        <v>46108</v>
      </c>
      <c r="C99" t="s">
        <v>18</v>
      </c>
      <c r="D99" s="7" t="s">
        <v>350</v>
      </c>
      <c r="E99" s="16" t="s">
        <v>351</v>
      </c>
      <c r="F99" s="7" t="s">
        <v>352</v>
      </c>
      <c r="G99" t="s">
        <v>353</v>
      </c>
      <c r="H99" s="7">
        <v>1</v>
      </c>
      <c r="I99" s="7">
        <v>4</v>
      </c>
      <c r="J99" s="7">
        <v>6</v>
      </c>
      <c r="K99" s="13">
        <v>10.87</v>
      </c>
      <c r="L99" s="10">
        <f>K99/J99</f>
        <v>1.8116666666666665</v>
      </c>
      <c r="M99" s="17" t="s">
        <v>34</v>
      </c>
      <c r="N99" s="17" t="s">
        <v>66</v>
      </c>
      <c r="P99" s="9" t="str">
        <f>IF(J99="","",IF(J99&gt;=5000,"S 级",IF(J99&gt;=1000,"A 级",IF(J99&gt;=500,"B 级","C 级"))))</f>
        <v>C 级</v>
      </c>
    </row>
    <row r="100" spans="1:16" ht="28">
      <c r="A100" s="6">
        <v>46103</v>
      </c>
      <c r="B100" s="6">
        <f t="shared" si="3"/>
        <v>46110</v>
      </c>
      <c r="C100" t="s">
        <v>18</v>
      </c>
      <c r="D100" s="7" t="s">
        <v>354</v>
      </c>
      <c r="E100" s="7" t="s">
        <v>355</v>
      </c>
      <c r="F100" s="7" t="s">
        <v>356</v>
      </c>
      <c r="G100" t="s">
        <v>357</v>
      </c>
      <c r="H100" s="7">
        <v>0</v>
      </c>
      <c r="I100" s="7">
        <v>112</v>
      </c>
      <c r="J100" s="7">
        <v>101</v>
      </c>
      <c r="K100" s="13">
        <v>199.63</v>
      </c>
      <c r="L100" s="10">
        <f>K100/J100</f>
        <v>1.9765346534653465</v>
      </c>
      <c r="M100" s="12" t="s">
        <v>22</v>
      </c>
      <c r="N100" s="12" t="s">
        <v>151</v>
      </c>
      <c r="P100" s="9" t="str">
        <f>IF(J100="","",IF(J100&gt;=5000,"S 级",IF(J100&gt;=1000,"A 级",IF(J100&gt;=500,"B 级","C 级"))))</f>
        <v>C 级</v>
      </c>
    </row>
    <row r="101" spans="1:16">
      <c r="A101" s="6">
        <v>46102</v>
      </c>
      <c r="B101" s="6">
        <f t="shared" si="3"/>
        <v>46109</v>
      </c>
      <c r="C101" t="s">
        <v>27</v>
      </c>
      <c r="D101" s="7" t="s">
        <v>358</v>
      </c>
      <c r="E101" s="7" t="s">
        <v>359</v>
      </c>
      <c r="G101" t="s">
        <v>360</v>
      </c>
      <c r="H101" s="7">
        <v>18</v>
      </c>
      <c r="I101" s="7"/>
      <c r="J101" s="7"/>
      <c r="K101" s="13"/>
      <c r="L101" s="10"/>
      <c r="O101" t="s">
        <v>30</v>
      </c>
    </row>
    <row r="102" spans="1:16">
      <c r="A102" s="6">
        <v>46104</v>
      </c>
      <c r="B102" s="6">
        <f t="shared" si="3"/>
        <v>46111</v>
      </c>
      <c r="C102" t="s">
        <v>24</v>
      </c>
      <c r="D102" s="7" t="s">
        <v>361</v>
      </c>
      <c r="E102" s="7" t="s">
        <v>362</v>
      </c>
      <c r="G102" t="s">
        <v>363</v>
      </c>
      <c r="H102" s="7">
        <v>25</v>
      </c>
      <c r="I102" s="7"/>
      <c r="J102" s="7"/>
      <c r="K102" s="13"/>
      <c r="L102" s="10"/>
    </row>
    <row r="103" spans="1:16">
      <c r="A103" s="6">
        <v>46104</v>
      </c>
      <c r="B103" s="6">
        <f t="shared" si="3"/>
        <v>46111</v>
      </c>
      <c r="C103" t="s">
        <v>27</v>
      </c>
      <c r="D103" s="7" t="s">
        <v>364</v>
      </c>
      <c r="E103" s="7" t="s">
        <v>365</v>
      </c>
      <c r="G103" t="s">
        <v>366</v>
      </c>
      <c r="H103" s="7">
        <v>2</v>
      </c>
      <c r="I103" s="7"/>
      <c r="J103" s="7"/>
      <c r="K103" s="13"/>
      <c r="L103" s="10"/>
      <c r="O103" t="s">
        <v>30</v>
      </c>
    </row>
    <row r="104" spans="1:16">
      <c r="A104" s="6">
        <v>46104</v>
      </c>
      <c r="B104" s="6">
        <f t="shared" si="3"/>
        <v>46111</v>
      </c>
      <c r="C104" t="s">
        <v>24</v>
      </c>
      <c r="D104" s="7" t="s">
        <v>367</v>
      </c>
      <c r="E104" s="7" t="s">
        <v>368</v>
      </c>
      <c r="G104" t="s">
        <v>369</v>
      </c>
      <c r="H104" s="7">
        <v>15</v>
      </c>
      <c r="I104" s="7"/>
      <c r="J104" s="7"/>
      <c r="K104" s="13"/>
      <c r="L104" s="10"/>
    </row>
    <row r="105" spans="1:16" ht="28">
      <c r="A105" s="6">
        <v>46104</v>
      </c>
      <c r="B105" s="6">
        <f t="shared" si="3"/>
        <v>46111</v>
      </c>
      <c r="C105" t="s">
        <v>18</v>
      </c>
      <c r="D105" s="7" t="s">
        <v>370</v>
      </c>
      <c r="E105" s="7" t="s">
        <v>371</v>
      </c>
      <c r="F105" s="7" t="s">
        <v>372</v>
      </c>
      <c r="G105" t="s">
        <v>373</v>
      </c>
      <c r="H105" s="7">
        <v>4</v>
      </c>
      <c r="I105" s="7">
        <v>106</v>
      </c>
      <c r="J105" s="7">
        <v>108</v>
      </c>
      <c r="K105" s="13">
        <v>198.75</v>
      </c>
      <c r="L105" s="10">
        <f>K105/J105</f>
        <v>1.8402777777777777</v>
      </c>
      <c r="M105" s="12" t="s">
        <v>22</v>
      </c>
      <c r="N105" s="12" t="s">
        <v>151</v>
      </c>
      <c r="P105" s="9" t="str">
        <f>IF(J105="","",IF(J105&gt;=5000,"S 级",IF(J105&gt;=1000,"A 级",IF(J105&gt;=500,"B 级","C 级"))))</f>
        <v>C 级</v>
      </c>
    </row>
    <row r="106" spans="1:16">
      <c r="A106" s="6">
        <v>46103</v>
      </c>
      <c r="B106" s="6">
        <f t="shared" si="3"/>
        <v>46110</v>
      </c>
      <c r="C106" t="s">
        <v>27</v>
      </c>
      <c r="D106" s="7" t="s">
        <v>374</v>
      </c>
      <c r="E106" s="7" t="s">
        <v>375</v>
      </c>
      <c r="G106" t="s">
        <v>376</v>
      </c>
      <c r="H106" s="7">
        <v>1</v>
      </c>
      <c r="I106" s="7"/>
      <c r="J106" s="7"/>
      <c r="K106" s="13"/>
      <c r="L106" s="10"/>
      <c r="O106" t="s">
        <v>30</v>
      </c>
    </row>
    <row r="107" spans="1:16" ht="28">
      <c r="A107" s="6">
        <v>46103</v>
      </c>
      <c r="B107" s="6">
        <f t="shared" si="3"/>
        <v>46110</v>
      </c>
      <c r="C107" t="s">
        <v>18</v>
      </c>
      <c r="D107" s="7" t="s">
        <v>377</v>
      </c>
      <c r="E107" s="7" t="s">
        <v>378</v>
      </c>
      <c r="F107" s="7" t="s">
        <v>379</v>
      </c>
      <c r="G107" t="s">
        <v>380</v>
      </c>
      <c r="H107" s="7">
        <v>4</v>
      </c>
      <c r="I107" s="7">
        <v>119</v>
      </c>
      <c r="J107" s="7">
        <v>119</v>
      </c>
      <c r="K107" s="13">
        <v>204.28</v>
      </c>
      <c r="L107" s="10">
        <f>K107/J107</f>
        <v>1.7166386554621849</v>
      </c>
      <c r="M107" s="12" t="s">
        <v>22</v>
      </c>
      <c r="N107" s="12" t="s">
        <v>151</v>
      </c>
      <c r="P107" s="9" t="str">
        <f>IF(J107="","",IF(J107&gt;=5000,"S 级",IF(J107&gt;=1000,"A 级",IF(J107&gt;=500,"B 级","C 级"))))</f>
        <v>C 级</v>
      </c>
    </row>
    <row r="108" spans="1:16">
      <c r="A108" s="6">
        <v>46102</v>
      </c>
      <c r="B108" s="6">
        <f t="shared" si="3"/>
        <v>46109</v>
      </c>
      <c r="C108" t="s">
        <v>27</v>
      </c>
      <c r="D108" s="7" t="s">
        <v>381</v>
      </c>
      <c r="E108" s="7" t="s">
        <v>382</v>
      </c>
      <c r="G108" t="s">
        <v>383</v>
      </c>
      <c r="H108" s="7">
        <v>27</v>
      </c>
      <c r="I108" s="7"/>
      <c r="J108" s="7"/>
      <c r="K108" s="13"/>
      <c r="L108" s="10"/>
      <c r="O108" t="s">
        <v>30</v>
      </c>
    </row>
    <row r="109" spans="1:16" ht="15">
      <c r="A109" s="6">
        <v>46103</v>
      </c>
      <c r="B109" s="6">
        <f t="shared" si="3"/>
        <v>46110</v>
      </c>
      <c r="C109" t="s">
        <v>27</v>
      </c>
      <c r="D109" s="7" t="s">
        <v>384</v>
      </c>
      <c r="E109" s="7" t="s">
        <v>385</v>
      </c>
      <c r="G109" t="s">
        <v>386</v>
      </c>
      <c r="H109" s="7">
        <v>113</v>
      </c>
      <c r="I109" s="7"/>
      <c r="J109" s="7"/>
      <c r="K109" s="13"/>
      <c r="L109" s="10"/>
      <c r="O109" s="14" t="s">
        <v>126</v>
      </c>
    </row>
    <row r="110" spans="1:16" ht="15">
      <c r="A110" s="6">
        <v>46102</v>
      </c>
      <c r="B110" s="6">
        <f t="shared" si="3"/>
        <v>46109</v>
      </c>
      <c r="C110" t="s">
        <v>27</v>
      </c>
      <c r="D110" s="7" t="s">
        <v>387</v>
      </c>
      <c r="E110" s="7" t="s">
        <v>388</v>
      </c>
      <c r="G110" t="s">
        <v>389</v>
      </c>
      <c r="H110" s="7">
        <v>89</v>
      </c>
      <c r="I110" s="7"/>
      <c r="J110" s="7"/>
      <c r="K110" s="13"/>
      <c r="L110" s="10"/>
      <c r="O110" s="14" t="s">
        <v>126</v>
      </c>
    </row>
    <row r="111" spans="1:16" ht="15">
      <c r="A111" s="6">
        <v>46102</v>
      </c>
      <c r="B111" s="6">
        <f t="shared" si="3"/>
        <v>46109</v>
      </c>
      <c r="C111" t="s">
        <v>27</v>
      </c>
      <c r="D111" s="7" t="s">
        <v>390</v>
      </c>
      <c r="E111" s="7" t="s">
        <v>391</v>
      </c>
      <c r="G111" t="s">
        <v>392</v>
      </c>
      <c r="H111" s="7">
        <v>208</v>
      </c>
      <c r="I111" s="7"/>
      <c r="J111" s="7"/>
      <c r="K111" s="13"/>
      <c r="L111" s="10"/>
      <c r="O111" s="14" t="s">
        <v>126</v>
      </c>
    </row>
    <row r="112" spans="1:16" ht="15">
      <c r="A112" s="6">
        <v>46102</v>
      </c>
      <c r="B112" s="6">
        <f t="shared" si="3"/>
        <v>46109</v>
      </c>
      <c r="C112" t="s">
        <v>27</v>
      </c>
      <c r="D112" s="7" t="s">
        <v>393</v>
      </c>
      <c r="E112" s="7" t="s">
        <v>394</v>
      </c>
      <c r="G112" t="s">
        <v>395</v>
      </c>
      <c r="H112" s="7">
        <v>619</v>
      </c>
      <c r="I112" s="7"/>
      <c r="J112" s="7"/>
      <c r="K112" s="13"/>
      <c r="L112" s="10"/>
      <c r="O112" s="14" t="s">
        <v>126</v>
      </c>
    </row>
    <row r="113" spans="1:16" ht="15">
      <c r="A113" s="6">
        <v>46102</v>
      </c>
      <c r="B113" s="6">
        <f t="shared" si="3"/>
        <v>46109</v>
      </c>
      <c r="C113" t="s">
        <v>27</v>
      </c>
      <c r="D113" s="7" t="s">
        <v>396</v>
      </c>
      <c r="E113" s="7" t="s">
        <v>397</v>
      </c>
      <c r="G113" t="s">
        <v>398</v>
      </c>
      <c r="H113" s="7">
        <v>120</v>
      </c>
      <c r="I113" s="7"/>
      <c r="J113" s="7"/>
      <c r="K113" s="13"/>
      <c r="L113" s="10"/>
      <c r="O113" s="14" t="s">
        <v>126</v>
      </c>
    </row>
    <row r="114" spans="1:16" ht="15">
      <c r="A114" s="6">
        <v>46101</v>
      </c>
      <c r="B114" s="6">
        <f t="shared" si="3"/>
        <v>46108</v>
      </c>
      <c r="C114" t="s">
        <v>27</v>
      </c>
      <c r="D114" s="7" t="s">
        <v>399</v>
      </c>
      <c r="E114" s="7" t="s">
        <v>400</v>
      </c>
      <c r="G114" t="s">
        <v>401</v>
      </c>
      <c r="H114" s="7">
        <v>971</v>
      </c>
      <c r="I114" s="7"/>
      <c r="J114" s="7"/>
      <c r="K114" s="13"/>
      <c r="L114" s="10"/>
      <c r="O114" s="14" t="s">
        <v>126</v>
      </c>
    </row>
    <row r="115" spans="1:16" ht="15">
      <c r="A115" s="6">
        <v>46104</v>
      </c>
      <c r="B115" s="6">
        <f t="shared" si="3"/>
        <v>46111</v>
      </c>
      <c r="C115" t="s">
        <v>18</v>
      </c>
      <c r="D115" s="7" t="s">
        <v>402</v>
      </c>
      <c r="E115" s="7" t="s">
        <v>403</v>
      </c>
      <c r="F115" s="7" t="s">
        <v>404</v>
      </c>
      <c r="G115" t="s">
        <v>405</v>
      </c>
      <c r="H115" s="7">
        <v>2</v>
      </c>
      <c r="I115" s="7">
        <v>115</v>
      </c>
      <c r="J115" s="7">
        <v>110</v>
      </c>
      <c r="K115" s="13">
        <v>204.36</v>
      </c>
      <c r="L115" s="10">
        <f>K115/J115</f>
        <v>1.857818181818182</v>
      </c>
      <c r="M115" s="12" t="s">
        <v>22</v>
      </c>
      <c r="N115" s="12" t="s">
        <v>406</v>
      </c>
      <c r="O115" s="14"/>
      <c r="P115" s="9" t="str">
        <f>IF(J115="","",IF(J115&gt;=5000,"S 级",IF(J115&gt;=1000,"A 级",IF(J115&gt;=500,"B 级","C 级"))))</f>
        <v>C 级</v>
      </c>
    </row>
    <row r="116" spans="1:16">
      <c r="A116" s="6">
        <v>46104</v>
      </c>
      <c r="B116" s="6">
        <f t="shared" si="3"/>
        <v>46111</v>
      </c>
      <c r="C116" t="s">
        <v>27</v>
      </c>
      <c r="D116" s="7" t="s">
        <v>407</v>
      </c>
      <c r="E116" t="s">
        <v>408</v>
      </c>
      <c r="G116" s="7" t="s">
        <v>409</v>
      </c>
      <c r="H116" s="7">
        <v>9</v>
      </c>
      <c r="I116" s="7"/>
      <c r="J116" s="7"/>
      <c r="K116" s="13"/>
      <c r="L116" s="10"/>
      <c r="O116" t="s">
        <v>126</v>
      </c>
    </row>
    <row r="117" spans="1:16">
      <c r="A117" s="6">
        <v>46104</v>
      </c>
      <c r="B117" s="6">
        <f t="shared" si="3"/>
        <v>46111</v>
      </c>
      <c r="C117" t="s">
        <v>27</v>
      </c>
      <c r="D117" s="7" t="s">
        <v>410</v>
      </c>
      <c r="E117" s="7" t="s">
        <v>411</v>
      </c>
      <c r="G117" s="6" t="s">
        <v>412</v>
      </c>
      <c r="H117" s="7">
        <v>304</v>
      </c>
      <c r="I117" s="7"/>
      <c r="J117" s="7"/>
      <c r="K117" s="13"/>
      <c r="L117" s="10"/>
      <c r="O117" t="s">
        <v>126</v>
      </c>
    </row>
    <row r="118" spans="1:16">
      <c r="A118" s="6">
        <v>46104</v>
      </c>
      <c r="B118" s="6">
        <f t="shared" si="3"/>
        <v>46111</v>
      </c>
      <c r="C118" t="s">
        <v>27</v>
      </c>
      <c r="D118" s="7" t="s">
        <v>413</v>
      </c>
      <c r="E118" s="7" t="s">
        <v>414</v>
      </c>
      <c r="G118" t="s">
        <v>415</v>
      </c>
      <c r="H118" s="7">
        <v>46</v>
      </c>
      <c r="K118" s="13"/>
      <c r="O118" t="s">
        <v>126</v>
      </c>
    </row>
    <row r="119" spans="1:16">
      <c r="A119" s="6">
        <v>46104</v>
      </c>
      <c r="B119" s="6">
        <f t="shared" si="3"/>
        <v>46111</v>
      </c>
      <c r="C119" t="s">
        <v>27</v>
      </c>
      <c r="D119" s="7" t="s">
        <v>416</v>
      </c>
      <c r="E119" s="7" t="s">
        <v>417</v>
      </c>
      <c r="G119" t="s">
        <v>418</v>
      </c>
      <c r="H119" s="7">
        <v>37</v>
      </c>
      <c r="K119" s="13"/>
      <c r="O119" t="s">
        <v>30</v>
      </c>
    </row>
    <row r="120" spans="1:16">
      <c r="A120" s="6">
        <v>46104</v>
      </c>
      <c r="B120" s="6">
        <f t="shared" si="3"/>
        <v>46111</v>
      </c>
      <c r="C120" t="s">
        <v>27</v>
      </c>
      <c r="D120" s="7" t="s">
        <v>419</v>
      </c>
      <c r="E120" s="7" t="s">
        <v>420</v>
      </c>
      <c r="G120" t="s">
        <v>421</v>
      </c>
      <c r="H120" s="7">
        <v>53</v>
      </c>
      <c r="K120" s="13"/>
      <c r="O120" t="s">
        <v>30</v>
      </c>
    </row>
    <row r="121" spans="1:16">
      <c r="A121" s="6">
        <v>46104</v>
      </c>
      <c r="B121" s="6">
        <f t="shared" si="3"/>
        <v>46111</v>
      </c>
      <c r="C121" t="s">
        <v>27</v>
      </c>
      <c r="D121" s="3" t="s">
        <v>422</v>
      </c>
      <c r="E121" s="7" t="s">
        <v>423</v>
      </c>
      <c r="G121" t="s">
        <v>424</v>
      </c>
      <c r="H121" s="7">
        <v>446</v>
      </c>
      <c r="K121" s="13"/>
      <c r="O121" t="s">
        <v>126</v>
      </c>
    </row>
    <row r="122" spans="1:16">
      <c r="A122" s="6">
        <v>46104</v>
      </c>
      <c r="B122" s="6">
        <f t="shared" si="3"/>
        <v>46111</v>
      </c>
      <c r="C122" t="s">
        <v>27</v>
      </c>
      <c r="D122" s="7" t="s">
        <v>425</v>
      </c>
      <c r="E122" s="7" t="s">
        <v>426</v>
      </c>
      <c r="G122" t="s">
        <v>427</v>
      </c>
      <c r="H122" s="7">
        <v>40</v>
      </c>
      <c r="K122" s="13"/>
      <c r="O122" t="s">
        <v>30</v>
      </c>
    </row>
    <row r="123" spans="1:16" ht="15">
      <c r="A123" s="6">
        <v>46104</v>
      </c>
      <c r="B123" s="6">
        <f t="shared" si="3"/>
        <v>46111</v>
      </c>
      <c r="C123" t="s">
        <v>27</v>
      </c>
      <c r="D123" s="7" t="s">
        <v>428</v>
      </c>
      <c r="E123" s="7" t="s">
        <v>429</v>
      </c>
      <c r="G123" t="s">
        <v>430</v>
      </c>
      <c r="H123" s="7">
        <v>54</v>
      </c>
      <c r="K123" s="13"/>
      <c r="O123" s="14" t="s">
        <v>126</v>
      </c>
    </row>
    <row r="124" spans="1:16">
      <c r="A124" s="6">
        <v>46104</v>
      </c>
      <c r="B124" s="6">
        <f t="shared" si="3"/>
        <v>46111</v>
      </c>
      <c r="C124" t="s">
        <v>27</v>
      </c>
      <c r="D124" s="7" t="s">
        <v>431</v>
      </c>
      <c r="E124" s="7" t="s">
        <v>432</v>
      </c>
      <c r="G124" t="s">
        <v>433</v>
      </c>
      <c r="H124" s="7">
        <v>73</v>
      </c>
      <c r="K124" s="13"/>
      <c r="O124" t="s">
        <v>126</v>
      </c>
    </row>
    <row r="125" spans="1:16">
      <c r="A125" s="6">
        <v>46104</v>
      </c>
      <c r="B125" s="6">
        <f t="shared" si="3"/>
        <v>46111</v>
      </c>
      <c r="C125" t="s">
        <v>27</v>
      </c>
      <c r="D125" s="7" t="s">
        <v>434</v>
      </c>
      <c r="E125" s="7" t="s">
        <v>435</v>
      </c>
      <c r="G125" t="s">
        <v>436</v>
      </c>
      <c r="H125" s="7">
        <v>74</v>
      </c>
      <c r="K125" s="13"/>
      <c r="O125" t="s">
        <v>126</v>
      </c>
    </row>
    <row r="126" spans="1:16" ht="28">
      <c r="A126" s="6">
        <v>46105</v>
      </c>
      <c r="B126" s="6">
        <f t="shared" si="3"/>
        <v>46112</v>
      </c>
      <c r="C126" t="s">
        <v>18</v>
      </c>
      <c r="D126" s="7" t="s">
        <v>437</v>
      </c>
      <c r="E126" s="16" t="s">
        <v>438</v>
      </c>
      <c r="F126" s="7" t="s">
        <v>439</v>
      </c>
      <c r="G126" t="s">
        <v>440</v>
      </c>
      <c r="H126" s="7">
        <v>1</v>
      </c>
      <c r="I126" s="7">
        <v>109</v>
      </c>
      <c r="J126" s="7">
        <v>103</v>
      </c>
      <c r="K126" s="13">
        <v>203.18</v>
      </c>
      <c r="L126" s="10">
        <f>K126/J126</f>
        <v>1.9726213592233011</v>
      </c>
      <c r="M126" s="12" t="s">
        <v>22</v>
      </c>
      <c r="N126" s="12" t="s">
        <v>441</v>
      </c>
      <c r="P126" s="9" t="str">
        <f>IF(J126="","",IF(J126&gt;=5000,"S 级",IF(J126&gt;=1000,"A 级",IF(J126&gt;=500,"B 级","C 级"))))</f>
        <v>C 级</v>
      </c>
    </row>
    <row r="127" spans="1:16" ht="28">
      <c r="A127" s="6">
        <v>46106</v>
      </c>
      <c r="B127" s="6">
        <f t="shared" si="3"/>
        <v>46113</v>
      </c>
      <c r="C127" t="s">
        <v>18</v>
      </c>
      <c r="D127" s="7" t="s">
        <v>442</v>
      </c>
      <c r="E127" s="7" t="s">
        <v>443</v>
      </c>
      <c r="F127" s="7" t="s">
        <v>444</v>
      </c>
      <c r="G127" t="s">
        <v>445</v>
      </c>
      <c r="H127" s="7">
        <v>2</v>
      </c>
      <c r="I127" s="7">
        <v>29</v>
      </c>
      <c r="J127" s="7">
        <v>26</v>
      </c>
      <c r="K127" s="13">
        <v>62.54</v>
      </c>
      <c r="L127" s="10">
        <f>K127/J127</f>
        <v>2.4053846153846155</v>
      </c>
      <c r="M127" s="17" t="s">
        <v>34</v>
      </c>
      <c r="N127" s="17" t="s">
        <v>349</v>
      </c>
      <c r="P127" s="9" t="str">
        <f>IF(J127="","",IF(J127&gt;=5000,"S 级",IF(J127&gt;=1000,"A 级",IF(J127&gt;=500,"B 级","C 级"))))</f>
        <v>C 级</v>
      </c>
    </row>
    <row r="128" spans="1:16">
      <c r="A128" s="6">
        <v>46105</v>
      </c>
      <c r="B128" s="6">
        <f t="shared" si="3"/>
        <v>46112</v>
      </c>
      <c r="C128" t="s">
        <v>27</v>
      </c>
      <c r="D128" s="7" t="s">
        <v>446</v>
      </c>
      <c r="E128" s="7" t="s">
        <v>447</v>
      </c>
      <c r="G128" t="s">
        <v>448</v>
      </c>
      <c r="H128" s="7">
        <v>225</v>
      </c>
      <c r="K128" s="13"/>
      <c r="O128" t="s">
        <v>126</v>
      </c>
    </row>
    <row r="129" spans="1:16">
      <c r="A129" s="6">
        <v>46105</v>
      </c>
      <c r="B129" s="6">
        <f t="shared" si="3"/>
        <v>46112</v>
      </c>
      <c r="C129" t="s">
        <v>27</v>
      </c>
      <c r="D129" s="7" t="s">
        <v>449</v>
      </c>
      <c r="E129" s="7" t="s">
        <v>450</v>
      </c>
      <c r="G129" t="s">
        <v>451</v>
      </c>
      <c r="H129" s="7">
        <v>104</v>
      </c>
      <c r="K129" s="13"/>
      <c r="O129" t="s">
        <v>126</v>
      </c>
    </row>
    <row r="130" spans="1:16">
      <c r="A130" s="6">
        <v>46105</v>
      </c>
      <c r="B130" s="6">
        <f t="shared" si="3"/>
        <v>46112</v>
      </c>
      <c r="C130" t="s">
        <v>27</v>
      </c>
      <c r="D130" s="7" t="s">
        <v>452</v>
      </c>
      <c r="E130" s="7" t="s">
        <v>453</v>
      </c>
      <c r="G130" t="s">
        <v>454</v>
      </c>
      <c r="H130" s="7">
        <v>24</v>
      </c>
      <c r="K130" s="13"/>
      <c r="O130" t="s">
        <v>30</v>
      </c>
    </row>
    <row r="131" spans="1:16">
      <c r="A131" s="6">
        <v>46105</v>
      </c>
      <c r="B131" s="6">
        <f t="shared" ref="B131:B162" si="4">A131+7</f>
        <v>46112</v>
      </c>
      <c r="C131" t="s">
        <v>27</v>
      </c>
      <c r="D131" s="7" t="s">
        <v>455</v>
      </c>
      <c r="E131" s="7" t="s">
        <v>456</v>
      </c>
      <c r="G131" t="s">
        <v>457</v>
      </c>
      <c r="H131" s="7">
        <v>100</v>
      </c>
      <c r="K131" s="13"/>
      <c r="O131" t="s">
        <v>126</v>
      </c>
    </row>
    <row r="132" spans="1:16">
      <c r="A132" s="6">
        <v>46105</v>
      </c>
      <c r="B132" s="6">
        <f t="shared" si="4"/>
        <v>46112</v>
      </c>
      <c r="C132" t="s">
        <v>27</v>
      </c>
      <c r="D132" s="7" t="s">
        <v>458</v>
      </c>
      <c r="E132" s="7" t="s">
        <v>459</v>
      </c>
      <c r="G132" t="s">
        <v>460</v>
      </c>
      <c r="H132" s="7">
        <v>15</v>
      </c>
      <c r="K132" s="13"/>
      <c r="O132" t="s">
        <v>126</v>
      </c>
    </row>
    <row r="133" spans="1:16">
      <c r="A133" s="6">
        <v>46105</v>
      </c>
      <c r="B133" s="6">
        <f t="shared" si="4"/>
        <v>46112</v>
      </c>
      <c r="C133" t="s">
        <v>27</v>
      </c>
      <c r="D133" s="7" t="s">
        <v>461</v>
      </c>
      <c r="E133" s="7" t="s">
        <v>462</v>
      </c>
      <c r="G133" t="s">
        <v>463</v>
      </c>
      <c r="H133" s="7">
        <v>18</v>
      </c>
      <c r="K133" s="13"/>
      <c r="O133" t="s">
        <v>126</v>
      </c>
    </row>
    <row r="134" spans="1:16">
      <c r="A134" s="6">
        <v>46105</v>
      </c>
      <c r="B134" s="6">
        <f t="shared" si="4"/>
        <v>46112</v>
      </c>
      <c r="C134" t="s">
        <v>27</v>
      </c>
      <c r="D134" s="7" t="s">
        <v>464</v>
      </c>
      <c r="E134" s="7" t="s">
        <v>465</v>
      </c>
      <c r="G134" t="s">
        <v>466</v>
      </c>
      <c r="H134" s="7">
        <v>42</v>
      </c>
      <c r="K134" s="13"/>
      <c r="O134" t="s">
        <v>126</v>
      </c>
    </row>
    <row r="135" spans="1:16">
      <c r="A135" s="6">
        <v>46105</v>
      </c>
      <c r="B135" s="6">
        <f t="shared" si="4"/>
        <v>46112</v>
      </c>
      <c r="C135" t="s">
        <v>27</v>
      </c>
      <c r="D135" s="7" t="s">
        <v>467</v>
      </c>
      <c r="E135" s="7" t="s">
        <v>468</v>
      </c>
      <c r="G135" t="s">
        <v>469</v>
      </c>
      <c r="H135" s="7">
        <v>17</v>
      </c>
      <c r="K135" s="13"/>
      <c r="O135" t="s">
        <v>126</v>
      </c>
    </row>
    <row r="136" spans="1:16">
      <c r="A136" s="6">
        <v>46105</v>
      </c>
      <c r="B136" s="6">
        <f t="shared" si="4"/>
        <v>46112</v>
      </c>
      <c r="C136" t="s">
        <v>27</v>
      </c>
      <c r="D136" s="7" t="s">
        <v>470</v>
      </c>
      <c r="E136" s="7" t="s">
        <v>471</v>
      </c>
      <c r="G136" t="s">
        <v>472</v>
      </c>
      <c r="H136" s="7">
        <v>1</v>
      </c>
      <c r="K136" s="13"/>
      <c r="O136" t="s">
        <v>126</v>
      </c>
    </row>
    <row r="137" spans="1:16">
      <c r="A137" s="6">
        <v>46105</v>
      </c>
      <c r="B137" s="6">
        <f t="shared" si="4"/>
        <v>46112</v>
      </c>
      <c r="C137" t="s">
        <v>27</v>
      </c>
      <c r="D137" s="7" t="s">
        <v>473</v>
      </c>
      <c r="E137" s="7" t="s">
        <v>474</v>
      </c>
      <c r="G137" t="s">
        <v>475</v>
      </c>
      <c r="H137" s="7">
        <v>35</v>
      </c>
      <c r="K137" s="13"/>
      <c r="O137" t="s">
        <v>126</v>
      </c>
    </row>
    <row r="138" spans="1:16">
      <c r="A138" s="6">
        <v>46105</v>
      </c>
      <c r="B138" s="6">
        <f t="shared" si="4"/>
        <v>46112</v>
      </c>
      <c r="C138" t="s">
        <v>27</v>
      </c>
      <c r="D138" s="7" t="s">
        <v>476</v>
      </c>
      <c r="E138" s="7" t="s">
        <v>477</v>
      </c>
      <c r="G138" t="s">
        <v>478</v>
      </c>
      <c r="H138" s="7">
        <v>48</v>
      </c>
      <c r="K138" s="13"/>
      <c r="O138" t="s">
        <v>126</v>
      </c>
    </row>
    <row r="139" spans="1:16">
      <c r="A139" s="6">
        <v>46106</v>
      </c>
      <c r="B139" s="6">
        <f t="shared" si="4"/>
        <v>46113</v>
      </c>
      <c r="C139" t="s">
        <v>27</v>
      </c>
      <c r="D139" s="7" t="s">
        <v>479</v>
      </c>
      <c r="E139" s="7" t="s">
        <v>480</v>
      </c>
      <c r="G139" t="s">
        <v>481</v>
      </c>
      <c r="H139" s="7">
        <v>10</v>
      </c>
      <c r="K139" s="13"/>
      <c r="O139" t="s">
        <v>30</v>
      </c>
    </row>
    <row r="140" spans="1:16">
      <c r="A140" s="6">
        <v>46106</v>
      </c>
      <c r="B140" s="6">
        <f t="shared" si="4"/>
        <v>46113</v>
      </c>
      <c r="C140" t="s">
        <v>27</v>
      </c>
      <c r="D140" s="7" t="s">
        <v>482</v>
      </c>
      <c r="E140" s="7" t="s">
        <v>483</v>
      </c>
      <c r="G140" t="s">
        <v>484</v>
      </c>
      <c r="H140" s="7">
        <v>32</v>
      </c>
      <c r="K140" s="13"/>
      <c r="O140" t="s">
        <v>30</v>
      </c>
    </row>
    <row r="141" spans="1:16" ht="28">
      <c r="A141" s="6">
        <v>46106</v>
      </c>
      <c r="B141" s="6">
        <f t="shared" si="4"/>
        <v>46113</v>
      </c>
      <c r="C141" t="s">
        <v>18</v>
      </c>
      <c r="D141" s="7" t="s">
        <v>485</v>
      </c>
      <c r="E141" s="7" t="s">
        <v>486</v>
      </c>
      <c r="F141" s="7" t="s">
        <v>487</v>
      </c>
      <c r="G141" t="s">
        <v>488</v>
      </c>
      <c r="H141" s="7">
        <v>4</v>
      </c>
      <c r="I141" s="7">
        <v>108</v>
      </c>
      <c r="J141" s="7">
        <v>119</v>
      </c>
      <c r="K141" s="13">
        <v>203.41</v>
      </c>
      <c r="L141" s="10">
        <f>K141/J141</f>
        <v>1.7093277310924369</v>
      </c>
      <c r="M141" s="17" t="s">
        <v>34</v>
      </c>
      <c r="N141" s="17" t="s">
        <v>66</v>
      </c>
      <c r="P141" s="9" t="str">
        <f>IF(J141="","",IF(J141&gt;=5000,"S 级",IF(J141&gt;=1000,"A 级",IF(J141&gt;=500,"B 级","C 级"))))</f>
        <v>C 级</v>
      </c>
    </row>
    <row r="142" spans="1:16">
      <c r="A142" s="6">
        <v>46106</v>
      </c>
      <c r="B142" s="6">
        <f t="shared" si="4"/>
        <v>46113</v>
      </c>
      <c r="C142" t="s">
        <v>24</v>
      </c>
      <c r="D142" s="7" t="s">
        <v>489</v>
      </c>
      <c r="E142" s="7" t="s">
        <v>490</v>
      </c>
      <c r="G142" t="s">
        <v>491</v>
      </c>
      <c r="H142" s="7">
        <v>44</v>
      </c>
      <c r="K142" s="13"/>
    </row>
    <row r="143" spans="1:16">
      <c r="A143" s="6">
        <v>46106</v>
      </c>
      <c r="B143" s="6">
        <f t="shared" si="4"/>
        <v>46113</v>
      </c>
      <c r="C143" t="s">
        <v>24</v>
      </c>
      <c r="D143" s="7" t="s">
        <v>492</v>
      </c>
      <c r="E143" s="7" t="s">
        <v>493</v>
      </c>
      <c r="G143" t="s">
        <v>494</v>
      </c>
      <c r="H143" s="7">
        <v>3</v>
      </c>
      <c r="K143" s="13"/>
    </row>
    <row r="144" spans="1:16">
      <c r="A144" s="6">
        <v>46106</v>
      </c>
      <c r="B144" s="6">
        <f t="shared" si="4"/>
        <v>46113</v>
      </c>
      <c r="C144" t="s">
        <v>27</v>
      </c>
      <c r="D144" s="7" t="s">
        <v>495</v>
      </c>
      <c r="E144" s="7" t="s">
        <v>496</v>
      </c>
      <c r="G144" t="s">
        <v>497</v>
      </c>
      <c r="H144" s="7">
        <v>3</v>
      </c>
      <c r="K144" s="13"/>
      <c r="O144" t="s">
        <v>30</v>
      </c>
    </row>
    <row r="145" spans="1:16">
      <c r="A145" s="6">
        <v>46107</v>
      </c>
      <c r="B145" s="6">
        <f t="shared" si="4"/>
        <v>46114</v>
      </c>
      <c r="C145" t="s">
        <v>27</v>
      </c>
      <c r="D145" s="7" t="s">
        <v>498</v>
      </c>
      <c r="E145" s="7" t="s">
        <v>499</v>
      </c>
      <c r="G145" t="s">
        <v>500</v>
      </c>
      <c r="H145" s="7">
        <v>1</v>
      </c>
      <c r="K145" s="13"/>
      <c r="O145" t="s">
        <v>30</v>
      </c>
    </row>
    <row r="146" spans="1:16">
      <c r="A146" s="6">
        <v>46107</v>
      </c>
      <c r="B146" s="6">
        <f t="shared" si="4"/>
        <v>46114</v>
      </c>
      <c r="C146" t="s">
        <v>27</v>
      </c>
      <c r="D146" s="7" t="s">
        <v>501</v>
      </c>
      <c r="E146" s="7" t="s">
        <v>502</v>
      </c>
      <c r="G146" t="s">
        <v>503</v>
      </c>
      <c r="H146" s="7">
        <v>22</v>
      </c>
      <c r="K146" s="13"/>
      <c r="O146" t="s">
        <v>126</v>
      </c>
    </row>
    <row r="147" spans="1:16">
      <c r="A147" s="6">
        <v>46107</v>
      </c>
      <c r="B147" s="6">
        <f t="shared" si="4"/>
        <v>46114</v>
      </c>
      <c r="C147" t="s">
        <v>27</v>
      </c>
      <c r="D147" s="7" t="s">
        <v>504</v>
      </c>
      <c r="E147" s="7" t="s">
        <v>505</v>
      </c>
      <c r="G147" t="s">
        <v>506</v>
      </c>
      <c r="H147" s="7">
        <v>22</v>
      </c>
      <c r="K147" s="13"/>
      <c r="O147" t="s">
        <v>126</v>
      </c>
    </row>
    <row r="148" spans="1:16">
      <c r="A148" s="6">
        <v>46107</v>
      </c>
      <c r="B148" s="6">
        <f t="shared" si="4"/>
        <v>46114</v>
      </c>
      <c r="C148" t="s">
        <v>27</v>
      </c>
      <c r="D148" s="7" t="s">
        <v>507</v>
      </c>
      <c r="E148" s="7" t="s">
        <v>508</v>
      </c>
      <c r="G148" t="s">
        <v>509</v>
      </c>
      <c r="H148" s="7">
        <v>0</v>
      </c>
      <c r="K148" s="13"/>
      <c r="O148" t="s">
        <v>77</v>
      </c>
    </row>
    <row r="149" spans="1:16">
      <c r="A149" s="6">
        <v>46107</v>
      </c>
      <c r="B149" s="6">
        <f t="shared" si="4"/>
        <v>46114</v>
      </c>
      <c r="C149" t="s">
        <v>27</v>
      </c>
      <c r="D149" s="7" t="s">
        <v>510</v>
      </c>
      <c r="E149" s="7" t="s">
        <v>511</v>
      </c>
      <c r="G149" t="s">
        <v>512</v>
      </c>
      <c r="H149" s="7">
        <v>1</v>
      </c>
      <c r="K149" s="13"/>
      <c r="O149" t="s">
        <v>77</v>
      </c>
    </row>
    <row r="150" spans="1:16">
      <c r="A150" s="6">
        <v>46107</v>
      </c>
      <c r="B150" s="6">
        <f t="shared" si="4"/>
        <v>46114</v>
      </c>
      <c r="C150" t="s">
        <v>27</v>
      </c>
      <c r="D150" s="7" t="s">
        <v>513</v>
      </c>
      <c r="E150" s="7" t="s">
        <v>514</v>
      </c>
      <c r="G150" t="s">
        <v>515</v>
      </c>
      <c r="H150" s="7">
        <v>52</v>
      </c>
      <c r="K150" s="13"/>
      <c r="O150" t="s">
        <v>126</v>
      </c>
    </row>
    <row r="151" spans="1:16">
      <c r="A151" s="6">
        <v>46109</v>
      </c>
      <c r="B151" s="6">
        <f t="shared" si="4"/>
        <v>46116</v>
      </c>
      <c r="C151" t="s">
        <v>27</v>
      </c>
      <c r="D151" s="7" t="s">
        <v>516</v>
      </c>
      <c r="E151" s="7" t="s">
        <v>517</v>
      </c>
      <c r="G151" t="s">
        <v>518</v>
      </c>
      <c r="H151" s="7">
        <v>44</v>
      </c>
      <c r="K151" s="13"/>
      <c r="O151" t="s">
        <v>519</v>
      </c>
    </row>
    <row r="152" spans="1:16">
      <c r="A152" s="6">
        <v>46109</v>
      </c>
      <c r="B152" s="6">
        <f t="shared" si="4"/>
        <v>46116</v>
      </c>
      <c r="C152" t="s">
        <v>27</v>
      </c>
      <c r="D152" s="7" t="s">
        <v>520</v>
      </c>
      <c r="E152" s="7" t="s">
        <v>521</v>
      </c>
      <c r="G152" t="s">
        <v>522</v>
      </c>
      <c r="H152" s="7">
        <v>99</v>
      </c>
      <c r="K152" s="13"/>
      <c r="O152" t="s">
        <v>523</v>
      </c>
    </row>
    <row r="153" spans="1:16">
      <c r="A153" s="6">
        <v>46110</v>
      </c>
      <c r="B153" s="6">
        <f t="shared" si="4"/>
        <v>46117</v>
      </c>
      <c r="C153" t="s">
        <v>27</v>
      </c>
      <c r="D153" s="7" t="s">
        <v>524</v>
      </c>
      <c r="E153" s="7" t="s">
        <v>525</v>
      </c>
      <c r="G153" t="s">
        <v>526</v>
      </c>
      <c r="H153" s="7">
        <v>9</v>
      </c>
      <c r="K153" s="13"/>
      <c r="O153" t="s">
        <v>527</v>
      </c>
    </row>
    <row r="154" spans="1:16" ht="28">
      <c r="A154" s="6">
        <v>46110</v>
      </c>
      <c r="B154" s="6">
        <f t="shared" si="4"/>
        <v>46117</v>
      </c>
      <c r="C154" t="s">
        <v>18</v>
      </c>
      <c r="D154" s="7" t="s">
        <v>528</v>
      </c>
      <c r="E154" s="7" t="s">
        <v>529</v>
      </c>
      <c r="F154" s="7" t="s">
        <v>530</v>
      </c>
      <c r="G154" t="s">
        <v>531</v>
      </c>
      <c r="H154" s="7">
        <v>108</v>
      </c>
      <c r="I154" s="7">
        <v>94</v>
      </c>
      <c r="J154" s="7">
        <v>246</v>
      </c>
      <c r="K154" s="13">
        <v>173.6</v>
      </c>
      <c r="L154" s="28">
        <f>K154/J154</f>
        <v>0.7056910569105691</v>
      </c>
      <c r="M154" s="12" t="s">
        <v>22</v>
      </c>
      <c r="N154" s="12" t="s">
        <v>151</v>
      </c>
      <c r="P154" s="9" t="str">
        <f>IF(J154="","",IF(J154&gt;=5000,"S 级",IF(J154&gt;=1000,"A 级",IF(J154&gt;=500,"B 级","C 级"))))</f>
        <v>C 级</v>
      </c>
    </row>
    <row r="155" spans="1:16">
      <c r="A155" s="6">
        <v>46109</v>
      </c>
      <c r="B155" s="6">
        <f t="shared" si="4"/>
        <v>46116</v>
      </c>
      <c r="C155" t="s">
        <v>27</v>
      </c>
      <c r="D155" s="7" t="s">
        <v>532</v>
      </c>
      <c r="E155" s="7" t="s">
        <v>533</v>
      </c>
      <c r="G155" t="s">
        <v>534</v>
      </c>
      <c r="H155" s="7">
        <v>6</v>
      </c>
      <c r="K155" s="13"/>
      <c r="O155" t="s">
        <v>30</v>
      </c>
    </row>
    <row r="156" spans="1:16">
      <c r="A156" s="6">
        <v>46108</v>
      </c>
      <c r="B156" s="6">
        <f t="shared" si="4"/>
        <v>46115</v>
      </c>
      <c r="C156" t="s">
        <v>27</v>
      </c>
      <c r="D156" s="7" t="s">
        <v>535</v>
      </c>
      <c r="E156" s="7" t="s">
        <v>536</v>
      </c>
      <c r="G156" t="s">
        <v>537</v>
      </c>
      <c r="H156" s="7">
        <v>36</v>
      </c>
      <c r="K156" s="13"/>
      <c r="O156" t="s">
        <v>30</v>
      </c>
    </row>
    <row r="157" spans="1:16">
      <c r="A157" s="6">
        <v>46111</v>
      </c>
      <c r="B157" s="6">
        <f t="shared" si="4"/>
        <v>46118</v>
      </c>
      <c r="C157" t="s">
        <v>27</v>
      </c>
      <c r="D157" s="7" t="s">
        <v>538</v>
      </c>
      <c r="E157" s="7" t="s">
        <v>539</v>
      </c>
      <c r="G157" t="s">
        <v>540</v>
      </c>
      <c r="H157" s="7">
        <v>16</v>
      </c>
      <c r="K157" s="13"/>
      <c r="O157" t="s">
        <v>30</v>
      </c>
    </row>
    <row r="158" spans="1:16">
      <c r="A158" s="6">
        <v>46109</v>
      </c>
      <c r="B158" s="6">
        <f t="shared" si="4"/>
        <v>46116</v>
      </c>
      <c r="C158" t="s">
        <v>27</v>
      </c>
      <c r="D158" s="7" t="s">
        <v>541</v>
      </c>
      <c r="E158" s="7" t="s">
        <v>542</v>
      </c>
      <c r="G158" t="s">
        <v>543</v>
      </c>
      <c r="H158" s="7">
        <v>39</v>
      </c>
      <c r="K158" s="13"/>
      <c r="O158" t="s">
        <v>30</v>
      </c>
    </row>
    <row r="159" spans="1:16">
      <c r="A159" s="6">
        <v>46109</v>
      </c>
      <c r="B159" s="6">
        <f t="shared" si="4"/>
        <v>46116</v>
      </c>
      <c r="C159" t="s">
        <v>27</v>
      </c>
      <c r="D159" s="7" t="s">
        <v>544</v>
      </c>
      <c r="E159" s="7" t="s">
        <v>545</v>
      </c>
      <c r="G159" t="s">
        <v>546</v>
      </c>
      <c r="H159" s="7">
        <v>131</v>
      </c>
      <c r="K159" s="13"/>
      <c r="O159" t="s">
        <v>30</v>
      </c>
    </row>
    <row r="160" spans="1:16">
      <c r="A160" s="6">
        <v>46109</v>
      </c>
      <c r="B160" s="6">
        <f t="shared" si="4"/>
        <v>46116</v>
      </c>
      <c r="C160" t="s">
        <v>27</v>
      </c>
      <c r="D160" s="7" t="s">
        <v>547</v>
      </c>
      <c r="E160" s="7" t="s">
        <v>548</v>
      </c>
      <c r="G160" t="s">
        <v>549</v>
      </c>
      <c r="H160" s="7">
        <v>2</v>
      </c>
      <c r="K160" s="13"/>
      <c r="O160" t="s">
        <v>30</v>
      </c>
    </row>
    <row r="161" spans="1:16">
      <c r="A161" s="6">
        <v>46110</v>
      </c>
      <c r="B161" s="6">
        <f t="shared" si="4"/>
        <v>46117</v>
      </c>
      <c r="C161" t="s">
        <v>27</v>
      </c>
      <c r="D161" s="7" t="s">
        <v>550</v>
      </c>
      <c r="E161" s="7" t="s">
        <v>551</v>
      </c>
      <c r="G161" t="s">
        <v>552</v>
      </c>
      <c r="H161" s="7">
        <v>22</v>
      </c>
      <c r="K161" s="13"/>
      <c r="O161" t="s">
        <v>30</v>
      </c>
    </row>
    <row r="162" spans="1:16" ht="28">
      <c r="A162" s="6">
        <v>46109</v>
      </c>
      <c r="B162" s="6">
        <f t="shared" si="4"/>
        <v>46116</v>
      </c>
      <c r="C162" t="s">
        <v>18</v>
      </c>
      <c r="D162" s="7" t="s">
        <v>553</v>
      </c>
      <c r="E162" s="7" t="s">
        <v>554</v>
      </c>
      <c r="F162" s="7" t="s">
        <v>555</v>
      </c>
      <c r="G162" s="7" t="s">
        <v>556</v>
      </c>
      <c r="H162" s="7">
        <v>8</v>
      </c>
      <c r="I162" s="7">
        <v>106</v>
      </c>
      <c r="J162" s="7">
        <v>126</v>
      </c>
      <c r="K162" s="13">
        <v>195.44</v>
      </c>
      <c r="L162" s="10">
        <f>K162/J162</f>
        <v>1.5511111111111111</v>
      </c>
      <c r="M162" s="12" t="s">
        <v>22</v>
      </c>
      <c r="N162" s="12" t="s">
        <v>44</v>
      </c>
      <c r="P162" s="9" t="str">
        <f>IF(J162="","",IF(J162&gt;=5000,"S 级",IF(J162&gt;=1000,"A 级",IF(J162&gt;=500,"B 级","C 级"))))</f>
        <v>C 级</v>
      </c>
    </row>
    <row r="163" spans="1:16">
      <c r="A163" s="6">
        <v>46110</v>
      </c>
      <c r="B163" s="6">
        <f t="shared" ref="B163:B194" si="5">A163+7</f>
        <v>46117</v>
      </c>
      <c r="C163" t="s">
        <v>27</v>
      </c>
      <c r="D163" s="7" t="s">
        <v>557</v>
      </c>
      <c r="E163" s="7" t="s">
        <v>558</v>
      </c>
      <c r="G163" t="s">
        <v>559</v>
      </c>
      <c r="H163" s="7">
        <v>83</v>
      </c>
      <c r="O163" t="s">
        <v>30</v>
      </c>
    </row>
    <row r="164" spans="1:16">
      <c r="A164" s="6">
        <v>46111</v>
      </c>
      <c r="B164" s="6">
        <f t="shared" si="5"/>
        <v>46118</v>
      </c>
      <c r="C164" t="s">
        <v>27</v>
      </c>
      <c r="D164" s="7" t="s">
        <v>560</v>
      </c>
      <c r="E164" s="7" t="s">
        <v>561</v>
      </c>
      <c r="G164" t="s">
        <v>562</v>
      </c>
      <c r="H164" s="7">
        <v>27</v>
      </c>
      <c r="K164" s="13"/>
      <c r="O164" t="s">
        <v>30</v>
      </c>
    </row>
    <row r="165" spans="1:16">
      <c r="A165" s="6">
        <v>46111</v>
      </c>
      <c r="B165" s="6">
        <f t="shared" si="5"/>
        <v>46118</v>
      </c>
      <c r="C165" t="s">
        <v>27</v>
      </c>
      <c r="D165" s="7" t="s">
        <v>563</v>
      </c>
      <c r="E165" s="7" t="s">
        <v>564</v>
      </c>
      <c r="G165" t="s">
        <v>565</v>
      </c>
      <c r="H165" s="7">
        <v>13</v>
      </c>
      <c r="K165" s="13"/>
      <c r="O165" t="s">
        <v>30</v>
      </c>
    </row>
    <row r="166" spans="1:16" ht="15">
      <c r="A166" s="6">
        <v>46111</v>
      </c>
      <c r="B166" s="6">
        <f t="shared" si="5"/>
        <v>46118</v>
      </c>
      <c r="C166" t="s">
        <v>27</v>
      </c>
      <c r="D166" s="7" t="s">
        <v>566</v>
      </c>
      <c r="E166" s="7" t="s">
        <v>567</v>
      </c>
      <c r="G166" t="s">
        <v>568</v>
      </c>
      <c r="H166" s="7">
        <v>19</v>
      </c>
      <c r="K166" s="13"/>
      <c r="O166" s="14" t="s">
        <v>126</v>
      </c>
    </row>
    <row r="167" spans="1:16" ht="15">
      <c r="A167" s="6">
        <v>46111</v>
      </c>
      <c r="B167" s="6">
        <f t="shared" si="5"/>
        <v>46118</v>
      </c>
      <c r="C167" t="s">
        <v>27</v>
      </c>
      <c r="D167" s="7" t="s">
        <v>569</v>
      </c>
      <c r="E167" s="7" t="s">
        <v>570</v>
      </c>
      <c r="G167" t="s">
        <v>571</v>
      </c>
      <c r="H167" s="7">
        <v>183</v>
      </c>
      <c r="K167" s="13"/>
      <c r="O167" s="14" t="s">
        <v>126</v>
      </c>
    </row>
    <row r="168" spans="1:16" ht="15">
      <c r="A168" s="6">
        <v>46111</v>
      </c>
      <c r="B168" s="6">
        <f t="shared" si="5"/>
        <v>46118</v>
      </c>
      <c r="C168" t="s">
        <v>27</v>
      </c>
      <c r="D168" s="7" t="s">
        <v>572</v>
      </c>
      <c r="E168" s="7" t="s">
        <v>573</v>
      </c>
      <c r="G168" t="s">
        <v>574</v>
      </c>
      <c r="H168" s="7">
        <v>383</v>
      </c>
      <c r="K168" s="13"/>
      <c r="O168" s="14" t="s">
        <v>126</v>
      </c>
    </row>
    <row r="169" spans="1:16" ht="15">
      <c r="A169" s="6">
        <v>46112</v>
      </c>
      <c r="B169" s="6">
        <f t="shared" si="5"/>
        <v>46119</v>
      </c>
      <c r="C169" t="s">
        <v>27</v>
      </c>
      <c r="D169" s="7" t="s">
        <v>575</v>
      </c>
      <c r="E169" s="7" t="s">
        <v>576</v>
      </c>
      <c r="G169" t="s">
        <v>577</v>
      </c>
      <c r="H169" s="7">
        <v>203</v>
      </c>
      <c r="K169" s="13"/>
      <c r="O169" s="14" t="s">
        <v>126</v>
      </c>
    </row>
    <row r="170" spans="1:16">
      <c r="A170" s="6">
        <v>46112</v>
      </c>
      <c r="B170" s="6">
        <f t="shared" si="5"/>
        <v>46119</v>
      </c>
      <c r="C170" t="s">
        <v>27</v>
      </c>
      <c r="D170" s="7" t="s">
        <v>578</v>
      </c>
      <c r="E170" s="7" t="s">
        <v>579</v>
      </c>
      <c r="G170" t="s">
        <v>580</v>
      </c>
      <c r="H170" s="7">
        <v>6520</v>
      </c>
      <c r="K170" s="13"/>
      <c r="O170" t="s">
        <v>30</v>
      </c>
    </row>
    <row r="171" spans="1:16" ht="15">
      <c r="A171" s="6">
        <v>46113</v>
      </c>
      <c r="B171" s="6">
        <f t="shared" si="5"/>
        <v>46120</v>
      </c>
      <c r="C171" t="s">
        <v>27</v>
      </c>
      <c r="D171" s="7" t="s">
        <v>581</v>
      </c>
      <c r="E171" s="7" t="s">
        <v>582</v>
      </c>
      <c r="G171" t="s">
        <v>583</v>
      </c>
      <c r="H171" s="7">
        <v>158</v>
      </c>
      <c r="K171" s="13"/>
      <c r="O171" s="14" t="s">
        <v>126</v>
      </c>
    </row>
    <row r="172" spans="1:16" ht="15">
      <c r="A172" s="6">
        <v>46113</v>
      </c>
      <c r="B172" s="6">
        <f t="shared" si="5"/>
        <v>46120</v>
      </c>
      <c r="C172" t="s">
        <v>27</v>
      </c>
      <c r="D172" s="7" t="s">
        <v>584</v>
      </c>
      <c r="E172" s="7" t="s">
        <v>585</v>
      </c>
      <c r="G172" t="s">
        <v>586</v>
      </c>
      <c r="H172" s="7">
        <v>97</v>
      </c>
      <c r="K172" s="13"/>
      <c r="O172" s="14" t="s">
        <v>30</v>
      </c>
    </row>
    <row r="173" spans="1:16" ht="15">
      <c r="D173" s="7"/>
      <c r="E173" s="7"/>
      <c r="K173" s="13"/>
      <c r="O173" s="29"/>
    </row>
    <row r="174" spans="1:16">
      <c r="D174" s="7"/>
      <c r="E174" s="7"/>
      <c r="K174" s="13"/>
      <c r="M174" s="9"/>
      <c r="N174" s="9"/>
    </row>
    <row r="175" spans="1:16">
      <c r="D175" s="7"/>
      <c r="E175" s="7"/>
      <c r="K175" s="13"/>
      <c r="M175" s="9"/>
      <c r="N175" s="9"/>
    </row>
    <row r="176" spans="1:16">
      <c r="D176" s="7"/>
      <c r="E176" s="7"/>
      <c r="K176" s="13"/>
      <c r="M176" s="9"/>
      <c r="N176" s="9"/>
    </row>
    <row r="177" spans="4:14">
      <c r="D177" s="7"/>
      <c r="E177" s="7"/>
      <c r="K177" s="13"/>
      <c r="M177" s="9"/>
      <c r="N177" s="9"/>
    </row>
    <row r="178" spans="4:14">
      <c r="D178" s="7"/>
      <c r="E178" s="7"/>
      <c r="K178" s="13"/>
      <c r="M178" s="9"/>
      <c r="N178" s="9"/>
    </row>
    <row r="179" spans="4:14">
      <c r="D179" s="7"/>
      <c r="E179" s="7"/>
      <c r="K179" s="13"/>
      <c r="M179" s="9"/>
      <c r="N179" s="9"/>
    </row>
    <row r="180" spans="4:14">
      <c r="D180" s="7"/>
      <c r="E180" s="7"/>
      <c r="K180" s="13"/>
      <c r="M180" s="9"/>
      <c r="N180" s="9"/>
    </row>
    <row r="181" spans="4:14">
      <c r="D181" s="7"/>
      <c r="E181" s="7"/>
      <c r="K181" s="13"/>
      <c r="M181" s="9"/>
      <c r="N181" s="9"/>
    </row>
    <row r="182" spans="4:14">
      <c r="D182" s="7"/>
      <c r="E182" s="7"/>
      <c r="K182" s="13"/>
    </row>
    <row r="183" spans="4:14">
      <c r="D183" s="7"/>
      <c r="E183" s="7"/>
      <c r="K183" s="13"/>
    </row>
    <row r="184" spans="4:14">
      <c r="D184" s="7"/>
      <c r="E184" s="7"/>
      <c r="K184" s="13"/>
    </row>
    <row r="185" spans="4:14">
      <c r="D185" s="7"/>
      <c r="E185" s="7"/>
      <c r="K185" s="13"/>
    </row>
    <row r="186" spans="4:14">
      <c r="D186" s="7"/>
      <c r="E186" s="7"/>
      <c r="K186" s="13"/>
    </row>
    <row r="187" spans="4:14">
      <c r="D187" s="7"/>
      <c r="E187" s="7"/>
      <c r="K187" s="13"/>
    </row>
    <row r="188" spans="4:14">
      <c r="D188" s="7"/>
      <c r="E188" s="7"/>
      <c r="K188" s="13"/>
    </row>
    <row r="189" spans="4:14">
      <c r="D189" s="7"/>
      <c r="E189" s="7"/>
      <c r="K189" s="13"/>
    </row>
    <row r="190" spans="4:14">
      <c r="D190" s="7"/>
      <c r="E190" s="7"/>
      <c r="K190" s="13"/>
    </row>
    <row r="191" spans="4:14">
      <c r="D191" s="7"/>
      <c r="E191" s="7"/>
      <c r="K191" s="13"/>
    </row>
    <row r="192" spans="4:14">
      <c r="D192" s="7"/>
      <c r="E192" s="7"/>
      <c r="K192" s="13"/>
    </row>
    <row r="193" spans="4:11">
      <c r="D193" s="7"/>
      <c r="E193" s="7"/>
      <c r="K193" s="13"/>
    </row>
    <row r="194" spans="4:11">
      <c r="D194" s="7"/>
      <c r="E194" s="7"/>
      <c r="K194" s="13"/>
    </row>
    <row r="195" spans="4:11">
      <c r="D195" s="7"/>
      <c r="E195" s="7"/>
      <c r="K195" s="13"/>
    </row>
    <row r="196" spans="4:11">
      <c r="D196" s="7"/>
      <c r="E196" s="7"/>
      <c r="K196" s="13"/>
    </row>
    <row r="197" spans="4:11">
      <c r="D197" s="7"/>
      <c r="E197" s="7"/>
      <c r="K197" s="13"/>
    </row>
    <row r="198" spans="4:11">
      <c r="D198" s="7"/>
      <c r="E198" s="7"/>
      <c r="K198" s="13"/>
    </row>
    <row r="199" spans="4:11">
      <c r="D199" s="7"/>
      <c r="E199" s="7"/>
      <c r="K199" s="13"/>
    </row>
    <row r="200" spans="4:11">
      <c r="D200" s="7"/>
      <c r="E200" s="7"/>
      <c r="K200" s="13"/>
    </row>
  </sheetData>
  <mergeCells count="1">
    <mergeCell ref="A2:G2"/>
  </mergeCells>
  <phoneticPr fontId="11" type="noConversion"/>
  <dataValidations count="3">
    <dataValidation type="list" allowBlank="1" showErrorMessage="1" sqref="C3 C5:C33 C35:C42 C44 C46:C48 C50:C52" xr:uid="{00000000-0002-0000-0000-000000000000}">
      <formula1>"在投,停投,无法授权,拒审,待授权"</formula1>
    </dataValidation>
    <dataValidation type="list" allowBlank="1" showErrorMessage="1" sqref="C4 C34 C43 C45 C49 C53:C172" xr:uid="{00000000-0002-0000-0000-000001000000}">
      <formula1>"在投,停投,无法授权,拒审,待授权,拒绝授权"</formula1>
    </dataValidation>
    <dataValidation type="list" allowBlank="1" showErrorMessage="1" sqref="M4:M13 M15:M17" xr:uid="{00000000-0002-0000-0000-000002000000}">
      <formula1>"产品力,场景,车内,司机,地广/活动"</formula1>
    </dataValidation>
  </dataValidations>
  <hyperlinks>
    <hyperlink ref="D3" r:id="rId1" xr:uid="{00000000-0004-0000-0000-000000000000}"/>
    <hyperlink ref="D4" r:id="rId2" xr:uid="{00000000-0004-0000-0000-000001000000}"/>
    <hyperlink ref="D5" r:id="rId3" xr:uid="{00000000-0004-0000-0000-000002000000}"/>
    <hyperlink ref="D6" r:id="rId4" xr:uid="{00000000-0004-0000-0000-000003000000}"/>
    <hyperlink ref="D7" r:id="rId5" xr:uid="{00000000-0004-0000-0000-000004000000}"/>
    <hyperlink ref="E7" r:id="rId6" xr:uid="{00000000-0004-0000-0000-000005000000}"/>
    <hyperlink ref="D8" r:id="rId7" xr:uid="{00000000-0004-0000-0000-000006000000}"/>
    <hyperlink ref="D9" r:id="rId8" xr:uid="{00000000-0004-0000-0000-000007000000}"/>
    <hyperlink ref="D10" r:id="rId9" xr:uid="{00000000-0004-0000-0000-000008000000}"/>
    <hyperlink ref="D11" r:id="rId10" xr:uid="{00000000-0004-0000-0000-000009000000}"/>
    <hyperlink ref="G11" r:id="rId11" display="#大学生返校" xr:uid="{00000000-0004-0000-0000-00000A000000}"/>
    <hyperlink ref="D12" r:id="rId12" xr:uid="{00000000-0004-0000-0000-00000B000000}"/>
    <hyperlink ref="D13" r:id="rId13" xr:uid="{00000000-0004-0000-0000-00000C000000}"/>
    <hyperlink ref="D14" r:id="rId14" xr:uid="{00000000-0004-0000-0000-00000D000000}"/>
    <hyperlink ref="D15" r:id="rId15" xr:uid="{00000000-0004-0000-0000-00000E000000}"/>
    <hyperlink ref="D16" r:id="rId16" xr:uid="{00000000-0004-0000-0000-00000F000000}"/>
    <hyperlink ref="D17" r:id="rId17" xr:uid="{00000000-0004-0000-0000-000010000000}"/>
    <hyperlink ref="D18" r:id="rId18" xr:uid="{00000000-0004-0000-0000-000011000000}"/>
    <hyperlink ref="E18" r:id="rId19" xr:uid="{00000000-0004-0000-0000-000012000000}"/>
    <hyperlink ref="D19" r:id="rId20" xr:uid="{00000000-0004-0000-0000-000013000000}"/>
    <hyperlink ref="D20" r:id="rId21" xr:uid="{00000000-0004-0000-0000-000014000000}"/>
    <hyperlink ref="D21" r:id="rId22" xr:uid="{00000000-0004-0000-0000-000015000000}"/>
    <hyperlink ref="D22" r:id="rId23" xr:uid="{00000000-0004-0000-0000-000016000000}"/>
    <hyperlink ref="D23" r:id="rId24" xr:uid="{00000000-0004-0000-0000-000017000000}"/>
    <hyperlink ref="D24" r:id="rId25" xr:uid="{00000000-0004-0000-0000-000018000000}"/>
    <hyperlink ref="D25" r:id="rId26" xr:uid="{00000000-0004-0000-0000-000019000000}"/>
    <hyperlink ref="D26" r:id="rId27" xr:uid="{00000000-0004-0000-0000-00001A000000}"/>
    <hyperlink ref="D27" r:id="rId28" xr:uid="{00000000-0004-0000-0000-00001B000000}"/>
    <hyperlink ref="D28" r:id="rId29" xr:uid="{00000000-0004-0000-0000-00001C000000}"/>
    <hyperlink ref="D29" r:id="rId30" xr:uid="{00000000-0004-0000-0000-00001D000000}"/>
    <hyperlink ref="D30" r:id="rId31" xr:uid="{00000000-0004-0000-0000-00001E000000}"/>
    <hyperlink ref="D31" r:id="rId32" xr:uid="{00000000-0004-0000-0000-00001F000000}"/>
    <hyperlink ref="D32" r:id="rId33" xr:uid="{00000000-0004-0000-0000-000020000000}"/>
    <hyperlink ref="D33" r:id="rId34" xr:uid="{00000000-0004-0000-0000-000021000000}"/>
    <hyperlink ref="D34" r:id="rId35" xr:uid="{00000000-0004-0000-0000-000022000000}"/>
    <hyperlink ref="D35" r:id="rId36" xr:uid="{00000000-0004-0000-0000-000023000000}"/>
    <hyperlink ref="D36" r:id="rId37" xr:uid="{00000000-0004-0000-0000-000024000000}"/>
    <hyperlink ref="D37" r:id="rId38" xr:uid="{00000000-0004-0000-0000-000025000000}"/>
    <hyperlink ref="D38" r:id="rId39" xr:uid="{00000000-0004-0000-0000-000026000000}"/>
    <hyperlink ref="D39" r:id="rId40" xr:uid="{00000000-0004-0000-0000-000027000000}"/>
    <hyperlink ref="D40" r:id="rId41" xr:uid="{00000000-0004-0000-0000-000028000000}"/>
    <hyperlink ref="D41" r:id="rId42" xr:uid="{00000000-0004-0000-0000-000029000000}"/>
    <hyperlink ref="D42" r:id="rId43" xr:uid="{00000000-0004-0000-0000-00002A000000}"/>
    <hyperlink ref="D43" r:id="rId44" xr:uid="{00000000-0004-0000-0000-00002B000000}"/>
    <hyperlink ref="D44" r:id="rId45" xr:uid="{00000000-0004-0000-0000-00002C000000}"/>
    <hyperlink ref="D45" r:id="rId46" xr:uid="{00000000-0004-0000-0000-00002D000000}"/>
    <hyperlink ref="D46" r:id="rId47" xr:uid="{00000000-0004-0000-0000-00002E000000}"/>
    <hyperlink ref="D47" r:id="rId48" xr:uid="{00000000-0004-0000-0000-00002F000000}"/>
    <hyperlink ref="D48" r:id="rId49" xr:uid="{00000000-0004-0000-0000-000030000000}"/>
    <hyperlink ref="D49" r:id="rId50" xr:uid="{00000000-0004-0000-0000-000031000000}"/>
    <hyperlink ref="D50" r:id="rId51" xr:uid="{00000000-0004-0000-0000-000032000000}"/>
    <hyperlink ref="D51" r:id="rId52" xr:uid="{00000000-0004-0000-0000-000033000000}"/>
    <hyperlink ref="D52" r:id="rId53" xr:uid="{00000000-0004-0000-0000-000034000000}"/>
    <hyperlink ref="D53" r:id="rId54" xr:uid="{00000000-0004-0000-0000-000035000000}"/>
    <hyperlink ref="D54" r:id="rId55" xr:uid="{00000000-0004-0000-0000-000036000000}"/>
    <hyperlink ref="D55" r:id="rId56" xr:uid="{00000000-0004-0000-0000-000037000000}"/>
    <hyperlink ref="D56" r:id="rId57" xr:uid="{00000000-0004-0000-0000-000038000000}"/>
    <hyperlink ref="D57" r:id="rId58" xr:uid="{00000000-0004-0000-0000-000039000000}"/>
    <hyperlink ref="D58" r:id="rId59" xr:uid="{00000000-0004-0000-0000-00003A000000}"/>
    <hyperlink ref="D59" r:id="rId60" xr:uid="{00000000-0004-0000-0000-00003B000000}"/>
    <hyperlink ref="D60" r:id="rId61" xr:uid="{00000000-0004-0000-0000-00003C000000}"/>
    <hyperlink ref="D61" r:id="rId62" xr:uid="{00000000-0004-0000-0000-00003D000000}"/>
    <hyperlink ref="D62" r:id="rId63" xr:uid="{00000000-0004-0000-0000-00003E000000}"/>
    <hyperlink ref="D63" r:id="rId64" xr:uid="{00000000-0004-0000-0000-00003F000000}"/>
    <hyperlink ref="D64" r:id="rId65" xr:uid="{00000000-0004-0000-0000-000040000000}"/>
    <hyperlink ref="D65" r:id="rId66" xr:uid="{00000000-0004-0000-0000-000041000000}"/>
    <hyperlink ref="D66" r:id="rId67" xr:uid="{00000000-0004-0000-0000-000042000000}"/>
    <hyperlink ref="D67" r:id="rId68" xr:uid="{00000000-0004-0000-0000-000043000000}"/>
    <hyperlink ref="D68" r:id="rId69" xr:uid="{00000000-0004-0000-0000-000044000000}"/>
    <hyperlink ref="D69" r:id="rId70" xr:uid="{00000000-0004-0000-0000-000045000000}"/>
    <hyperlink ref="D70" r:id="rId71" xr:uid="{00000000-0004-0000-0000-000046000000}"/>
    <hyperlink ref="D71" r:id="rId72" xr:uid="{00000000-0004-0000-0000-000047000000}"/>
    <hyperlink ref="D72" r:id="rId73" xr:uid="{00000000-0004-0000-0000-000048000000}"/>
    <hyperlink ref="D73" r:id="rId74" xr:uid="{00000000-0004-0000-0000-000049000000}"/>
    <hyperlink ref="D74" r:id="rId75" xr:uid="{00000000-0004-0000-0000-00004A000000}"/>
    <hyperlink ref="D75" r:id="rId76" xr:uid="{00000000-0004-0000-0000-00004B000000}"/>
    <hyperlink ref="D76" r:id="rId77" xr:uid="{00000000-0004-0000-0000-00004C000000}"/>
    <hyperlink ref="D77" r:id="rId78" xr:uid="{00000000-0004-0000-0000-00004D000000}"/>
    <hyperlink ref="D78" r:id="rId79" xr:uid="{00000000-0004-0000-0000-00004E000000}"/>
    <hyperlink ref="D79" r:id="rId80" xr:uid="{00000000-0004-0000-0000-00004F000000}"/>
    <hyperlink ref="D80" r:id="rId81" xr:uid="{00000000-0004-0000-0000-000050000000}"/>
    <hyperlink ref="D81" r:id="rId82" xr:uid="{00000000-0004-0000-0000-000051000000}"/>
    <hyperlink ref="D82" r:id="rId83" xr:uid="{00000000-0004-0000-0000-000052000000}"/>
    <hyperlink ref="D83" r:id="rId84" xr:uid="{00000000-0004-0000-0000-000053000000}"/>
    <hyperlink ref="D84" r:id="rId85" xr:uid="{00000000-0004-0000-0000-000054000000}"/>
    <hyperlink ref="D85" r:id="rId86" xr:uid="{00000000-0004-0000-0000-000055000000}"/>
    <hyperlink ref="D86" r:id="rId87" xr:uid="{00000000-0004-0000-0000-000056000000}"/>
    <hyperlink ref="D87" r:id="rId88" xr:uid="{00000000-0004-0000-0000-000057000000}"/>
    <hyperlink ref="D88" r:id="rId89" xr:uid="{00000000-0004-0000-0000-000058000000}"/>
    <hyperlink ref="D89" r:id="rId90" xr:uid="{00000000-0004-0000-0000-000059000000}"/>
    <hyperlink ref="D90" r:id="rId91" xr:uid="{00000000-0004-0000-0000-00005A000000}"/>
    <hyperlink ref="D91" r:id="rId92" xr:uid="{00000000-0004-0000-0000-00005B000000}"/>
    <hyperlink ref="D92" r:id="rId93" xr:uid="{00000000-0004-0000-0000-00005C000000}"/>
    <hyperlink ref="D93" r:id="rId94" xr:uid="{00000000-0004-0000-0000-00005D000000}"/>
    <hyperlink ref="D94" r:id="rId95" xr:uid="{00000000-0004-0000-0000-00005E000000}"/>
    <hyperlink ref="D95" r:id="rId96" xr:uid="{00000000-0004-0000-0000-00005F000000}"/>
    <hyperlink ref="D96" r:id="rId97" xr:uid="{00000000-0004-0000-0000-000060000000}"/>
    <hyperlink ref="D97" r:id="rId98" xr:uid="{00000000-0004-0000-0000-000061000000}"/>
    <hyperlink ref="D98" r:id="rId99" xr:uid="{00000000-0004-0000-0000-000062000000}"/>
    <hyperlink ref="E98" r:id="rId100" xr:uid="{00000000-0004-0000-0000-000063000000}"/>
    <hyperlink ref="D99" r:id="rId101" xr:uid="{00000000-0004-0000-0000-000064000000}"/>
    <hyperlink ref="E99" r:id="rId102" xr:uid="{00000000-0004-0000-0000-000065000000}"/>
    <hyperlink ref="D100" r:id="rId103" xr:uid="{00000000-0004-0000-0000-000066000000}"/>
    <hyperlink ref="D101" r:id="rId104" xr:uid="{00000000-0004-0000-0000-000067000000}"/>
    <hyperlink ref="D102" r:id="rId105" xr:uid="{00000000-0004-0000-0000-000068000000}"/>
    <hyperlink ref="D103" r:id="rId106" xr:uid="{00000000-0004-0000-0000-000069000000}"/>
    <hyperlink ref="D104" r:id="rId107" xr:uid="{00000000-0004-0000-0000-00006A000000}"/>
    <hyperlink ref="D105" r:id="rId108" xr:uid="{00000000-0004-0000-0000-00006B000000}"/>
    <hyperlink ref="D106" r:id="rId109" xr:uid="{00000000-0004-0000-0000-00006C000000}"/>
    <hyperlink ref="D107" r:id="rId110" xr:uid="{00000000-0004-0000-0000-00006D000000}"/>
    <hyperlink ref="D108" r:id="rId111" xr:uid="{00000000-0004-0000-0000-00006E000000}"/>
    <hyperlink ref="D109" r:id="rId112" xr:uid="{00000000-0004-0000-0000-00006F000000}"/>
    <hyperlink ref="D110" r:id="rId113" xr:uid="{00000000-0004-0000-0000-000070000000}"/>
    <hyperlink ref="D111" r:id="rId114" xr:uid="{00000000-0004-0000-0000-000071000000}"/>
    <hyperlink ref="D112" r:id="rId115" xr:uid="{00000000-0004-0000-0000-000072000000}"/>
    <hyperlink ref="D113" r:id="rId116" xr:uid="{00000000-0004-0000-0000-000073000000}"/>
    <hyperlink ref="D114" r:id="rId117" xr:uid="{00000000-0004-0000-0000-000074000000}"/>
    <hyperlink ref="D115" r:id="rId118" xr:uid="{00000000-0004-0000-0000-000075000000}"/>
    <hyperlink ref="D116" r:id="rId119" xr:uid="{00000000-0004-0000-0000-000076000000}"/>
    <hyperlink ref="D117" r:id="rId120" xr:uid="{00000000-0004-0000-0000-000077000000}"/>
    <hyperlink ref="D118" r:id="rId121" xr:uid="{00000000-0004-0000-0000-000078000000}"/>
    <hyperlink ref="D119" r:id="rId122" xr:uid="{00000000-0004-0000-0000-000079000000}"/>
    <hyperlink ref="D120" r:id="rId123" xr:uid="{00000000-0004-0000-0000-00007A000000}"/>
    <hyperlink ref="D121" r:id="rId124" xr:uid="{00000000-0004-0000-0000-00007B000000}"/>
    <hyperlink ref="D122" r:id="rId125" xr:uid="{00000000-0004-0000-0000-00007C000000}"/>
    <hyperlink ref="D123" r:id="rId126" xr:uid="{00000000-0004-0000-0000-00007D000000}"/>
    <hyperlink ref="D124" r:id="rId127" xr:uid="{00000000-0004-0000-0000-00007E000000}"/>
    <hyperlink ref="D125" r:id="rId128" xr:uid="{00000000-0004-0000-0000-00007F000000}"/>
    <hyperlink ref="D126" r:id="rId129" xr:uid="{00000000-0004-0000-0000-000080000000}"/>
    <hyperlink ref="E126" r:id="rId130" xr:uid="{00000000-0004-0000-0000-000081000000}"/>
    <hyperlink ref="D127" r:id="rId131" xr:uid="{00000000-0004-0000-0000-000082000000}"/>
    <hyperlink ref="D128" r:id="rId132" xr:uid="{00000000-0004-0000-0000-000083000000}"/>
    <hyperlink ref="D129" r:id="rId133" location="ocr" xr:uid="{00000000-0004-0000-0000-000084000000}"/>
    <hyperlink ref="D130" r:id="rId134" xr:uid="{00000000-0004-0000-0000-000085000000}"/>
    <hyperlink ref="D131" r:id="rId135" xr:uid="{00000000-0004-0000-0000-000086000000}"/>
    <hyperlink ref="D132" r:id="rId136" xr:uid="{00000000-0004-0000-0000-000087000000}"/>
    <hyperlink ref="D133" r:id="rId137" xr:uid="{00000000-0004-0000-0000-000088000000}"/>
    <hyperlink ref="D134" r:id="rId138" xr:uid="{00000000-0004-0000-0000-000089000000}"/>
    <hyperlink ref="D135" r:id="rId139" xr:uid="{00000000-0004-0000-0000-00008A000000}"/>
    <hyperlink ref="D136" r:id="rId140" xr:uid="{00000000-0004-0000-0000-00008B000000}"/>
    <hyperlink ref="D137" r:id="rId141" xr:uid="{00000000-0004-0000-0000-00008C000000}"/>
    <hyperlink ref="D138" r:id="rId142" xr:uid="{00000000-0004-0000-0000-00008D000000}"/>
    <hyperlink ref="D139" r:id="rId143" xr:uid="{00000000-0004-0000-0000-00008E000000}"/>
    <hyperlink ref="D140" r:id="rId144" xr:uid="{00000000-0004-0000-0000-00008F000000}"/>
    <hyperlink ref="D141" r:id="rId145" xr:uid="{00000000-0004-0000-0000-000090000000}"/>
    <hyperlink ref="D142" r:id="rId146" xr:uid="{00000000-0004-0000-0000-000091000000}"/>
    <hyperlink ref="D143" r:id="rId147" xr:uid="{00000000-0004-0000-0000-000092000000}"/>
    <hyperlink ref="D144" r:id="rId148" xr:uid="{00000000-0004-0000-0000-000093000000}"/>
    <hyperlink ref="D145" r:id="rId149" xr:uid="{00000000-0004-0000-0000-000094000000}"/>
    <hyperlink ref="D146" r:id="rId150" xr:uid="{00000000-0004-0000-0000-000095000000}"/>
    <hyperlink ref="D147" r:id="rId151" xr:uid="{00000000-0004-0000-0000-000096000000}"/>
    <hyperlink ref="D148" r:id="rId152" xr:uid="{00000000-0004-0000-0000-000097000000}"/>
    <hyperlink ref="D149" r:id="rId153" xr:uid="{00000000-0004-0000-0000-000098000000}"/>
    <hyperlink ref="D150" r:id="rId154" xr:uid="{00000000-0004-0000-0000-000099000000}"/>
    <hyperlink ref="D151" r:id="rId155" xr:uid="{00000000-0004-0000-0000-00009A000000}"/>
    <hyperlink ref="D152" r:id="rId156" xr:uid="{00000000-0004-0000-0000-00009B000000}"/>
    <hyperlink ref="D153" r:id="rId157" xr:uid="{00000000-0004-0000-0000-00009C000000}"/>
    <hyperlink ref="D154" r:id="rId158" xr:uid="{00000000-0004-0000-0000-00009D000000}"/>
    <hyperlink ref="D155" r:id="rId159" xr:uid="{00000000-0004-0000-0000-00009E000000}"/>
    <hyperlink ref="D156" r:id="rId160" xr:uid="{00000000-0004-0000-0000-00009F000000}"/>
    <hyperlink ref="D157" r:id="rId161" xr:uid="{00000000-0004-0000-0000-0000A0000000}"/>
    <hyperlink ref="D158" r:id="rId162" xr:uid="{00000000-0004-0000-0000-0000A1000000}"/>
    <hyperlink ref="D159" r:id="rId163" xr:uid="{00000000-0004-0000-0000-0000A2000000}"/>
    <hyperlink ref="D160" r:id="rId164" xr:uid="{00000000-0004-0000-0000-0000A3000000}"/>
    <hyperlink ref="D161" r:id="rId165" display="https://www.xiaohongshu.com/explore/69c88c71000000001a023318?app_platform=android&amp;ignoreEngage=true&amp;app_version=9.20.0&amp;share_from_user_hidden=true&amp;xsec_source=app_share&amp;type=normal&amp;xsec_token=CBZKPaAACOIFyXB6wLfeLx2rbSTL5ai7Bf3CW9aDhrsns=&amp;author_share=1&amp;shareRedId=N0pFMjk6SkI2NzUyOTgwNjY0OTc6NTc8&amp;apptime=1774845808&amp;share_id=4f3b3bd4592b47178eec5cc4e7e1e8e5&amp;share_channel=copy_link&amp;appuid=5dc265f90000000001006013&amp;xhsshare=CopyLink" xr:uid="{00000000-0004-0000-0000-0000A4000000}"/>
    <hyperlink ref="D162" r:id="rId166" display="https://www.xiaohongshu.com/explore/69c7829a00000000230244d5?app_platform=android&amp;ignoreEngage=true&amp;app_version=9.20.0&amp;share_from_user_hidden=true&amp;xsec_source=app_share&amp;type=normal&amp;xsec_token=CBCwtZZ2dohOrf7XFciMfj1scdOINORWe1MuP6MIJ0XI8=&amp;author_share=1&amp;shareRedId=N0pFMjk6SkI2NzUyOTgwNjY0OTc6NTc8&amp;apptime=1774845901&amp;share_id=a4a14dd6bd7349be877fe658158a995b&amp;share_channel=copy_link&amp;appuid=5dc265f90000000001006013&amp;xhsshare=CopyLink" xr:uid="{00000000-0004-0000-0000-0000A5000000}"/>
    <hyperlink ref="D163" r:id="rId167" xr:uid="{00000000-0004-0000-0000-0000A6000000}"/>
    <hyperlink ref="D164" r:id="rId168" xr:uid="{00000000-0004-0000-0000-0000A7000000}"/>
    <hyperlink ref="D165" r:id="rId169" xr:uid="{00000000-0004-0000-0000-0000A8000000}"/>
    <hyperlink ref="D166" r:id="rId170" xr:uid="{00000000-0004-0000-0000-0000A9000000}"/>
    <hyperlink ref="D167" r:id="rId171" xr:uid="{00000000-0004-0000-0000-0000AA000000}"/>
    <hyperlink ref="D168" r:id="rId172" xr:uid="{00000000-0004-0000-0000-0000AB000000}"/>
    <hyperlink ref="D169" r:id="rId173" location="ocr" xr:uid="{00000000-0004-0000-0000-0000AC000000}"/>
    <hyperlink ref="D170" r:id="rId174" xr:uid="{00000000-0004-0000-0000-0000AD000000}"/>
    <hyperlink ref="D171" r:id="rId175" xr:uid="{00000000-0004-0000-0000-0000AE000000}"/>
    <hyperlink ref="D172" r:id="rId176" xr:uid="{00000000-0004-0000-0000-0000AF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395"/>
  <sheetViews>
    <sheetView workbookViewId="0">
      <pane ySplit="1" topLeftCell="A2" activePane="bottomLeft" state="frozen"/>
      <selection pane="bottomLeft"/>
    </sheetView>
  </sheetViews>
  <sheetFormatPr baseColWidth="10" defaultColWidth="14" defaultRowHeight="13"/>
  <cols>
    <col min="4" max="4" width="17" customWidth="1"/>
    <col min="6" max="7" width="19" customWidth="1"/>
    <col min="8" max="8" width="31" customWidth="1"/>
    <col min="11" max="13" width="14" customWidth="1"/>
  </cols>
  <sheetData>
    <row r="1" spans="1:20">
      <c r="A1" s="30" t="s">
        <v>0</v>
      </c>
      <c r="B1" s="30" t="s">
        <v>1</v>
      </c>
      <c r="C1" s="30" t="s">
        <v>2</v>
      </c>
      <c r="D1" s="30" t="s">
        <v>587</v>
      </c>
      <c r="E1" s="30" t="s">
        <v>3</v>
      </c>
      <c r="F1" s="30" t="s">
        <v>4</v>
      </c>
      <c r="G1" s="30" t="s">
        <v>5</v>
      </c>
      <c r="H1" s="30" t="s">
        <v>6</v>
      </c>
      <c r="I1" s="30" t="s">
        <v>7</v>
      </c>
      <c r="J1" s="30" t="s">
        <v>8</v>
      </c>
      <c r="K1" s="30" t="s">
        <v>588</v>
      </c>
      <c r="L1" s="30" t="s">
        <v>589</v>
      </c>
      <c r="M1" s="30" t="s">
        <v>590</v>
      </c>
      <c r="N1" s="30" t="s">
        <v>9</v>
      </c>
      <c r="O1" s="30" t="s">
        <v>10</v>
      </c>
      <c r="P1" s="30" t="s">
        <v>11</v>
      </c>
      <c r="Q1" s="30" t="s">
        <v>12</v>
      </c>
      <c r="R1" s="30" t="s">
        <v>13</v>
      </c>
      <c r="S1" s="30" t="s">
        <v>14</v>
      </c>
      <c r="T1" s="30" t="s">
        <v>15</v>
      </c>
    </row>
    <row r="2" spans="1:20">
      <c r="A2" s="83" t="s">
        <v>16</v>
      </c>
      <c r="B2" s="82"/>
      <c r="C2" s="82"/>
      <c r="D2" s="82"/>
      <c r="E2" s="82"/>
      <c r="F2" s="82"/>
      <c r="G2" s="82"/>
      <c r="H2" s="82"/>
      <c r="I2" s="30" t="s">
        <v>17</v>
      </c>
      <c r="J2" s="30" t="s">
        <v>17</v>
      </c>
      <c r="K2" s="30"/>
      <c r="L2" s="30"/>
      <c r="M2" s="30"/>
      <c r="N2" s="30">
        <f>SUM(N3:N195)</f>
        <v>23873</v>
      </c>
      <c r="O2" s="30">
        <f>SUM(O3:O195)</f>
        <v>23935.989999999998</v>
      </c>
      <c r="P2" s="31">
        <f>O2/N2</f>
        <v>1.0026385456373308</v>
      </c>
      <c r="Q2" s="30"/>
      <c r="R2" s="30"/>
      <c r="S2" s="30"/>
    </row>
    <row r="3" spans="1:20" ht="14">
      <c r="A3" s="32">
        <v>46114</v>
      </c>
      <c r="B3" s="32">
        <f t="shared" ref="B3:B34" si="0">A3+7</f>
        <v>46121</v>
      </c>
      <c r="C3" s="9" t="s">
        <v>18</v>
      </c>
      <c r="D3" t="s">
        <v>591</v>
      </c>
      <c r="E3" t="s">
        <v>592</v>
      </c>
      <c r="F3" t="s">
        <v>593</v>
      </c>
      <c r="G3" s="7" t="s">
        <v>594</v>
      </c>
      <c r="H3" t="s">
        <v>595</v>
      </c>
      <c r="I3" s="9">
        <v>4</v>
      </c>
      <c r="J3" s="9">
        <v>144</v>
      </c>
      <c r="K3" s="9">
        <v>137</v>
      </c>
      <c r="L3" s="9">
        <v>3</v>
      </c>
      <c r="M3" s="9">
        <v>3</v>
      </c>
      <c r="N3" s="9">
        <v>148</v>
      </c>
      <c r="O3" s="9">
        <v>236.43</v>
      </c>
      <c r="P3" s="33">
        <f>O3/N3</f>
        <v>1.5975000000000001</v>
      </c>
      <c r="Q3" s="34" t="s">
        <v>22</v>
      </c>
      <c r="R3" s="34" t="s">
        <v>48</v>
      </c>
      <c r="T3" s="9" t="str">
        <f>IF(N3="","",IF(N3&gt;=5000,"S 级",IF(N3&gt;=1000,"A 级",IF(N3&gt;=500,"B 级","C 级"))))</f>
        <v>C 级</v>
      </c>
    </row>
    <row r="4" spans="1:20" ht="16">
      <c r="A4" s="32">
        <v>46113</v>
      </c>
      <c r="B4" s="32">
        <f t="shared" si="0"/>
        <v>46120</v>
      </c>
      <c r="C4" s="9" t="s">
        <v>27</v>
      </c>
      <c r="D4" s="18" t="s">
        <v>596</v>
      </c>
      <c r="E4" s="7" t="s">
        <v>597</v>
      </c>
      <c r="F4" t="s">
        <v>598</v>
      </c>
      <c r="H4" t="s">
        <v>599</v>
      </c>
      <c r="I4" s="9">
        <v>154</v>
      </c>
      <c r="J4" s="9"/>
      <c r="K4" s="9"/>
      <c r="L4" s="9"/>
      <c r="M4" s="9"/>
      <c r="N4" s="9"/>
      <c r="O4" s="9"/>
      <c r="P4" s="9"/>
      <c r="S4" t="s">
        <v>126</v>
      </c>
    </row>
    <row r="5" spans="1:20" ht="16">
      <c r="A5" s="32">
        <v>46113</v>
      </c>
      <c r="B5" s="32">
        <f t="shared" si="0"/>
        <v>46120</v>
      </c>
      <c r="C5" s="9" t="s">
        <v>27</v>
      </c>
      <c r="D5" s="18" t="s">
        <v>600</v>
      </c>
      <c r="E5" t="s">
        <v>601</v>
      </c>
      <c r="F5" t="s">
        <v>602</v>
      </c>
      <c r="H5" t="s">
        <v>603</v>
      </c>
      <c r="I5" s="9">
        <v>59</v>
      </c>
      <c r="J5" s="9"/>
      <c r="K5" s="9"/>
      <c r="L5" s="9"/>
      <c r="M5" s="9"/>
      <c r="N5" s="9"/>
      <c r="O5" s="9"/>
      <c r="P5" s="9"/>
      <c r="S5" t="s">
        <v>126</v>
      </c>
    </row>
    <row r="6" spans="1:20" ht="16">
      <c r="A6" s="32">
        <v>46113</v>
      </c>
      <c r="B6" s="32">
        <f t="shared" si="0"/>
        <v>46120</v>
      </c>
      <c r="C6" s="9" t="s">
        <v>27</v>
      </c>
      <c r="D6" t="s">
        <v>604</v>
      </c>
      <c r="E6" t="s">
        <v>605</v>
      </c>
      <c r="F6" t="s">
        <v>606</v>
      </c>
      <c r="H6" s="18" t="s">
        <v>607</v>
      </c>
      <c r="I6" s="9">
        <v>150</v>
      </c>
      <c r="J6" s="9"/>
      <c r="K6" s="9"/>
      <c r="L6" s="9"/>
      <c r="M6" s="9"/>
      <c r="N6" s="9"/>
      <c r="O6" s="9"/>
      <c r="P6" s="9"/>
      <c r="S6" t="s">
        <v>126</v>
      </c>
    </row>
    <row r="7" spans="1:20" ht="15">
      <c r="A7" s="32">
        <v>46114</v>
      </c>
      <c r="B7" s="32">
        <f t="shared" si="0"/>
        <v>46121</v>
      </c>
      <c r="C7" s="9" t="s">
        <v>27</v>
      </c>
      <c r="D7" t="s">
        <v>608</v>
      </c>
      <c r="E7" t="s">
        <v>609</v>
      </c>
      <c r="F7" t="s">
        <v>610</v>
      </c>
      <c r="H7" t="s">
        <v>611</v>
      </c>
      <c r="I7" s="9">
        <v>1</v>
      </c>
      <c r="J7" s="9"/>
      <c r="K7" s="9"/>
      <c r="L7" s="9"/>
      <c r="M7" s="9"/>
      <c r="N7" s="9"/>
      <c r="O7" s="9"/>
      <c r="P7" s="9"/>
      <c r="S7" s="35" t="s">
        <v>30</v>
      </c>
    </row>
    <row r="8" spans="1:20" ht="15">
      <c r="A8" s="32">
        <v>46114</v>
      </c>
      <c r="B8" s="32">
        <f t="shared" si="0"/>
        <v>46121</v>
      </c>
      <c r="C8" s="9" t="s">
        <v>27</v>
      </c>
      <c r="D8" t="s">
        <v>612</v>
      </c>
      <c r="E8" t="s">
        <v>613</v>
      </c>
      <c r="F8" t="s">
        <v>614</v>
      </c>
      <c r="H8" t="s">
        <v>615</v>
      </c>
      <c r="I8" s="9">
        <v>7</v>
      </c>
      <c r="J8" s="9"/>
      <c r="K8" s="9"/>
      <c r="L8" s="9"/>
      <c r="M8" s="9"/>
      <c r="N8" s="9"/>
      <c r="O8" s="9"/>
      <c r="P8" s="9"/>
      <c r="S8" s="35" t="s">
        <v>30</v>
      </c>
    </row>
    <row r="9" spans="1:20" ht="15">
      <c r="A9" s="32">
        <v>46114</v>
      </c>
      <c r="B9" s="32">
        <f t="shared" si="0"/>
        <v>46121</v>
      </c>
      <c r="C9" s="9" t="s">
        <v>27</v>
      </c>
      <c r="D9" t="s">
        <v>616</v>
      </c>
      <c r="E9" t="s">
        <v>617</v>
      </c>
      <c r="F9" t="s">
        <v>618</v>
      </c>
      <c r="H9" t="s">
        <v>619</v>
      </c>
      <c r="I9" s="9">
        <v>18</v>
      </c>
      <c r="J9" s="9"/>
      <c r="K9" s="9"/>
      <c r="L9" s="9"/>
      <c r="M9" s="9"/>
      <c r="N9" s="9"/>
      <c r="O9" s="9"/>
      <c r="P9" s="9"/>
      <c r="S9" s="35" t="s">
        <v>30</v>
      </c>
    </row>
    <row r="10" spans="1:20" ht="15">
      <c r="A10" s="32">
        <v>46114</v>
      </c>
      <c r="B10" s="32">
        <f t="shared" si="0"/>
        <v>46121</v>
      </c>
      <c r="C10" s="9" t="s">
        <v>27</v>
      </c>
      <c r="D10" t="s">
        <v>620</v>
      </c>
      <c r="E10" t="s">
        <v>621</v>
      </c>
      <c r="F10" t="s">
        <v>622</v>
      </c>
      <c r="H10" t="s">
        <v>623</v>
      </c>
      <c r="I10" s="9">
        <v>16</v>
      </c>
      <c r="J10" s="9"/>
      <c r="K10" s="9"/>
      <c r="L10" s="9"/>
      <c r="M10" s="9"/>
      <c r="N10" s="9"/>
      <c r="O10" s="9"/>
      <c r="P10" s="9"/>
      <c r="S10" s="35" t="s">
        <v>30</v>
      </c>
    </row>
    <row r="11" spans="1:20" ht="15">
      <c r="A11" s="32">
        <v>46115</v>
      </c>
      <c r="B11" s="32">
        <f t="shared" si="0"/>
        <v>46122</v>
      </c>
      <c r="C11" s="9" t="s">
        <v>27</v>
      </c>
      <c r="D11" t="s">
        <v>624</v>
      </c>
      <c r="E11" t="s">
        <v>625</v>
      </c>
      <c r="F11" t="s">
        <v>626</v>
      </c>
      <c r="H11" t="s">
        <v>627</v>
      </c>
      <c r="I11" s="9">
        <v>215</v>
      </c>
      <c r="J11" s="9"/>
      <c r="K11" s="9"/>
      <c r="L11" s="9"/>
      <c r="M11" s="9"/>
      <c r="N11" s="9"/>
      <c r="O11" s="9"/>
      <c r="P11" s="9"/>
      <c r="S11" s="36" t="s">
        <v>30</v>
      </c>
    </row>
    <row r="12" spans="1:20" ht="15">
      <c r="A12" s="32">
        <v>46119</v>
      </c>
      <c r="B12" s="32">
        <f t="shared" si="0"/>
        <v>46126</v>
      </c>
      <c r="C12" s="9" t="s">
        <v>27</v>
      </c>
      <c r="D12" t="s">
        <v>628</v>
      </c>
      <c r="E12" t="s">
        <v>629</v>
      </c>
      <c r="F12" t="s">
        <v>630</v>
      </c>
      <c r="H12" t="s">
        <v>631</v>
      </c>
      <c r="I12" s="9">
        <v>4</v>
      </c>
      <c r="J12" s="9"/>
      <c r="K12" s="9"/>
      <c r="L12" s="9"/>
      <c r="M12" s="9"/>
      <c r="N12" s="9"/>
      <c r="O12" s="9"/>
      <c r="P12" s="9"/>
      <c r="S12" s="36" t="s">
        <v>30</v>
      </c>
    </row>
    <row r="13" spans="1:20" ht="15">
      <c r="A13" s="32">
        <v>46117</v>
      </c>
      <c r="B13" s="32">
        <f t="shared" si="0"/>
        <v>46124</v>
      </c>
      <c r="C13" s="9" t="s">
        <v>27</v>
      </c>
      <c r="D13" t="s">
        <v>632</v>
      </c>
      <c r="E13" t="s">
        <v>633</v>
      </c>
      <c r="F13" t="s">
        <v>634</v>
      </c>
      <c r="H13" t="s">
        <v>635</v>
      </c>
      <c r="I13" s="9">
        <v>103</v>
      </c>
      <c r="J13" s="9"/>
      <c r="K13" s="9"/>
      <c r="L13" s="9"/>
      <c r="M13" s="9"/>
      <c r="N13" s="9"/>
      <c r="O13" s="9"/>
      <c r="P13" s="9"/>
      <c r="S13" s="36" t="s">
        <v>30</v>
      </c>
    </row>
    <row r="14" spans="1:20" ht="15">
      <c r="A14" s="32">
        <v>46115</v>
      </c>
      <c r="B14" s="32">
        <f t="shared" si="0"/>
        <v>46122</v>
      </c>
      <c r="C14" s="9" t="s">
        <v>18</v>
      </c>
      <c r="D14" t="s">
        <v>636</v>
      </c>
      <c r="E14" t="s">
        <v>637</v>
      </c>
      <c r="F14" t="s">
        <v>638</v>
      </c>
      <c r="G14" s="7" t="s">
        <v>639</v>
      </c>
      <c r="H14" t="s">
        <v>640</v>
      </c>
      <c r="I14" s="9">
        <v>0</v>
      </c>
      <c r="J14" s="9">
        <v>116</v>
      </c>
      <c r="K14" s="9">
        <v>98</v>
      </c>
      <c r="L14" s="9">
        <v>9</v>
      </c>
      <c r="M14" s="9">
        <v>3</v>
      </c>
      <c r="N14" s="9">
        <v>103</v>
      </c>
      <c r="O14" s="9">
        <v>236.43</v>
      </c>
      <c r="P14" s="33">
        <f>O14/N14</f>
        <v>2.2954368932038838</v>
      </c>
      <c r="Q14" s="34" t="s">
        <v>22</v>
      </c>
      <c r="R14" s="34" t="s">
        <v>23</v>
      </c>
      <c r="S14" s="36"/>
      <c r="T14" s="9" t="str">
        <f>IF(N14="","",IF(N14&gt;=5000,"S 级",IF(N14&gt;=1000,"A 级",IF(N14&gt;=500,"B 级","C 级"))))</f>
        <v>C 级</v>
      </c>
    </row>
    <row r="15" spans="1:20" ht="15">
      <c r="A15" s="32">
        <v>46114</v>
      </c>
      <c r="B15" s="32">
        <f t="shared" si="0"/>
        <v>46121</v>
      </c>
      <c r="C15" s="9" t="s">
        <v>27</v>
      </c>
      <c r="D15" t="s">
        <v>641</v>
      </c>
      <c r="E15" t="s">
        <v>642</v>
      </c>
      <c r="F15" t="s">
        <v>643</v>
      </c>
      <c r="H15" t="s">
        <v>644</v>
      </c>
      <c r="I15" s="9">
        <v>61</v>
      </c>
      <c r="J15" s="9"/>
      <c r="K15" s="9"/>
      <c r="L15" s="9"/>
      <c r="M15" s="9"/>
      <c r="N15" s="9"/>
      <c r="O15" s="9"/>
      <c r="P15" s="9"/>
      <c r="S15" s="36" t="s">
        <v>30</v>
      </c>
    </row>
    <row r="16" spans="1:20" ht="15">
      <c r="A16" s="32">
        <v>46118</v>
      </c>
      <c r="B16" s="32">
        <f t="shared" si="0"/>
        <v>46125</v>
      </c>
      <c r="C16" s="9" t="s">
        <v>27</v>
      </c>
      <c r="D16" t="s">
        <v>645</v>
      </c>
      <c r="E16" t="s">
        <v>646</v>
      </c>
      <c r="F16" t="s">
        <v>647</v>
      </c>
      <c r="H16" t="s">
        <v>648</v>
      </c>
      <c r="I16" s="9">
        <v>2</v>
      </c>
      <c r="J16" s="9"/>
      <c r="K16" s="9"/>
      <c r="L16" s="9"/>
      <c r="M16" s="9"/>
      <c r="N16" s="9"/>
      <c r="O16" s="9"/>
      <c r="P16" s="9"/>
      <c r="S16" s="36" t="s">
        <v>30</v>
      </c>
    </row>
    <row r="17" spans="1:20" ht="15">
      <c r="A17" s="32">
        <v>46118</v>
      </c>
      <c r="B17" s="32">
        <f t="shared" si="0"/>
        <v>46125</v>
      </c>
      <c r="C17" s="9" t="s">
        <v>27</v>
      </c>
      <c r="D17" t="s">
        <v>649</v>
      </c>
      <c r="E17" t="s">
        <v>650</v>
      </c>
      <c r="F17" t="s">
        <v>651</v>
      </c>
      <c r="H17" t="s">
        <v>652</v>
      </c>
      <c r="I17" s="9">
        <v>11</v>
      </c>
      <c r="J17" s="9"/>
      <c r="K17" s="9"/>
      <c r="L17" s="9"/>
      <c r="M17" s="9"/>
      <c r="N17" s="9"/>
      <c r="O17" s="9"/>
      <c r="P17" s="9"/>
      <c r="S17" s="36" t="s">
        <v>30</v>
      </c>
    </row>
    <row r="18" spans="1:20" ht="15">
      <c r="A18" s="32">
        <v>46119</v>
      </c>
      <c r="B18" s="32">
        <f t="shared" si="0"/>
        <v>46126</v>
      </c>
      <c r="C18" s="9" t="s">
        <v>27</v>
      </c>
      <c r="D18" t="s">
        <v>653</v>
      </c>
      <c r="E18" t="s">
        <v>654</v>
      </c>
      <c r="F18" t="s">
        <v>655</v>
      </c>
      <c r="H18" t="s">
        <v>656</v>
      </c>
      <c r="I18" s="9">
        <v>17</v>
      </c>
      <c r="J18" s="9"/>
      <c r="K18" s="9"/>
      <c r="L18" s="9"/>
      <c r="M18" s="9"/>
      <c r="N18" s="9"/>
      <c r="O18" s="9"/>
      <c r="P18" s="9"/>
      <c r="S18" s="36" t="s">
        <v>30</v>
      </c>
    </row>
    <row r="19" spans="1:20" ht="15">
      <c r="A19" s="32">
        <v>46119</v>
      </c>
      <c r="B19" s="32">
        <f t="shared" si="0"/>
        <v>46126</v>
      </c>
      <c r="C19" s="9" t="s">
        <v>27</v>
      </c>
      <c r="D19" t="s">
        <v>657</v>
      </c>
      <c r="E19" t="s">
        <v>658</v>
      </c>
      <c r="F19" t="s">
        <v>659</v>
      </c>
      <c r="H19" t="s">
        <v>660</v>
      </c>
      <c r="I19" s="9">
        <v>139</v>
      </c>
      <c r="J19" s="9"/>
      <c r="K19" s="9"/>
      <c r="L19" s="9"/>
      <c r="M19" s="9"/>
      <c r="N19" s="9"/>
      <c r="O19" s="9"/>
      <c r="P19" s="9"/>
      <c r="S19" s="36" t="s">
        <v>30</v>
      </c>
    </row>
    <row r="20" spans="1:20">
      <c r="A20" s="32">
        <v>46121</v>
      </c>
      <c r="B20" s="32">
        <f t="shared" si="0"/>
        <v>46128</v>
      </c>
      <c r="C20" s="9" t="s">
        <v>27</v>
      </c>
      <c r="D20" t="s">
        <v>661</v>
      </c>
      <c r="E20" t="s">
        <v>662</v>
      </c>
      <c r="F20" t="s">
        <v>663</v>
      </c>
      <c r="H20" t="s">
        <v>664</v>
      </c>
      <c r="I20" s="9">
        <v>16</v>
      </c>
      <c r="J20" s="9"/>
      <c r="K20" s="9"/>
      <c r="L20" s="9"/>
      <c r="M20" s="9"/>
      <c r="N20" s="9"/>
      <c r="O20" s="9"/>
      <c r="P20" s="9"/>
      <c r="S20" t="s">
        <v>126</v>
      </c>
    </row>
    <row r="21" spans="1:20" ht="15">
      <c r="A21" s="32">
        <v>46120</v>
      </c>
      <c r="B21" s="32">
        <f t="shared" si="0"/>
        <v>46127</v>
      </c>
      <c r="C21" s="9" t="s">
        <v>27</v>
      </c>
      <c r="D21" t="s">
        <v>665</v>
      </c>
      <c r="E21" t="s">
        <v>666</v>
      </c>
      <c r="F21" t="s">
        <v>667</v>
      </c>
      <c r="H21" t="s">
        <v>668</v>
      </c>
      <c r="I21" s="9">
        <v>66</v>
      </c>
      <c r="J21" s="9"/>
      <c r="K21" s="9"/>
      <c r="L21" s="9"/>
      <c r="M21" s="9"/>
      <c r="N21" s="9"/>
      <c r="O21" s="9"/>
      <c r="P21" s="9"/>
      <c r="S21" s="36" t="s">
        <v>126</v>
      </c>
    </row>
    <row r="22" spans="1:20" ht="15">
      <c r="A22" s="32">
        <v>46120</v>
      </c>
      <c r="B22" s="32">
        <f t="shared" si="0"/>
        <v>46127</v>
      </c>
      <c r="C22" s="9" t="s">
        <v>27</v>
      </c>
      <c r="D22" t="s">
        <v>669</v>
      </c>
      <c r="E22" t="s">
        <v>670</v>
      </c>
      <c r="F22" t="s">
        <v>671</v>
      </c>
      <c r="H22" t="s">
        <v>672</v>
      </c>
      <c r="I22" s="9">
        <v>151</v>
      </c>
      <c r="J22" s="9"/>
      <c r="K22" s="9"/>
      <c r="L22" s="9"/>
      <c r="M22" s="9"/>
      <c r="N22" s="9"/>
      <c r="O22" s="9"/>
      <c r="P22" s="9"/>
      <c r="S22" s="36" t="s">
        <v>126</v>
      </c>
    </row>
    <row r="23" spans="1:20" ht="14">
      <c r="A23" s="32">
        <v>46121</v>
      </c>
      <c r="B23" s="32">
        <f t="shared" si="0"/>
        <v>46128</v>
      </c>
      <c r="C23" s="9" t="s">
        <v>18</v>
      </c>
      <c r="D23" t="s">
        <v>673</v>
      </c>
      <c r="E23" t="s">
        <v>674</v>
      </c>
      <c r="F23" t="s">
        <v>675</v>
      </c>
      <c r="G23" s="7" t="s">
        <v>676</v>
      </c>
      <c r="H23" t="s">
        <v>677</v>
      </c>
      <c r="I23" s="9">
        <v>70</v>
      </c>
      <c r="J23" s="9">
        <v>136</v>
      </c>
      <c r="K23" s="9">
        <v>134</v>
      </c>
      <c r="L23" s="9">
        <v>1</v>
      </c>
      <c r="M23" s="9">
        <v>1</v>
      </c>
      <c r="N23" s="9">
        <v>221</v>
      </c>
      <c r="O23" s="9">
        <v>210</v>
      </c>
      <c r="P23" s="33">
        <f>O23/N23</f>
        <v>0.95022624434389136</v>
      </c>
      <c r="Q23" s="34" t="s">
        <v>22</v>
      </c>
      <c r="R23" s="34" t="s">
        <v>48</v>
      </c>
      <c r="T23" s="9" t="str">
        <f>IF(N23="","",IF(N23&gt;=5000,"S 级",IF(N23&gt;=1000,"A 级",IF(N23&gt;=500,"B 级","C 级"))))</f>
        <v>C 级</v>
      </c>
    </row>
    <row r="24" spans="1:20" ht="16">
      <c r="A24" s="32">
        <v>46122</v>
      </c>
      <c r="B24" s="32">
        <f t="shared" si="0"/>
        <v>46129</v>
      </c>
      <c r="C24" s="9" t="s">
        <v>24</v>
      </c>
      <c r="D24" s="7" t="s">
        <v>678</v>
      </c>
      <c r="E24" t="s">
        <v>679</v>
      </c>
      <c r="F24" t="s">
        <v>680</v>
      </c>
      <c r="H24" s="18" t="s">
        <v>681</v>
      </c>
      <c r="I24" s="9">
        <v>1</v>
      </c>
      <c r="J24" s="9"/>
      <c r="K24" s="9"/>
      <c r="L24" s="9"/>
      <c r="M24" s="9"/>
      <c r="N24" s="9"/>
      <c r="O24" s="9"/>
      <c r="P24" s="9"/>
    </row>
    <row r="25" spans="1:20" ht="15">
      <c r="A25" s="32">
        <v>46122</v>
      </c>
      <c r="B25" s="32">
        <f t="shared" si="0"/>
        <v>46129</v>
      </c>
      <c r="C25" s="9" t="s">
        <v>27</v>
      </c>
      <c r="D25" t="s">
        <v>682</v>
      </c>
      <c r="E25" t="s">
        <v>683</v>
      </c>
      <c r="F25" t="s">
        <v>684</v>
      </c>
      <c r="H25" t="s">
        <v>685</v>
      </c>
      <c r="I25" s="9">
        <v>17</v>
      </c>
      <c r="J25" s="9"/>
      <c r="K25" s="9"/>
      <c r="L25" s="9"/>
      <c r="M25" s="9"/>
      <c r="N25" s="9"/>
      <c r="O25" s="9"/>
      <c r="P25" s="9"/>
      <c r="S25" s="36" t="s">
        <v>126</v>
      </c>
    </row>
    <row r="26" spans="1:20" ht="15">
      <c r="A26" s="32">
        <v>46123</v>
      </c>
      <c r="B26" s="32">
        <f t="shared" si="0"/>
        <v>46130</v>
      </c>
      <c r="C26" s="9" t="s">
        <v>27</v>
      </c>
      <c r="D26" t="s">
        <v>686</v>
      </c>
      <c r="E26" t="s">
        <v>687</v>
      </c>
      <c r="F26" t="s">
        <v>688</v>
      </c>
      <c r="H26" t="s">
        <v>689</v>
      </c>
      <c r="I26" s="9">
        <v>2</v>
      </c>
      <c r="J26" s="9"/>
      <c r="K26" s="9"/>
      <c r="L26" s="9"/>
      <c r="M26" s="9"/>
      <c r="N26" s="9"/>
      <c r="O26" s="9"/>
      <c r="P26" s="9"/>
      <c r="S26" s="36" t="s">
        <v>30</v>
      </c>
    </row>
    <row r="27" spans="1:20" ht="14">
      <c r="A27" s="32">
        <v>46125</v>
      </c>
      <c r="B27" s="32">
        <f t="shared" si="0"/>
        <v>46132</v>
      </c>
      <c r="C27" s="9" t="s">
        <v>18</v>
      </c>
      <c r="D27" t="s">
        <v>690</v>
      </c>
      <c r="E27" t="s">
        <v>691</v>
      </c>
      <c r="F27" t="s">
        <v>692</v>
      </c>
      <c r="G27" s="7" t="s">
        <v>693</v>
      </c>
      <c r="H27" t="s">
        <v>694</v>
      </c>
      <c r="I27" s="9">
        <v>2</v>
      </c>
      <c r="J27" s="9">
        <v>114</v>
      </c>
      <c r="K27" s="9">
        <v>108</v>
      </c>
      <c r="L27" s="9">
        <v>5</v>
      </c>
      <c r="M27" s="9">
        <v>1</v>
      </c>
      <c r="N27" s="9">
        <v>117</v>
      </c>
      <c r="O27" s="9">
        <v>201.7</v>
      </c>
      <c r="P27" s="33">
        <f>O27/N27</f>
        <v>1.7239316239316238</v>
      </c>
      <c r="Q27" s="34" t="s">
        <v>22</v>
      </c>
      <c r="R27" s="34" t="s">
        <v>151</v>
      </c>
      <c r="T27" s="9" t="str">
        <f>IF(N27="","",IF(N27&gt;=5000,"S 级",IF(N27&gt;=1000,"A 级",IF(N27&gt;=500,"B 级","C 级"))))</f>
        <v>C 级</v>
      </c>
    </row>
    <row r="28" spans="1:20">
      <c r="A28" s="32">
        <v>46123</v>
      </c>
      <c r="B28" s="32">
        <f t="shared" si="0"/>
        <v>46130</v>
      </c>
      <c r="C28" s="9" t="s">
        <v>24</v>
      </c>
      <c r="D28" t="s">
        <v>695</v>
      </c>
      <c r="E28" s="3" t="s">
        <v>696</v>
      </c>
      <c r="F28" t="s">
        <v>697</v>
      </c>
      <c r="H28" t="s">
        <v>698</v>
      </c>
      <c r="I28" s="9">
        <v>12</v>
      </c>
      <c r="J28" s="9"/>
      <c r="K28" s="9"/>
      <c r="L28" s="9"/>
      <c r="M28" s="9"/>
      <c r="N28" s="9"/>
      <c r="O28" s="9"/>
      <c r="P28" s="9"/>
    </row>
    <row r="29" spans="1:20" ht="14">
      <c r="A29" s="32">
        <v>46125</v>
      </c>
      <c r="B29" s="32">
        <f t="shared" si="0"/>
        <v>46132</v>
      </c>
      <c r="C29" s="9" t="s">
        <v>18</v>
      </c>
      <c r="D29" t="s">
        <v>699</v>
      </c>
      <c r="E29" t="s">
        <v>700</v>
      </c>
      <c r="F29" t="s">
        <v>701</v>
      </c>
      <c r="G29" s="7" t="s">
        <v>702</v>
      </c>
      <c r="H29" t="s">
        <v>703</v>
      </c>
      <c r="I29" s="9">
        <v>10</v>
      </c>
      <c r="J29" s="9">
        <v>118</v>
      </c>
      <c r="K29" s="9">
        <v>117</v>
      </c>
      <c r="L29" s="9">
        <v>1</v>
      </c>
      <c r="M29" s="9">
        <v>0</v>
      </c>
      <c r="N29" s="9">
        <v>163</v>
      </c>
      <c r="O29" s="9">
        <v>202.27</v>
      </c>
      <c r="P29" s="33">
        <f>O29/N29</f>
        <v>1.2409202453987731</v>
      </c>
      <c r="Q29" s="34" t="s">
        <v>22</v>
      </c>
      <c r="R29" s="34" t="s">
        <v>48</v>
      </c>
      <c r="T29" s="9" t="str">
        <f>IF(N29="","",IF(N29&gt;=5000,"S 级",IF(N29&gt;=1000,"A 级",IF(N29&gt;=500,"B 级","C 级"))))</f>
        <v>C 级</v>
      </c>
    </row>
    <row r="30" spans="1:20">
      <c r="A30" s="32">
        <v>46124</v>
      </c>
      <c r="B30" s="32">
        <f t="shared" si="0"/>
        <v>46131</v>
      </c>
      <c r="C30" s="9" t="s">
        <v>27</v>
      </c>
      <c r="D30" t="s">
        <v>704</v>
      </c>
      <c r="E30" t="s">
        <v>705</v>
      </c>
      <c r="F30" t="s">
        <v>706</v>
      </c>
      <c r="H30" t="s">
        <v>707</v>
      </c>
      <c r="I30" s="9">
        <v>2</v>
      </c>
      <c r="J30" s="9"/>
      <c r="K30" s="9"/>
      <c r="L30" s="9"/>
      <c r="M30" s="9"/>
      <c r="N30" s="9"/>
      <c r="O30" s="9"/>
      <c r="P30" s="9"/>
      <c r="S30" t="s">
        <v>30</v>
      </c>
    </row>
    <row r="31" spans="1:20">
      <c r="A31" s="32">
        <v>46124</v>
      </c>
      <c r="B31" s="32">
        <f t="shared" si="0"/>
        <v>46131</v>
      </c>
      <c r="C31" s="9" t="s">
        <v>27</v>
      </c>
      <c r="D31" t="s">
        <v>708</v>
      </c>
      <c r="E31" t="s">
        <v>709</v>
      </c>
      <c r="F31" t="s">
        <v>710</v>
      </c>
      <c r="H31" t="s">
        <v>711</v>
      </c>
      <c r="I31" s="9">
        <v>23</v>
      </c>
      <c r="J31" s="9"/>
      <c r="K31" s="9"/>
      <c r="L31" s="9"/>
      <c r="M31" s="9"/>
      <c r="N31" s="9"/>
      <c r="O31" s="9"/>
      <c r="P31" s="9"/>
      <c r="S31" t="s">
        <v>30</v>
      </c>
    </row>
    <row r="32" spans="1:20" ht="16">
      <c r="A32" s="32">
        <v>46122</v>
      </c>
      <c r="B32" s="32">
        <f t="shared" si="0"/>
        <v>46129</v>
      </c>
      <c r="C32" s="9" t="s">
        <v>27</v>
      </c>
      <c r="D32" s="18" t="s">
        <v>682</v>
      </c>
      <c r="E32" t="s">
        <v>712</v>
      </c>
      <c r="F32" t="s">
        <v>684</v>
      </c>
      <c r="H32" t="s">
        <v>685</v>
      </c>
      <c r="I32" s="9">
        <v>98</v>
      </c>
      <c r="J32" s="9"/>
      <c r="K32" s="9"/>
      <c r="L32" s="9"/>
      <c r="M32" s="9"/>
      <c r="N32" s="9"/>
      <c r="O32" s="9"/>
      <c r="P32" s="9"/>
      <c r="S32" s="36" t="s">
        <v>126</v>
      </c>
    </row>
    <row r="33" spans="1:20" ht="14">
      <c r="A33" s="32">
        <v>46123</v>
      </c>
      <c r="B33" s="32">
        <f t="shared" si="0"/>
        <v>46130</v>
      </c>
      <c r="C33" s="9" t="s">
        <v>18</v>
      </c>
      <c r="D33" t="s">
        <v>713</v>
      </c>
      <c r="E33" t="s">
        <v>714</v>
      </c>
      <c r="F33" t="s">
        <v>715</v>
      </c>
      <c r="G33" s="7" t="s">
        <v>716</v>
      </c>
      <c r="H33" t="s">
        <v>717</v>
      </c>
      <c r="I33" s="9">
        <v>249</v>
      </c>
      <c r="J33" s="9">
        <v>77</v>
      </c>
      <c r="K33" s="9">
        <v>31</v>
      </c>
      <c r="L33" s="9">
        <v>37</v>
      </c>
      <c r="M33" s="9">
        <v>1</v>
      </c>
      <c r="N33" s="9">
        <v>336</v>
      </c>
      <c r="O33" s="9">
        <v>162.74</v>
      </c>
      <c r="P33" s="33">
        <f>O33/N33</f>
        <v>0.48434523809523811</v>
      </c>
      <c r="Q33" s="34" t="s">
        <v>22</v>
      </c>
      <c r="R33" s="34" t="s">
        <v>718</v>
      </c>
      <c r="T33" s="9" t="str">
        <f>IF(N33="","",IF(N33&gt;=5000,"S 级",IF(N33&gt;=1000,"A 级",IF(N33&gt;=500,"B 级","C 级"))))</f>
        <v>C 级</v>
      </c>
    </row>
    <row r="34" spans="1:20" ht="15">
      <c r="A34" s="32">
        <v>46126</v>
      </c>
      <c r="B34" s="32">
        <f t="shared" si="0"/>
        <v>46133</v>
      </c>
      <c r="C34" s="9" t="s">
        <v>318</v>
      </c>
      <c r="D34" t="s">
        <v>719</v>
      </c>
      <c r="E34" t="s">
        <v>720</v>
      </c>
      <c r="F34" t="s">
        <v>721</v>
      </c>
      <c r="H34" t="s">
        <v>722</v>
      </c>
      <c r="I34" s="9">
        <v>5</v>
      </c>
      <c r="J34" s="9"/>
      <c r="K34" s="9"/>
      <c r="L34" s="9"/>
      <c r="M34" s="9"/>
      <c r="N34" s="9"/>
      <c r="O34" s="9"/>
      <c r="P34" s="9"/>
      <c r="S34" s="36" t="s">
        <v>723</v>
      </c>
    </row>
    <row r="35" spans="1:20" ht="15">
      <c r="A35" s="32">
        <v>46125</v>
      </c>
      <c r="B35" s="32">
        <f t="shared" ref="B35:B66" si="1">A35+7</f>
        <v>46132</v>
      </c>
      <c r="C35" s="9" t="s">
        <v>27</v>
      </c>
      <c r="D35" t="s">
        <v>724</v>
      </c>
      <c r="E35" t="s">
        <v>725</v>
      </c>
      <c r="F35" t="s">
        <v>726</v>
      </c>
      <c r="H35" t="s">
        <v>727</v>
      </c>
      <c r="I35" s="9">
        <v>3977</v>
      </c>
      <c r="J35" s="9"/>
      <c r="K35" s="9"/>
      <c r="L35" s="9"/>
      <c r="M35" s="9"/>
      <c r="N35" s="9"/>
      <c r="O35" s="9"/>
      <c r="P35" s="9"/>
      <c r="S35" s="36" t="s">
        <v>30</v>
      </c>
    </row>
    <row r="36" spans="1:20" ht="15">
      <c r="A36" s="32">
        <v>46126</v>
      </c>
      <c r="B36" s="32">
        <f t="shared" si="1"/>
        <v>46133</v>
      </c>
      <c r="C36" s="9" t="s">
        <v>27</v>
      </c>
      <c r="D36" t="s">
        <v>728</v>
      </c>
      <c r="E36" t="s">
        <v>729</v>
      </c>
      <c r="F36" t="s">
        <v>730</v>
      </c>
      <c r="H36" t="s">
        <v>731</v>
      </c>
      <c r="I36" s="9">
        <v>25</v>
      </c>
      <c r="J36" s="9"/>
      <c r="K36" s="9"/>
      <c r="L36" s="9"/>
      <c r="M36" s="9"/>
      <c r="N36" s="9"/>
      <c r="O36" s="9"/>
      <c r="P36" s="9"/>
      <c r="S36" s="36" t="s">
        <v>30</v>
      </c>
    </row>
    <row r="37" spans="1:20" ht="15">
      <c r="A37" s="32">
        <v>46125</v>
      </c>
      <c r="B37" s="32">
        <f t="shared" si="1"/>
        <v>46132</v>
      </c>
      <c r="C37" s="9" t="s">
        <v>27</v>
      </c>
      <c r="D37" t="s">
        <v>732</v>
      </c>
      <c r="E37" t="s">
        <v>733</v>
      </c>
      <c r="F37" t="s">
        <v>734</v>
      </c>
      <c r="H37" t="s">
        <v>735</v>
      </c>
      <c r="I37" s="9">
        <v>1</v>
      </c>
      <c r="J37" s="9"/>
      <c r="K37" s="9"/>
      <c r="L37" s="9"/>
      <c r="M37" s="9"/>
      <c r="N37" s="9"/>
      <c r="O37" s="9"/>
      <c r="P37" s="9"/>
      <c r="S37" s="36" t="s">
        <v>30</v>
      </c>
    </row>
    <row r="38" spans="1:20" ht="15">
      <c r="A38" s="32">
        <v>46125</v>
      </c>
      <c r="B38" s="32">
        <f t="shared" si="1"/>
        <v>46132</v>
      </c>
      <c r="C38" s="9" t="s">
        <v>318</v>
      </c>
      <c r="D38" t="s">
        <v>736</v>
      </c>
      <c r="E38" t="s">
        <v>737</v>
      </c>
      <c r="F38" t="s">
        <v>738</v>
      </c>
      <c r="G38" s="7" t="s">
        <v>739</v>
      </c>
      <c r="H38" s="7" t="s">
        <v>740</v>
      </c>
      <c r="I38" s="9">
        <v>2</v>
      </c>
      <c r="J38" s="9">
        <v>76</v>
      </c>
      <c r="K38" s="9">
        <v>72</v>
      </c>
      <c r="L38" s="9">
        <v>2</v>
      </c>
      <c r="M38" s="9">
        <v>2</v>
      </c>
      <c r="N38" s="9">
        <v>76</v>
      </c>
      <c r="O38" s="37">
        <v>133.21</v>
      </c>
      <c r="P38" s="33">
        <f>O38/N38</f>
        <v>1.7527631578947369</v>
      </c>
      <c r="S38" s="36" t="s">
        <v>165</v>
      </c>
    </row>
    <row r="39" spans="1:20" ht="15">
      <c r="A39" s="32">
        <v>46125</v>
      </c>
      <c r="B39" s="32">
        <f t="shared" si="1"/>
        <v>46132</v>
      </c>
      <c r="C39" s="9" t="s">
        <v>27</v>
      </c>
      <c r="D39" t="s">
        <v>741</v>
      </c>
      <c r="E39" t="s">
        <v>742</v>
      </c>
      <c r="F39" t="s">
        <v>743</v>
      </c>
      <c r="H39" t="s">
        <v>744</v>
      </c>
      <c r="I39" s="9">
        <v>3</v>
      </c>
      <c r="J39" s="9"/>
      <c r="K39" s="9"/>
      <c r="L39" s="9"/>
      <c r="M39" s="9"/>
      <c r="N39" s="9"/>
      <c r="O39" s="9"/>
      <c r="P39" s="9"/>
      <c r="S39" s="36" t="s">
        <v>30</v>
      </c>
    </row>
    <row r="40" spans="1:20" ht="16">
      <c r="A40" s="32">
        <v>46125</v>
      </c>
      <c r="B40" s="32">
        <f t="shared" si="1"/>
        <v>46132</v>
      </c>
      <c r="C40" s="9" t="s">
        <v>27</v>
      </c>
      <c r="D40" s="18" t="s">
        <v>699</v>
      </c>
      <c r="E40" t="s">
        <v>745</v>
      </c>
      <c r="F40" t="s">
        <v>701</v>
      </c>
      <c r="H40" t="s">
        <v>703</v>
      </c>
      <c r="I40" s="9">
        <v>166</v>
      </c>
      <c r="J40" s="9"/>
      <c r="K40" s="9"/>
      <c r="L40" s="9"/>
      <c r="M40" s="9"/>
      <c r="N40" s="9"/>
      <c r="O40" s="9"/>
      <c r="P40" s="9"/>
      <c r="S40" s="36" t="s">
        <v>30</v>
      </c>
    </row>
    <row r="41" spans="1:20">
      <c r="A41" s="32">
        <v>46126</v>
      </c>
      <c r="B41" s="32">
        <f t="shared" si="1"/>
        <v>46133</v>
      </c>
      <c r="C41" s="9" t="s">
        <v>27</v>
      </c>
      <c r="D41" t="s">
        <v>746</v>
      </c>
      <c r="E41" t="s">
        <v>747</v>
      </c>
      <c r="F41" t="s">
        <v>748</v>
      </c>
      <c r="H41" t="s">
        <v>749</v>
      </c>
      <c r="I41" s="9">
        <v>37</v>
      </c>
      <c r="J41" s="9"/>
      <c r="K41" s="9"/>
      <c r="L41" s="9"/>
      <c r="M41" s="9"/>
      <c r="N41" s="9"/>
      <c r="O41" s="9"/>
      <c r="P41" s="9"/>
      <c r="S41" s="7" t="s">
        <v>126</v>
      </c>
    </row>
    <row r="42" spans="1:20">
      <c r="A42" s="32">
        <v>46125</v>
      </c>
      <c r="B42" s="32">
        <f t="shared" si="1"/>
        <v>46132</v>
      </c>
      <c r="C42" s="9" t="s">
        <v>27</v>
      </c>
      <c r="D42" t="s">
        <v>750</v>
      </c>
      <c r="E42" t="s">
        <v>751</v>
      </c>
      <c r="F42" t="s">
        <v>752</v>
      </c>
      <c r="H42" t="s">
        <v>753</v>
      </c>
      <c r="I42" s="9">
        <v>5648</v>
      </c>
      <c r="J42" s="9"/>
      <c r="K42" s="9"/>
      <c r="L42" s="9"/>
      <c r="M42" s="9"/>
      <c r="N42" s="9"/>
      <c r="O42" s="9"/>
      <c r="P42" s="9"/>
      <c r="S42" s="7" t="s">
        <v>126</v>
      </c>
    </row>
    <row r="43" spans="1:20">
      <c r="A43" s="32">
        <v>46125</v>
      </c>
      <c r="B43" s="32">
        <f t="shared" si="1"/>
        <v>46132</v>
      </c>
      <c r="C43" s="9" t="s">
        <v>27</v>
      </c>
      <c r="D43" t="s">
        <v>754</v>
      </c>
      <c r="E43" t="s">
        <v>755</v>
      </c>
      <c r="F43" t="s">
        <v>756</v>
      </c>
      <c r="H43" t="s">
        <v>757</v>
      </c>
      <c r="I43" s="9">
        <v>591</v>
      </c>
      <c r="J43" s="9"/>
      <c r="K43" s="9"/>
      <c r="L43" s="9"/>
      <c r="M43" s="9"/>
      <c r="N43" s="9"/>
      <c r="O43" s="9"/>
      <c r="P43" s="9"/>
      <c r="S43" s="7" t="s">
        <v>126</v>
      </c>
    </row>
    <row r="44" spans="1:20">
      <c r="A44" s="32">
        <v>46126</v>
      </c>
      <c r="B44" s="32">
        <f t="shared" si="1"/>
        <v>46133</v>
      </c>
      <c r="C44" s="9" t="s">
        <v>27</v>
      </c>
      <c r="D44" t="s">
        <v>758</v>
      </c>
      <c r="E44" t="s">
        <v>759</v>
      </c>
      <c r="F44" t="s">
        <v>760</v>
      </c>
      <c r="H44" t="s">
        <v>761</v>
      </c>
      <c r="I44" s="9">
        <v>9</v>
      </c>
      <c r="J44" s="9"/>
      <c r="K44" s="9"/>
      <c r="L44" s="9"/>
      <c r="M44" s="9"/>
      <c r="N44" s="9"/>
      <c r="O44" s="9"/>
      <c r="P44" s="9"/>
      <c r="S44" t="s">
        <v>30</v>
      </c>
    </row>
    <row r="45" spans="1:20">
      <c r="A45" s="32">
        <v>46127</v>
      </c>
      <c r="B45" s="32">
        <f t="shared" si="1"/>
        <v>46134</v>
      </c>
      <c r="C45" s="9" t="s">
        <v>27</v>
      </c>
      <c r="D45" t="s">
        <v>762</v>
      </c>
      <c r="E45" t="s">
        <v>763</v>
      </c>
      <c r="F45" t="s">
        <v>764</v>
      </c>
      <c r="H45" t="s">
        <v>765</v>
      </c>
      <c r="I45" s="9">
        <v>180</v>
      </c>
      <c r="J45" s="9"/>
      <c r="K45" s="9"/>
      <c r="L45" s="9"/>
      <c r="M45" s="9"/>
      <c r="N45" s="9"/>
      <c r="O45" s="9"/>
      <c r="P45" s="9"/>
      <c r="S45" t="s">
        <v>30</v>
      </c>
    </row>
    <row r="46" spans="1:20">
      <c r="A46" s="32">
        <v>46126</v>
      </c>
      <c r="B46" s="32">
        <f t="shared" si="1"/>
        <v>46133</v>
      </c>
      <c r="C46" s="9" t="s">
        <v>27</v>
      </c>
      <c r="D46" t="s">
        <v>766</v>
      </c>
      <c r="E46" t="s">
        <v>767</v>
      </c>
      <c r="F46" t="s">
        <v>768</v>
      </c>
      <c r="H46" t="s">
        <v>769</v>
      </c>
      <c r="I46" s="9">
        <v>21</v>
      </c>
      <c r="J46" s="9"/>
      <c r="K46" s="9"/>
      <c r="L46" s="9"/>
      <c r="M46" s="9"/>
      <c r="N46" s="9"/>
      <c r="O46" s="9"/>
      <c r="P46" s="9"/>
      <c r="S46" t="s">
        <v>30</v>
      </c>
    </row>
    <row r="47" spans="1:20">
      <c r="A47" s="32">
        <v>46126</v>
      </c>
      <c r="B47" s="32">
        <f t="shared" si="1"/>
        <v>46133</v>
      </c>
      <c r="C47" s="9" t="s">
        <v>27</v>
      </c>
      <c r="D47" t="s">
        <v>770</v>
      </c>
      <c r="E47" t="s">
        <v>771</v>
      </c>
      <c r="F47" t="s">
        <v>772</v>
      </c>
      <c r="H47" t="s">
        <v>773</v>
      </c>
      <c r="I47" s="9">
        <v>77</v>
      </c>
      <c r="J47" s="9"/>
      <c r="K47" s="9"/>
      <c r="L47" s="9"/>
      <c r="M47" s="9"/>
      <c r="N47" s="9"/>
      <c r="O47" s="9"/>
      <c r="P47" s="9"/>
      <c r="S47" t="s">
        <v>30</v>
      </c>
    </row>
    <row r="48" spans="1:20">
      <c r="A48" s="32">
        <v>46126</v>
      </c>
      <c r="B48" s="32">
        <f t="shared" si="1"/>
        <v>46133</v>
      </c>
      <c r="C48" s="9" t="s">
        <v>27</v>
      </c>
      <c r="D48" t="s">
        <v>774</v>
      </c>
      <c r="E48" t="s">
        <v>775</v>
      </c>
      <c r="F48" t="s">
        <v>776</v>
      </c>
      <c r="H48" t="s">
        <v>777</v>
      </c>
      <c r="I48" s="9">
        <v>5</v>
      </c>
      <c r="J48" s="9"/>
      <c r="K48" s="9"/>
      <c r="L48" s="9"/>
      <c r="M48" s="9"/>
      <c r="N48" s="9"/>
      <c r="O48" s="9"/>
      <c r="P48" s="9"/>
      <c r="S48" t="s">
        <v>30</v>
      </c>
    </row>
    <row r="49" spans="1:20">
      <c r="A49" s="32">
        <v>46127</v>
      </c>
      <c r="B49" s="32">
        <f t="shared" si="1"/>
        <v>46134</v>
      </c>
      <c r="C49" s="9" t="s">
        <v>27</v>
      </c>
      <c r="D49" t="s">
        <v>778</v>
      </c>
      <c r="E49" t="s">
        <v>779</v>
      </c>
      <c r="F49" t="s">
        <v>780</v>
      </c>
      <c r="H49" t="s">
        <v>781</v>
      </c>
      <c r="I49" s="9">
        <v>19</v>
      </c>
      <c r="J49" s="9"/>
      <c r="K49" s="9"/>
      <c r="L49" s="9"/>
      <c r="M49" s="9"/>
      <c r="N49" s="9"/>
      <c r="O49" s="9"/>
      <c r="P49" s="9"/>
      <c r="S49" s="7" t="s">
        <v>782</v>
      </c>
    </row>
    <row r="50" spans="1:20">
      <c r="A50" s="32">
        <v>46128</v>
      </c>
      <c r="B50" s="32">
        <f t="shared" si="1"/>
        <v>46135</v>
      </c>
      <c r="C50" s="9" t="s">
        <v>27</v>
      </c>
      <c r="D50" t="s">
        <v>783</v>
      </c>
      <c r="E50" t="s">
        <v>784</v>
      </c>
      <c r="F50" t="s">
        <v>785</v>
      </c>
      <c r="H50" t="s">
        <v>786</v>
      </c>
      <c r="I50" s="9">
        <v>6</v>
      </c>
      <c r="J50" s="9"/>
      <c r="K50" s="9"/>
      <c r="L50" s="9"/>
      <c r="M50" s="9"/>
      <c r="N50" s="9"/>
      <c r="O50" s="9"/>
      <c r="P50" s="9"/>
      <c r="S50" s="7" t="s">
        <v>782</v>
      </c>
    </row>
    <row r="51" spans="1:20">
      <c r="A51" s="32">
        <v>46127</v>
      </c>
      <c r="B51" s="32">
        <f t="shared" si="1"/>
        <v>46134</v>
      </c>
      <c r="C51" s="9" t="s">
        <v>24</v>
      </c>
      <c r="D51" t="s">
        <v>787</v>
      </c>
      <c r="E51" t="s">
        <v>788</v>
      </c>
      <c r="F51" t="s">
        <v>789</v>
      </c>
      <c r="H51" t="s">
        <v>790</v>
      </c>
      <c r="I51" s="9">
        <v>172</v>
      </c>
      <c r="J51" s="9"/>
      <c r="K51" s="9"/>
      <c r="L51" s="9"/>
      <c r="M51" s="9"/>
      <c r="N51" s="9"/>
      <c r="O51" s="9"/>
      <c r="P51" s="9"/>
    </row>
    <row r="52" spans="1:20">
      <c r="A52" s="32">
        <v>46127</v>
      </c>
      <c r="B52" s="32">
        <f t="shared" si="1"/>
        <v>46134</v>
      </c>
      <c r="C52" s="9" t="s">
        <v>27</v>
      </c>
      <c r="D52" t="s">
        <v>791</v>
      </c>
      <c r="E52" t="s">
        <v>792</v>
      </c>
      <c r="F52" t="s">
        <v>793</v>
      </c>
      <c r="H52" t="s">
        <v>794</v>
      </c>
      <c r="I52" s="9">
        <v>3322</v>
      </c>
      <c r="J52" s="9"/>
      <c r="K52" s="9"/>
      <c r="L52" s="9"/>
      <c r="M52" s="9"/>
      <c r="N52" s="9"/>
      <c r="O52" s="9"/>
      <c r="P52" s="9"/>
      <c r="S52" t="s">
        <v>126</v>
      </c>
    </row>
    <row r="53" spans="1:20" ht="14">
      <c r="A53" s="32">
        <v>46129</v>
      </c>
      <c r="B53" s="32">
        <f t="shared" si="1"/>
        <v>46136</v>
      </c>
      <c r="C53" s="9" t="s">
        <v>18</v>
      </c>
      <c r="D53" t="s">
        <v>795</v>
      </c>
      <c r="E53" t="s">
        <v>796</v>
      </c>
      <c r="F53" t="s">
        <v>797</v>
      </c>
      <c r="G53" s="7" t="s">
        <v>798</v>
      </c>
      <c r="H53" t="s">
        <v>799</v>
      </c>
      <c r="I53" s="9">
        <v>9</v>
      </c>
      <c r="J53" s="9">
        <v>118</v>
      </c>
      <c r="K53" s="9">
        <v>111</v>
      </c>
      <c r="L53" s="9">
        <v>4</v>
      </c>
      <c r="M53" s="9">
        <v>2</v>
      </c>
      <c r="N53" s="9">
        <v>135</v>
      </c>
      <c r="O53" s="9">
        <v>205.57</v>
      </c>
      <c r="P53" s="33">
        <f>O53/N53</f>
        <v>1.5227407407407407</v>
      </c>
      <c r="Q53" s="38" t="s">
        <v>290</v>
      </c>
      <c r="R53" s="38" t="s">
        <v>800</v>
      </c>
      <c r="T53" s="9" t="str">
        <f>IF(N53="","",IF(N53&gt;=5000,"S 级",IF(N53&gt;=1000,"A 级",IF(N53&gt;=500,"B 级","C 级"))))</f>
        <v>C 级</v>
      </c>
    </row>
    <row r="54" spans="1:20">
      <c r="A54" s="32">
        <v>46129</v>
      </c>
      <c r="B54" s="32">
        <f t="shared" si="1"/>
        <v>46136</v>
      </c>
      <c r="C54" s="9" t="s">
        <v>27</v>
      </c>
      <c r="D54" t="s">
        <v>801</v>
      </c>
      <c r="E54" t="s">
        <v>802</v>
      </c>
      <c r="F54" t="s">
        <v>803</v>
      </c>
      <c r="H54" t="s">
        <v>804</v>
      </c>
      <c r="I54" s="9">
        <v>33</v>
      </c>
      <c r="J54" s="9"/>
      <c r="K54" s="9"/>
      <c r="L54" s="9"/>
      <c r="M54" s="9"/>
      <c r="N54" s="9"/>
      <c r="O54" s="9"/>
      <c r="P54" s="9"/>
      <c r="S54" t="s">
        <v>805</v>
      </c>
    </row>
    <row r="55" spans="1:20">
      <c r="A55" s="32">
        <v>46129</v>
      </c>
      <c r="B55" s="32">
        <f t="shared" si="1"/>
        <v>46136</v>
      </c>
      <c r="C55" s="9" t="s">
        <v>27</v>
      </c>
      <c r="D55" t="s">
        <v>806</v>
      </c>
      <c r="E55" t="s">
        <v>807</v>
      </c>
      <c r="F55" t="s">
        <v>808</v>
      </c>
      <c r="H55" t="s">
        <v>809</v>
      </c>
      <c r="I55" s="9">
        <v>34</v>
      </c>
      <c r="J55" s="9"/>
      <c r="K55" s="9"/>
      <c r="L55" s="9"/>
      <c r="M55" s="9"/>
      <c r="N55" s="9"/>
      <c r="O55" s="9"/>
      <c r="P55" s="9"/>
      <c r="S55" t="s">
        <v>805</v>
      </c>
    </row>
    <row r="56" spans="1:20" ht="14">
      <c r="A56" s="32">
        <v>46130</v>
      </c>
      <c r="B56" s="32">
        <f t="shared" si="1"/>
        <v>46137</v>
      </c>
      <c r="C56" s="9" t="s">
        <v>18</v>
      </c>
      <c r="D56" t="s">
        <v>810</v>
      </c>
      <c r="E56" t="s">
        <v>811</v>
      </c>
      <c r="F56" t="s">
        <v>812</v>
      </c>
      <c r="G56" s="7" t="s">
        <v>813</v>
      </c>
      <c r="H56" t="s">
        <v>814</v>
      </c>
      <c r="I56" s="9">
        <v>136</v>
      </c>
      <c r="J56" s="9">
        <v>29</v>
      </c>
      <c r="K56" s="9">
        <v>21</v>
      </c>
      <c r="L56" s="9">
        <v>3</v>
      </c>
      <c r="M56" s="9">
        <v>1</v>
      </c>
      <c r="N56" s="9">
        <v>183</v>
      </c>
      <c r="O56" s="39">
        <v>74.010000000000005</v>
      </c>
      <c r="P56" s="33">
        <f>O56/N56</f>
        <v>0.40442622950819673</v>
      </c>
      <c r="Q56" s="34" t="s">
        <v>22</v>
      </c>
      <c r="R56" s="34" t="s">
        <v>44</v>
      </c>
      <c r="T56" s="9" t="str">
        <f>IF(N56="","",IF(N56&gt;=5000,"S 级",IF(N56&gt;=1000,"A 级",IF(N56&gt;=500,"B 级","C 级"))))</f>
        <v>C 级</v>
      </c>
    </row>
    <row r="57" spans="1:20" ht="14">
      <c r="A57" s="32">
        <v>46130</v>
      </c>
      <c r="B57" s="32">
        <f t="shared" si="1"/>
        <v>46137</v>
      </c>
      <c r="C57" s="9" t="s">
        <v>18</v>
      </c>
      <c r="D57" t="s">
        <v>815</v>
      </c>
      <c r="E57" t="s">
        <v>816</v>
      </c>
      <c r="F57" t="s">
        <v>817</v>
      </c>
      <c r="G57" s="7" t="s">
        <v>818</v>
      </c>
      <c r="H57" t="s">
        <v>819</v>
      </c>
      <c r="I57" s="9">
        <v>5</v>
      </c>
      <c r="J57" s="9">
        <v>70</v>
      </c>
      <c r="K57" s="9">
        <v>52</v>
      </c>
      <c r="L57" s="9">
        <v>12</v>
      </c>
      <c r="M57" s="9">
        <v>0</v>
      </c>
      <c r="N57" s="9">
        <v>67</v>
      </c>
      <c r="O57" s="40">
        <v>138.46</v>
      </c>
      <c r="P57" s="33">
        <f>O57/N57</f>
        <v>2.0665671641791046</v>
      </c>
      <c r="Q57" s="34" t="s">
        <v>22</v>
      </c>
      <c r="R57" s="34" t="s">
        <v>44</v>
      </c>
      <c r="T57" s="9" t="str">
        <f>IF(N57="","",IF(N57&gt;=5000,"S 级",IF(N57&gt;=1000,"A 级",IF(N57&gt;=500,"B 级","C 级"))))</f>
        <v>C 级</v>
      </c>
    </row>
    <row r="58" spans="1:20" ht="16">
      <c r="A58" s="32">
        <v>46132</v>
      </c>
      <c r="B58" s="32">
        <f t="shared" si="1"/>
        <v>46139</v>
      </c>
      <c r="C58" s="9" t="s">
        <v>18</v>
      </c>
      <c r="D58" s="18" t="s">
        <v>820</v>
      </c>
      <c r="E58" t="s">
        <v>821</v>
      </c>
      <c r="F58" t="s">
        <v>822</v>
      </c>
      <c r="G58" s="7" t="s">
        <v>823</v>
      </c>
      <c r="H58" t="s">
        <v>824</v>
      </c>
      <c r="I58" s="9">
        <v>0</v>
      </c>
      <c r="J58" s="9">
        <v>12</v>
      </c>
      <c r="K58" s="9">
        <v>12</v>
      </c>
      <c r="L58" s="9">
        <v>0</v>
      </c>
      <c r="M58" s="9">
        <v>0</v>
      </c>
      <c r="N58" s="9">
        <v>15</v>
      </c>
      <c r="O58" s="9">
        <v>10.89</v>
      </c>
      <c r="P58" s="33">
        <f>O58/N58</f>
        <v>0.72600000000000009</v>
      </c>
      <c r="Q58" s="34" t="s">
        <v>22</v>
      </c>
      <c r="R58" s="34" t="s">
        <v>23</v>
      </c>
      <c r="T58" s="9" t="str">
        <f>IF(N58="","",IF(N58&gt;=5000,"S 级",IF(N58&gt;=1000,"A 级",IF(N58&gt;=500,"B 级","C 级"))))</f>
        <v>C 级</v>
      </c>
    </row>
    <row r="59" spans="1:20">
      <c r="A59" s="32">
        <v>46132</v>
      </c>
      <c r="B59" s="32">
        <f t="shared" si="1"/>
        <v>46139</v>
      </c>
      <c r="C59" s="9" t="s">
        <v>27</v>
      </c>
      <c r="D59" t="s">
        <v>825</v>
      </c>
      <c r="E59" t="s">
        <v>826</v>
      </c>
      <c r="F59" t="s">
        <v>827</v>
      </c>
      <c r="H59" t="s">
        <v>828</v>
      </c>
      <c r="I59" s="9">
        <v>41</v>
      </c>
      <c r="J59" s="9"/>
      <c r="K59" s="9"/>
      <c r="L59" s="9"/>
      <c r="M59" s="9"/>
      <c r="N59" s="9"/>
      <c r="O59" s="9"/>
      <c r="P59" s="9"/>
      <c r="S59" s="7" t="s">
        <v>829</v>
      </c>
    </row>
    <row r="60" spans="1:20">
      <c r="A60" s="32">
        <v>46131</v>
      </c>
      <c r="B60" s="32">
        <f t="shared" si="1"/>
        <v>46138</v>
      </c>
      <c r="C60" s="9" t="s">
        <v>24</v>
      </c>
      <c r="D60" t="s">
        <v>830</v>
      </c>
      <c r="E60" t="s">
        <v>831</v>
      </c>
      <c r="F60" t="s">
        <v>832</v>
      </c>
      <c r="H60" t="s">
        <v>833</v>
      </c>
      <c r="I60" s="9">
        <v>2</v>
      </c>
      <c r="J60" s="9"/>
      <c r="K60" s="9"/>
      <c r="L60" s="9"/>
      <c r="M60" s="9"/>
      <c r="N60" s="9"/>
      <c r="O60" s="9"/>
      <c r="P60" s="9"/>
    </row>
    <row r="61" spans="1:20">
      <c r="A61" s="32">
        <v>46131</v>
      </c>
      <c r="B61" s="32">
        <f t="shared" si="1"/>
        <v>46138</v>
      </c>
      <c r="C61" s="9" t="s">
        <v>27</v>
      </c>
      <c r="D61" s="7" t="s">
        <v>834</v>
      </c>
      <c r="E61" t="s">
        <v>835</v>
      </c>
      <c r="F61" t="s">
        <v>836</v>
      </c>
      <c r="H61" t="s">
        <v>837</v>
      </c>
      <c r="I61" s="9">
        <v>18368</v>
      </c>
      <c r="J61" s="9"/>
      <c r="K61" s="9"/>
      <c r="L61" s="9"/>
      <c r="M61" s="9"/>
      <c r="N61" s="9"/>
      <c r="O61" s="9"/>
      <c r="P61" s="9"/>
    </row>
    <row r="62" spans="1:20">
      <c r="A62" s="32">
        <v>46132</v>
      </c>
      <c r="B62" s="32">
        <f t="shared" si="1"/>
        <v>46139</v>
      </c>
      <c r="C62" s="9" t="s">
        <v>24</v>
      </c>
      <c r="D62" t="s">
        <v>838</v>
      </c>
      <c r="E62" t="s">
        <v>839</v>
      </c>
      <c r="F62" t="s">
        <v>840</v>
      </c>
      <c r="H62" t="s">
        <v>841</v>
      </c>
      <c r="I62" s="9">
        <v>4</v>
      </c>
      <c r="J62" s="9"/>
      <c r="K62" s="9"/>
      <c r="L62" s="9"/>
      <c r="M62" s="9"/>
      <c r="N62" s="9"/>
      <c r="O62" s="9"/>
      <c r="P62" s="9"/>
    </row>
    <row r="63" spans="1:20">
      <c r="A63" s="32">
        <v>46133</v>
      </c>
      <c r="B63" s="32">
        <f t="shared" si="1"/>
        <v>46140</v>
      </c>
      <c r="C63" s="9" t="s">
        <v>24</v>
      </c>
      <c r="D63" t="s">
        <v>842</v>
      </c>
      <c r="E63" t="s">
        <v>843</v>
      </c>
      <c r="F63" t="s">
        <v>844</v>
      </c>
      <c r="H63" t="s">
        <v>845</v>
      </c>
      <c r="I63" s="9">
        <v>1</v>
      </c>
      <c r="J63" s="9"/>
      <c r="K63" s="9"/>
      <c r="L63" s="9"/>
      <c r="M63" s="9"/>
      <c r="N63" s="9"/>
      <c r="O63" s="9"/>
      <c r="P63" s="9"/>
    </row>
    <row r="64" spans="1:20">
      <c r="A64" s="32">
        <v>46133</v>
      </c>
      <c r="B64" s="32">
        <f t="shared" si="1"/>
        <v>46140</v>
      </c>
      <c r="C64" s="9" t="s">
        <v>27</v>
      </c>
      <c r="D64" t="s">
        <v>728</v>
      </c>
      <c r="E64" t="s">
        <v>846</v>
      </c>
      <c r="F64" t="s">
        <v>847</v>
      </c>
      <c r="H64" t="s">
        <v>848</v>
      </c>
      <c r="I64" s="9">
        <v>10</v>
      </c>
      <c r="J64" s="9"/>
      <c r="K64" s="9"/>
      <c r="L64" s="9"/>
      <c r="M64" s="9"/>
      <c r="N64" s="9"/>
      <c r="O64" s="9"/>
      <c r="P64" s="9"/>
      <c r="S64" s="7" t="s">
        <v>849</v>
      </c>
    </row>
    <row r="65" spans="1:20">
      <c r="A65" s="32">
        <v>46132</v>
      </c>
      <c r="B65" s="32">
        <f t="shared" si="1"/>
        <v>46139</v>
      </c>
      <c r="C65" s="9" t="s">
        <v>27</v>
      </c>
      <c r="D65" t="s">
        <v>850</v>
      </c>
      <c r="E65" t="s">
        <v>851</v>
      </c>
      <c r="F65" t="s">
        <v>852</v>
      </c>
      <c r="H65" t="s">
        <v>853</v>
      </c>
      <c r="I65" s="9">
        <v>13</v>
      </c>
      <c r="J65" s="9"/>
      <c r="K65" s="9"/>
      <c r="L65" s="9"/>
      <c r="M65" s="9"/>
      <c r="N65" s="9"/>
      <c r="O65" s="9"/>
      <c r="P65" s="9"/>
      <c r="S65" s="7" t="s">
        <v>849</v>
      </c>
    </row>
    <row r="66" spans="1:20">
      <c r="A66" s="32">
        <v>46132</v>
      </c>
      <c r="B66" s="32">
        <f t="shared" si="1"/>
        <v>46139</v>
      </c>
      <c r="C66" s="9" t="s">
        <v>24</v>
      </c>
      <c r="D66" t="s">
        <v>686</v>
      </c>
      <c r="E66" t="s">
        <v>854</v>
      </c>
      <c r="F66" t="s">
        <v>855</v>
      </c>
      <c r="H66" t="s">
        <v>856</v>
      </c>
      <c r="I66" s="9">
        <v>6</v>
      </c>
      <c r="J66" s="9"/>
      <c r="K66" s="9"/>
      <c r="L66" s="9"/>
      <c r="M66" s="9"/>
      <c r="N66" s="9"/>
      <c r="O66" s="9"/>
      <c r="P66" s="9"/>
    </row>
    <row r="67" spans="1:20" ht="14">
      <c r="A67" s="32">
        <v>46133</v>
      </c>
      <c r="B67" s="32">
        <f t="shared" ref="B67:B98" si="2">A67+7</f>
        <v>46140</v>
      </c>
      <c r="C67" s="9" t="s">
        <v>18</v>
      </c>
      <c r="D67" t="s">
        <v>857</v>
      </c>
      <c r="E67" t="s">
        <v>858</v>
      </c>
      <c r="F67" t="s">
        <v>859</v>
      </c>
      <c r="G67" s="7" t="s">
        <v>860</v>
      </c>
      <c r="H67" t="s">
        <v>861</v>
      </c>
      <c r="I67" s="9">
        <v>5</v>
      </c>
      <c r="J67" s="9">
        <v>3</v>
      </c>
      <c r="K67" s="9">
        <v>2</v>
      </c>
      <c r="L67" s="9">
        <v>0</v>
      </c>
      <c r="M67" s="9">
        <v>0</v>
      </c>
      <c r="N67" s="9">
        <v>7</v>
      </c>
      <c r="O67" s="9">
        <v>18.16</v>
      </c>
      <c r="P67" s="33">
        <f>O67/N67</f>
        <v>2.5942857142857143</v>
      </c>
      <c r="Q67" s="34" t="s">
        <v>22</v>
      </c>
      <c r="R67" s="34" t="s">
        <v>44</v>
      </c>
      <c r="T67" s="9" t="str">
        <f>IF(N67="","",IF(N67&gt;=5000,"S 级",IF(N67&gt;=1000,"A 级",IF(N67&gt;=500,"B 级","C 级"))))</f>
        <v>C 级</v>
      </c>
    </row>
    <row r="68" spans="1:20" ht="14">
      <c r="A68" s="32">
        <v>46134</v>
      </c>
      <c r="B68" s="32">
        <f t="shared" si="2"/>
        <v>46141</v>
      </c>
      <c r="C68" s="9" t="s">
        <v>18</v>
      </c>
      <c r="D68" t="s">
        <v>862</v>
      </c>
      <c r="E68" t="s">
        <v>863</v>
      </c>
      <c r="F68" t="s">
        <v>864</v>
      </c>
      <c r="G68" s="7" t="s">
        <v>865</v>
      </c>
      <c r="H68" t="s">
        <v>866</v>
      </c>
      <c r="I68" s="9">
        <v>2</v>
      </c>
      <c r="J68" s="9">
        <v>110</v>
      </c>
      <c r="K68" s="9">
        <v>108</v>
      </c>
      <c r="L68" s="9">
        <v>1</v>
      </c>
      <c r="M68" s="9">
        <v>1</v>
      </c>
      <c r="N68" s="9">
        <v>113</v>
      </c>
      <c r="O68" s="9">
        <v>201.41</v>
      </c>
      <c r="P68" s="33">
        <f>O68/N68</f>
        <v>1.7823893805309734</v>
      </c>
      <c r="Q68" s="38" t="s">
        <v>290</v>
      </c>
      <c r="R68" s="38" t="s">
        <v>800</v>
      </c>
      <c r="T68" s="9" t="str">
        <f>IF(N68="","",IF(N68&gt;=5000,"S 级",IF(N68&gt;=1000,"A 级",IF(N68&gt;=500,"B 级","C 级"))))</f>
        <v>C 级</v>
      </c>
    </row>
    <row r="69" spans="1:20">
      <c r="A69" s="32">
        <v>46134</v>
      </c>
      <c r="B69" s="32">
        <f t="shared" si="2"/>
        <v>46141</v>
      </c>
      <c r="C69" s="9" t="s">
        <v>27</v>
      </c>
      <c r="D69" t="s">
        <v>867</v>
      </c>
      <c r="E69" t="s">
        <v>868</v>
      </c>
      <c r="F69" t="s">
        <v>869</v>
      </c>
      <c r="H69" t="s">
        <v>870</v>
      </c>
      <c r="I69" s="9">
        <v>98</v>
      </c>
      <c r="J69" s="9"/>
      <c r="K69" s="9"/>
      <c r="L69" s="9"/>
      <c r="M69" s="9"/>
      <c r="N69" s="9"/>
      <c r="O69" s="9"/>
      <c r="P69" s="9"/>
      <c r="S69" s="7" t="s">
        <v>871</v>
      </c>
    </row>
    <row r="70" spans="1:20" ht="14">
      <c r="A70" s="32">
        <v>46135</v>
      </c>
      <c r="B70" s="32">
        <f t="shared" si="2"/>
        <v>46142</v>
      </c>
      <c r="C70" s="9" t="s">
        <v>18</v>
      </c>
      <c r="D70" t="s">
        <v>872</v>
      </c>
      <c r="E70" t="s">
        <v>873</v>
      </c>
      <c r="F70" t="s">
        <v>874</v>
      </c>
      <c r="G70" s="7" t="s">
        <v>875</v>
      </c>
      <c r="H70" t="s">
        <v>876</v>
      </c>
      <c r="I70" s="9">
        <v>12</v>
      </c>
      <c r="J70" s="9">
        <v>125</v>
      </c>
      <c r="K70" s="9">
        <v>120</v>
      </c>
      <c r="L70" s="9">
        <v>0</v>
      </c>
      <c r="M70" s="9">
        <v>5</v>
      </c>
      <c r="N70" s="9">
        <v>130</v>
      </c>
      <c r="O70" s="9">
        <v>200.45</v>
      </c>
      <c r="P70" s="33">
        <f>O70/N70</f>
        <v>1.5419230769230767</v>
      </c>
      <c r="Q70" s="41" t="s">
        <v>34</v>
      </c>
      <c r="R70" s="41" t="s">
        <v>210</v>
      </c>
      <c r="T70" s="9" t="str">
        <f>IF(N70="","",IF(N70&gt;=5000,"S 级",IF(N70&gt;=1000,"A 级",IF(N70&gt;=500,"B 级","C 级"))))</f>
        <v>C 级</v>
      </c>
    </row>
    <row r="71" spans="1:20">
      <c r="A71" s="32">
        <v>46134</v>
      </c>
      <c r="B71" s="32">
        <f t="shared" si="2"/>
        <v>46141</v>
      </c>
      <c r="C71" s="9" t="s">
        <v>24</v>
      </c>
      <c r="D71" t="s">
        <v>877</v>
      </c>
      <c r="E71" t="s">
        <v>878</v>
      </c>
      <c r="F71" t="s">
        <v>879</v>
      </c>
      <c r="H71" t="s">
        <v>880</v>
      </c>
      <c r="I71" s="9">
        <v>46</v>
      </c>
      <c r="J71" s="9"/>
      <c r="K71" s="9"/>
      <c r="L71" s="9"/>
      <c r="M71" s="9"/>
      <c r="N71" s="9"/>
    </row>
    <row r="72" spans="1:20">
      <c r="A72" s="32">
        <v>46135</v>
      </c>
      <c r="B72" s="32">
        <f t="shared" si="2"/>
        <v>46142</v>
      </c>
      <c r="C72" s="9" t="s">
        <v>24</v>
      </c>
      <c r="D72" t="s">
        <v>881</v>
      </c>
      <c r="E72" t="s">
        <v>882</v>
      </c>
      <c r="F72" t="s">
        <v>883</v>
      </c>
      <c r="H72" t="s">
        <v>884</v>
      </c>
      <c r="I72" s="9">
        <v>1</v>
      </c>
      <c r="J72" s="9"/>
      <c r="K72" s="9"/>
      <c r="L72" s="9"/>
      <c r="M72" s="9"/>
      <c r="N72" s="9"/>
      <c r="O72" s="9"/>
      <c r="P72" s="9"/>
    </row>
    <row r="73" spans="1:20" ht="15">
      <c r="A73" s="32">
        <v>46135</v>
      </c>
      <c r="B73" s="32">
        <f t="shared" si="2"/>
        <v>46142</v>
      </c>
      <c r="C73" s="9" t="s">
        <v>27</v>
      </c>
      <c r="D73" t="s">
        <v>806</v>
      </c>
      <c r="E73" t="s">
        <v>885</v>
      </c>
      <c r="F73" t="s">
        <v>886</v>
      </c>
      <c r="H73" t="s">
        <v>887</v>
      </c>
      <c r="I73" s="9">
        <v>4</v>
      </c>
      <c r="J73" s="9"/>
      <c r="K73" s="9"/>
      <c r="L73" s="9"/>
      <c r="M73" s="9"/>
      <c r="N73" s="9"/>
      <c r="O73" s="9"/>
      <c r="P73" s="9"/>
      <c r="S73" s="35" t="s">
        <v>805</v>
      </c>
    </row>
    <row r="74" spans="1:20">
      <c r="A74" s="32">
        <v>46135</v>
      </c>
      <c r="B74" s="32">
        <f t="shared" si="2"/>
        <v>46142</v>
      </c>
      <c r="C74" s="9" t="s">
        <v>24</v>
      </c>
      <c r="D74" t="s">
        <v>877</v>
      </c>
      <c r="E74" t="s">
        <v>888</v>
      </c>
      <c r="F74" t="s">
        <v>889</v>
      </c>
      <c r="H74" t="s">
        <v>890</v>
      </c>
      <c r="I74" s="9">
        <v>55</v>
      </c>
      <c r="J74" s="9"/>
      <c r="K74" s="9"/>
      <c r="L74" s="9"/>
      <c r="M74" s="9"/>
      <c r="N74" s="9"/>
      <c r="O74" s="9"/>
      <c r="P74" s="9"/>
    </row>
    <row r="75" spans="1:20">
      <c r="A75" s="32">
        <v>46135</v>
      </c>
      <c r="B75" s="32">
        <f t="shared" si="2"/>
        <v>46142</v>
      </c>
      <c r="C75" s="9" t="s">
        <v>24</v>
      </c>
      <c r="D75" t="s">
        <v>891</v>
      </c>
      <c r="E75" t="s">
        <v>892</v>
      </c>
      <c r="F75" t="s">
        <v>893</v>
      </c>
      <c r="H75" t="s">
        <v>894</v>
      </c>
      <c r="I75" s="9">
        <v>3</v>
      </c>
      <c r="J75" s="9"/>
      <c r="K75" s="9"/>
      <c r="L75" s="9"/>
      <c r="M75" s="9"/>
      <c r="N75" s="9"/>
      <c r="O75" s="9"/>
      <c r="P75" s="9"/>
    </row>
    <row r="76" spans="1:20">
      <c r="A76" s="32">
        <v>46136</v>
      </c>
      <c r="B76" s="32">
        <f t="shared" si="2"/>
        <v>46143</v>
      </c>
      <c r="C76" s="9" t="s">
        <v>27</v>
      </c>
      <c r="D76" t="s">
        <v>895</v>
      </c>
      <c r="E76" t="s">
        <v>896</v>
      </c>
      <c r="F76" t="s">
        <v>897</v>
      </c>
      <c r="H76" t="s">
        <v>898</v>
      </c>
      <c r="I76" s="9">
        <v>110</v>
      </c>
      <c r="J76" s="9"/>
      <c r="K76" s="9"/>
      <c r="L76" s="9"/>
      <c r="M76" s="9"/>
      <c r="N76" s="9"/>
      <c r="O76" s="9"/>
      <c r="P76" s="9"/>
      <c r="S76" s="7" t="s">
        <v>805</v>
      </c>
    </row>
    <row r="77" spans="1:20">
      <c r="A77" s="32">
        <v>46138</v>
      </c>
      <c r="B77" s="32">
        <f t="shared" si="2"/>
        <v>46145</v>
      </c>
      <c r="C77" s="9" t="s">
        <v>24</v>
      </c>
      <c r="D77" t="s">
        <v>653</v>
      </c>
      <c r="E77" t="s">
        <v>899</v>
      </c>
      <c r="F77" t="s">
        <v>900</v>
      </c>
      <c r="H77" t="s">
        <v>901</v>
      </c>
      <c r="I77" s="9">
        <v>43</v>
      </c>
      <c r="J77" s="9"/>
      <c r="K77" s="9"/>
      <c r="L77" s="9"/>
      <c r="M77" s="9"/>
      <c r="N77" s="9"/>
      <c r="O77" s="9"/>
      <c r="P77" s="9"/>
    </row>
    <row r="78" spans="1:20" ht="14">
      <c r="A78" s="32">
        <v>46139</v>
      </c>
      <c r="B78" s="32">
        <f t="shared" si="2"/>
        <v>46146</v>
      </c>
      <c r="C78" s="9" t="s">
        <v>18</v>
      </c>
      <c r="D78" t="s">
        <v>902</v>
      </c>
      <c r="E78" t="s">
        <v>903</v>
      </c>
      <c r="F78" t="s">
        <v>904</v>
      </c>
      <c r="G78" s="7" t="s">
        <v>905</v>
      </c>
      <c r="H78" t="s">
        <v>906</v>
      </c>
      <c r="I78" s="9">
        <v>2</v>
      </c>
      <c r="J78" s="9">
        <v>101</v>
      </c>
      <c r="K78" s="9">
        <v>94</v>
      </c>
      <c r="L78" s="9">
        <v>3</v>
      </c>
      <c r="M78" s="9">
        <v>0</v>
      </c>
      <c r="N78" s="9">
        <v>195</v>
      </c>
      <c r="O78" s="9">
        <v>191.26</v>
      </c>
      <c r="P78" s="33">
        <f>O78/N78</f>
        <v>0.98082051282051275</v>
      </c>
      <c r="Q78" s="34" t="s">
        <v>22</v>
      </c>
      <c r="R78" s="34" t="s">
        <v>907</v>
      </c>
      <c r="T78" s="9" t="str">
        <f>IF(N78="","",IF(N78&gt;=5000,"S 级",IF(N78&gt;=1000,"A 级",IF(N78&gt;=500,"B 级","C 级"))))</f>
        <v>C 级</v>
      </c>
    </row>
    <row r="79" spans="1:20">
      <c r="A79" s="32">
        <v>46138</v>
      </c>
      <c r="B79" s="32">
        <f t="shared" si="2"/>
        <v>46145</v>
      </c>
      <c r="C79" s="9" t="s">
        <v>24</v>
      </c>
      <c r="D79" t="s">
        <v>908</v>
      </c>
      <c r="E79" t="s">
        <v>909</v>
      </c>
      <c r="F79" t="s">
        <v>910</v>
      </c>
      <c r="H79" s="7" t="s">
        <v>911</v>
      </c>
      <c r="I79" s="9">
        <v>1</v>
      </c>
      <c r="J79" s="9"/>
      <c r="K79" s="9"/>
      <c r="L79" s="9"/>
      <c r="M79" s="9"/>
      <c r="N79" s="9"/>
      <c r="O79" s="9"/>
      <c r="P79" s="9"/>
    </row>
    <row r="80" spans="1:20">
      <c r="A80" s="32">
        <v>46136</v>
      </c>
      <c r="B80" s="32">
        <f t="shared" si="2"/>
        <v>46143</v>
      </c>
      <c r="C80" s="9" t="s">
        <v>24</v>
      </c>
      <c r="D80" s="7" t="s">
        <v>912</v>
      </c>
      <c r="E80" t="s">
        <v>913</v>
      </c>
      <c r="F80" t="s">
        <v>914</v>
      </c>
      <c r="H80" t="s">
        <v>915</v>
      </c>
      <c r="I80" s="9">
        <v>81</v>
      </c>
      <c r="J80" s="9"/>
      <c r="K80" s="9"/>
      <c r="L80" s="9"/>
      <c r="M80" s="9"/>
      <c r="N80" s="9"/>
      <c r="O80" s="9"/>
      <c r="P80" s="9"/>
    </row>
    <row r="81" spans="1:20">
      <c r="A81" s="32">
        <v>46137</v>
      </c>
      <c r="B81" s="32">
        <f t="shared" si="2"/>
        <v>46144</v>
      </c>
      <c r="C81" s="9" t="s">
        <v>27</v>
      </c>
      <c r="D81" t="s">
        <v>916</v>
      </c>
      <c r="E81" t="s">
        <v>917</v>
      </c>
      <c r="F81" t="s">
        <v>918</v>
      </c>
      <c r="H81" t="s">
        <v>919</v>
      </c>
      <c r="I81" s="9">
        <v>46</v>
      </c>
      <c r="J81" s="9"/>
      <c r="K81" s="9"/>
      <c r="L81" s="9"/>
      <c r="M81" s="9"/>
      <c r="N81" s="9"/>
      <c r="O81" s="9"/>
      <c r="P81" s="9"/>
      <c r="S81" s="7" t="s">
        <v>805</v>
      </c>
    </row>
    <row r="82" spans="1:20">
      <c r="A82" s="32">
        <v>46138</v>
      </c>
      <c r="B82" s="32">
        <f t="shared" si="2"/>
        <v>46145</v>
      </c>
      <c r="C82" s="9" t="s">
        <v>24</v>
      </c>
      <c r="D82" t="s">
        <v>920</v>
      </c>
      <c r="E82" t="s">
        <v>921</v>
      </c>
      <c r="F82" t="s">
        <v>922</v>
      </c>
      <c r="H82" t="s">
        <v>923</v>
      </c>
      <c r="I82" s="9">
        <v>3</v>
      </c>
      <c r="J82" s="9"/>
      <c r="K82" s="9"/>
      <c r="L82" s="9"/>
      <c r="M82" s="9"/>
      <c r="N82" s="9"/>
      <c r="O82" s="9"/>
      <c r="P82" s="9"/>
    </row>
    <row r="83" spans="1:20" ht="14">
      <c r="A83" s="32">
        <v>46135</v>
      </c>
      <c r="B83" s="32">
        <f t="shared" si="2"/>
        <v>46142</v>
      </c>
      <c r="C83" s="9" t="s">
        <v>18</v>
      </c>
      <c r="D83" t="s">
        <v>924</v>
      </c>
      <c r="E83" t="s">
        <v>925</v>
      </c>
      <c r="F83" t="s">
        <v>926</v>
      </c>
      <c r="G83" s="7" t="s">
        <v>927</v>
      </c>
      <c r="H83" t="s">
        <v>928</v>
      </c>
      <c r="I83" s="9">
        <v>26</v>
      </c>
      <c r="J83" s="9">
        <v>96</v>
      </c>
      <c r="K83" s="9">
        <v>75</v>
      </c>
      <c r="L83" s="9">
        <v>9</v>
      </c>
      <c r="M83" s="9">
        <v>1</v>
      </c>
      <c r="N83" s="9">
        <v>106</v>
      </c>
      <c r="O83" s="42">
        <v>183.79</v>
      </c>
      <c r="P83" s="33">
        <f t="shared" ref="P83:P100" si="3">O83/N83</f>
        <v>1.7338679245283017</v>
      </c>
      <c r="Q83" s="34" t="s">
        <v>22</v>
      </c>
      <c r="R83" s="34" t="s">
        <v>44</v>
      </c>
      <c r="S83" s="7" t="s">
        <v>929</v>
      </c>
      <c r="T83" s="9" t="str">
        <f>IF(N83="","",IF(N83&gt;=5000,"S 级",IF(N83&gt;=1000,"A 级",IF(N83&gt;=500,"B 级","C 级"))))</f>
        <v>C 级</v>
      </c>
    </row>
    <row r="84" spans="1:20" ht="14">
      <c r="A84" s="32">
        <v>46138</v>
      </c>
      <c r="B84" s="32">
        <f t="shared" si="2"/>
        <v>46145</v>
      </c>
      <c r="C84" s="9" t="s">
        <v>18</v>
      </c>
      <c r="D84" s="7" t="s">
        <v>930</v>
      </c>
      <c r="E84" t="s">
        <v>931</v>
      </c>
      <c r="F84" t="s">
        <v>932</v>
      </c>
      <c r="G84" s="7" t="s">
        <v>933</v>
      </c>
      <c r="H84" t="s">
        <v>934</v>
      </c>
      <c r="I84" s="9">
        <v>124</v>
      </c>
      <c r="J84" s="9">
        <v>215</v>
      </c>
      <c r="K84" s="9">
        <v>198</v>
      </c>
      <c r="L84" s="9">
        <v>15</v>
      </c>
      <c r="M84" s="9">
        <v>0</v>
      </c>
      <c r="N84" s="9">
        <v>340</v>
      </c>
      <c r="O84" s="9">
        <v>405.44</v>
      </c>
      <c r="P84" s="43">
        <f t="shared" si="3"/>
        <v>1.1924705882352942</v>
      </c>
      <c r="Q84" s="34" t="s">
        <v>22</v>
      </c>
      <c r="R84" s="34" t="s">
        <v>23</v>
      </c>
      <c r="T84" s="9" t="str">
        <f>IF(N84="","",IF(N84&gt;=5000,"S 级",IF(N84&gt;=1000,"A 级",IF(N84&gt;=500,"B 级","C 级"))))</f>
        <v>C 级</v>
      </c>
    </row>
    <row r="85" spans="1:20" ht="14">
      <c r="A85" s="32">
        <v>46137</v>
      </c>
      <c r="B85" s="32">
        <f t="shared" si="2"/>
        <v>46144</v>
      </c>
      <c r="C85" s="9" t="s">
        <v>18</v>
      </c>
      <c r="D85" t="s">
        <v>935</v>
      </c>
      <c r="E85" t="s">
        <v>936</v>
      </c>
      <c r="F85" t="s">
        <v>937</v>
      </c>
      <c r="G85" s="7" t="s">
        <v>938</v>
      </c>
      <c r="H85" t="s">
        <v>939</v>
      </c>
      <c r="I85" s="9">
        <v>4</v>
      </c>
      <c r="J85" s="9">
        <v>99</v>
      </c>
      <c r="K85" s="9">
        <v>89</v>
      </c>
      <c r="L85" s="9">
        <v>9</v>
      </c>
      <c r="M85" s="9">
        <v>1</v>
      </c>
      <c r="N85" s="9">
        <v>100</v>
      </c>
      <c r="O85" s="9">
        <v>192.89</v>
      </c>
      <c r="P85" s="33">
        <f t="shared" si="3"/>
        <v>1.9288999999999998</v>
      </c>
      <c r="Q85" s="38" t="s">
        <v>290</v>
      </c>
      <c r="R85" s="38" t="s">
        <v>295</v>
      </c>
      <c r="T85" s="9" t="str">
        <f>IF(N85="","",IF(N85&gt;=5000,"S 级",IF(N85&gt;=1000,"A 级",IF(N85&gt;=500,"B 级","C 级"))))</f>
        <v>C 级</v>
      </c>
    </row>
    <row r="86" spans="1:20">
      <c r="A86" s="32">
        <v>46136</v>
      </c>
      <c r="B86" s="32">
        <f t="shared" si="2"/>
        <v>46143</v>
      </c>
      <c r="C86" s="9" t="s">
        <v>24</v>
      </c>
      <c r="D86" s="7" t="s">
        <v>891</v>
      </c>
      <c r="E86" t="s">
        <v>940</v>
      </c>
      <c r="F86" t="s">
        <v>941</v>
      </c>
      <c r="H86" t="s">
        <v>942</v>
      </c>
      <c r="I86" s="9">
        <v>53</v>
      </c>
      <c r="J86" s="9"/>
      <c r="K86" s="9"/>
      <c r="L86" s="9"/>
      <c r="M86" s="9"/>
      <c r="N86" s="9"/>
      <c r="O86" s="9"/>
      <c r="P86" s="33" t="e">
        <f t="shared" si="3"/>
        <v>#DIV/0!</v>
      </c>
    </row>
    <row r="87" spans="1:20">
      <c r="A87" s="32">
        <v>46138</v>
      </c>
      <c r="B87" s="32">
        <f t="shared" si="2"/>
        <v>46145</v>
      </c>
      <c r="C87" s="9" t="s">
        <v>318</v>
      </c>
      <c r="D87" s="7" t="s">
        <v>943</v>
      </c>
      <c r="E87" s="7" t="s">
        <v>944</v>
      </c>
      <c r="F87" t="s">
        <v>945</v>
      </c>
      <c r="H87" t="s">
        <v>946</v>
      </c>
      <c r="I87" s="9">
        <v>5</v>
      </c>
      <c r="J87" s="9"/>
      <c r="K87" s="9"/>
      <c r="L87" s="9"/>
      <c r="M87" s="9"/>
      <c r="N87" s="9"/>
      <c r="O87" s="9"/>
      <c r="P87" s="33" t="e">
        <f t="shared" si="3"/>
        <v>#DIV/0!</v>
      </c>
      <c r="S87" s="7" t="s">
        <v>947</v>
      </c>
    </row>
    <row r="88" spans="1:20" ht="14">
      <c r="A88" s="32">
        <v>46140</v>
      </c>
      <c r="B88" s="32">
        <f t="shared" si="2"/>
        <v>46147</v>
      </c>
      <c r="C88" s="9" t="s">
        <v>948</v>
      </c>
      <c r="D88" t="s">
        <v>949</v>
      </c>
      <c r="E88" t="s">
        <v>950</v>
      </c>
      <c r="F88" t="s">
        <v>951</v>
      </c>
      <c r="G88" s="7" t="s">
        <v>952</v>
      </c>
      <c r="H88" t="s">
        <v>953</v>
      </c>
      <c r="I88" s="9">
        <v>44</v>
      </c>
      <c r="J88" s="9">
        <f>'（数据废表）薯条投放明细表'!I2</f>
        <v>259</v>
      </c>
      <c r="K88" s="9">
        <f>'（数据废表）薯条投放明细表'!K2</f>
        <v>180</v>
      </c>
      <c r="L88" s="9">
        <f>'（数据废表）薯条投放明细表'!L2</f>
        <v>0</v>
      </c>
      <c r="M88" s="9">
        <f>'（数据废表）薯条投放明细表'!M2</f>
        <v>4</v>
      </c>
      <c r="N88" s="9">
        <f>SUM(K88:M88)</f>
        <v>184</v>
      </c>
      <c r="O88" s="9">
        <f>'（数据废表）薯条投放明细表'!J2</f>
        <v>200</v>
      </c>
      <c r="P88" s="33">
        <f t="shared" si="3"/>
        <v>1.0869565217391304</v>
      </c>
      <c r="Q88" s="41" t="s">
        <v>34</v>
      </c>
      <c r="R88" s="41" t="s">
        <v>66</v>
      </c>
      <c r="T88" s="9" t="str">
        <f t="shared" ref="T88:T100" si="4">IF(N88="","",IF(N88&gt;=5000,"S 级",IF(N88&gt;=1000,"A 级",IF(N88&gt;=500,"B 级","C 级"))))</f>
        <v>C 级</v>
      </c>
    </row>
    <row r="89" spans="1:20" ht="14">
      <c r="A89" s="32">
        <v>46139</v>
      </c>
      <c r="B89" s="32">
        <f t="shared" si="2"/>
        <v>46146</v>
      </c>
      <c r="C89" s="9" t="s">
        <v>18</v>
      </c>
      <c r="D89" t="s">
        <v>954</v>
      </c>
      <c r="E89" t="s">
        <v>955</v>
      </c>
      <c r="F89" t="s">
        <v>956</v>
      </c>
      <c r="G89" s="7" t="s">
        <v>957</v>
      </c>
      <c r="H89" t="s">
        <v>958</v>
      </c>
      <c r="I89" s="9">
        <v>191</v>
      </c>
      <c r="J89" s="9">
        <v>121</v>
      </c>
      <c r="K89" s="9">
        <v>112</v>
      </c>
      <c r="L89" s="9">
        <v>4</v>
      </c>
      <c r="M89" s="9">
        <v>1</v>
      </c>
      <c r="N89" s="9">
        <v>2437</v>
      </c>
      <c r="O89" s="9">
        <v>202.96</v>
      </c>
      <c r="P89" s="33">
        <f t="shared" si="3"/>
        <v>8.3282724661469021E-2</v>
      </c>
      <c r="Q89" s="41" t="s">
        <v>34</v>
      </c>
      <c r="R89" s="41" t="s">
        <v>210</v>
      </c>
      <c r="T89" s="9" t="str">
        <f t="shared" si="4"/>
        <v>A 级</v>
      </c>
    </row>
    <row r="90" spans="1:20" ht="14">
      <c r="A90" s="32">
        <v>46140</v>
      </c>
      <c r="B90" s="32">
        <f t="shared" si="2"/>
        <v>46147</v>
      </c>
      <c r="C90" s="9" t="s">
        <v>948</v>
      </c>
      <c r="D90" s="7" t="s">
        <v>959</v>
      </c>
      <c r="E90" t="s">
        <v>960</v>
      </c>
      <c r="F90" t="s">
        <v>961</v>
      </c>
      <c r="G90" s="7" t="s">
        <v>952</v>
      </c>
      <c r="H90" t="s">
        <v>962</v>
      </c>
      <c r="I90" s="9">
        <v>3</v>
      </c>
      <c r="J90" s="9">
        <f>'（数据废表）薯条投放明细表'!I3</f>
        <v>630</v>
      </c>
      <c r="K90" s="9">
        <f>'（数据废表）薯条投放明细表'!K3</f>
        <v>192</v>
      </c>
      <c r="L90" s="9">
        <f>'（数据废表）薯条投放明细表'!L3</f>
        <v>4</v>
      </c>
      <c r="M90" s="9">
        <f>'（数据废表）薯条投放明细表'!M3</f>
        <v>5</v>
      </c>
      <c r="N90" s="9">
        <f t="shared" ref="N90:N100" si="5">SUM(K90:M90)</f>
        <v>201</v>
      </c>
      <c r="O90" s="9">
        <f>'（数据废表）薯条投放明细表'!J3</f>
        <v>200</v>
      </c>
      <c r="P90" s="33">
        <f t="shared" si="3"/>
        <v>0.99502487562189057</v>
      </c>
      <c r="Q90" s="34" t="s">
        <v>22</v>
      </c>
      <c r="R90" s="34" t="s">
        <v>907</v>
      </c>
      <c r="T90" s="9" t="str">
        <f t="shared" si="4"/>
        <v>C 级</v>
      </c>
    </row>
    <row r="91" spans="1:20" ht="14">
      <c r="A91" s="32">
        <v>46140</v>
      </c>
      <c r="B91" s="32">
        <f t="shared" si="2"/>
        <v>46147</v>
      </c>
      <c r="C91" s="9" t="s">
        <v>948</v>
      </c>
      <c r="D91" t="s">
        <v>766</v>
      </c>
      <c r="E91" t="s">
        <v>963</v>
      </c>
      <c r="F91" t="s">
        <v>964</v>
      </c>
      <c r="G91" s="7" t="s">
        <v>952</v>
      </c>
      <c r="H91" t="s">
        <v>965</v>
      </c>
      <c r="I91" s="9">
        <v>7</v>
      </c>
      <c r="J91" s="9">
        <f>'（数据废表）薯条投放明细表'!I4</f>
        <v>254</v>
      </c>
      <c r="K91" s="9">
        <f>'（数据废表）薯条投放明细表'!K4</f>
        <v>204</v>
      </c>
      <c r="L91" s="9">
        <f>'（数据废表）薯条投放明细表'!L4</f>
        <v>1</v>
      </c>
      <c r="M91" s="9">
        <f>'（数据废表）薯条投放明细表'!M4</f>
        <v>0</v>
      </c>
      <c r="N91" s="9">
        <f t="shared" si="5"/>
        <v>205</v>
      </c>
      <c r="O91" s="9">
        <f>'（数据废表）薯条投放明细表'!J4</f>
        <v>200</v>
      </c>
      <c r="P91" s="33">
        <f t="shared" si="3"/>
        <v>0.97560975609756095</v>
      </c>
      <c r="Q91" s="41" t="s">
        <v>34</v>
      </c>
      <c r="R91" s="41" t="s">
        <v>210</v>
      </c>
      <c r="T91" s="9" t="str">
        <f t="shared" si="4"/>
        <v>C 级</v>
      </c>
    </row>
    <row r="92" spans="1:20" ht="14">
      <c r="A92" s="32">
        <v>46141</v>
      </c>
      <c r="B92" s="32">
        <f t="shared" si="2"/>
        <v>46148</v>
      </c>
      <c r="C92" s="9" t="s">
        <v>948</v>
      </c>
      <c r="D92" t="s">
        <v>728</v>
      </c>
      <c r="E92" t="s">
        <v>966</v>
      </c>
      <c r="F92" t="s">
        <v>967</v>
      </c>
      <c r="G92" s="7" t="s">
        <v>952</v>
      </c>
      <c r="H92" t="s">
        <v>968</v>
      </c>
      <c r="I92" s="9">
        <v>96</v>
      </c>
      <c r="J92" s="9">
        <f>'（数据废表）薯条投放明细表'!I5</f>
        <v>758</v>
      </c>
      <c r="K92" s="9">
        <f>'（数据废表）薯条投放明细表'!K5</f>
        <v>541</v>
      </c>
      <c r="L92" s="9">
        <f>'（数据废表）薯条投放明细表'!L5</f>
        <v>1</v>
      </c>
      <c r="M92" s="9">
        <f>'（数据废表）薯条投放明细表'!M5</f>
        <v>28</v>
      </c>
      <c r="N92" s="9">
        <f t="shared" si="5"/>
        <v>570</v>
      </c>
      <c r="O92" s="9">
        <f>'（数据废表）薯条投放明细表'!J5</f>
        <v>200</v>
      </c>
      <c r="P92" s="33">
        <f t="shared" si="3"/>
        <v>0.35087719298245612</v>
      </c>
      <c r="Q92" s="41" t="s">
        <v>34</v>
      </c>
      <c r="R92" s="41" t="s">
        <v>66</v>
      </c>
      <c r="S92" s="7" t="s">
        <v>969</v>
      </c>
      <c r="T92" s="9" t="str">
        <f t="shared" si="4"/>
        <v>B 级</v>
      </c>
    </row>
    <row r="93" spans="1:20" ht="14">
      <c r="A93" s="32">
        <v>46141</v>
      </c>
      <c r="B93" s="32">
        <f t="shared" si="2"/>
        <v>46148</v>
      </c>
      <c r="C93" s="9" t="s">
        <v>948</v>
      </c>
      <c r="D93" t="s">
        <v>970</v>
      </c>
      <c r="E93" t="s">
        <v>971</v>
      </c>
      <c r="F93" t="s">
        <v>972</v>
      </c>
      <c r="G93" s="7" t="s">
        <v>952</v>
      </c>
      <c r="H93" t="s">
        <v>973</v>
      </c>
      <c r="I93" s="9">
        <v>2</v>
      </c>
      <c r="J93" s="9">
        <f>'（数据废表）薯条投放明细表'!I6</f>
        <v>10</v>
      </c>
      <c r="K93" s="9">
        <f>'（数据废表）薯条投放明细表'!K6</f>
        <v>2</v>
      </c>
      <c r="L93" s="9">
        <f>'（数据废表）薯条投放明细表'!L6</f>
        <v>1</v>
      </c>
      <c r="M93" s="9">
        <f>'（数据废表）薯条投放明细表'!M6</f>
        <v>1</v>
      </c>
      <c r="N93" s="9">
        <f t="shared" si="5"/>
        <v>4</v>
      </c>
      <c r="O93" s="9">
        <f>'（数据废表）薯条投放明细表'!J6</f>
        <v>200</v>
      </c>
      <c r="P93" s="33">
        <f t="shared" si="3"/>
        <v>50</v>
      </c>
      <c r="Q93" s="34" t="s">
        <v>22</v>
      </c>
      <c r="R93" s="34" t="s">
        <v>137</v>
      </c>
      <c r="T93" s="9" t="str">
        <f t="shared" si="4"/>
        <v>C 级</v>
      </c>
    </row>
    <row r="94" spans="1:20" ht="14">
      <c r="A94" s="32">
        <v>46141</v>
      </c>
      <c r="B94" s="32">
        <f t="shared" si="2"/>
        <v>46148</v>
      </c>
      <c r="C94" s="9" t="s">
        <v>948</v>
      </c>
      <c r="D94" t="s">
        <v>974</v>
      </c>
      <c r="E94" t="s">
        <v>975</v>
      </c>
      <c r="F94" t="s">
        <v>976</v>
      </c>
      <c r="G94" s="7" t="s">
        <v>952</v>
      </c>
      <c r="H94" t="s">
        <v>977</v>
      </c>
      <c r="I94" s="9">
        <v>34</v>
      </c>
      <c r="J94" s="9">
        <f>'（数据废表）薯条投放明细表'!I7</f>
        <v>34237</v>
      </c>
      <c r="K94" s="9">
        <f>'（数据废表）薯条投放明细表'!K7</f>
        <v>111</v>
      </c>
      <c r="L94" s="9">
        <f>'（数据废表）薯条投放明细表'!L7</f>
        <v>13</v>
      </c>
      <c r="M94" s="9">
        <f>'（数据废表）薯条投放明细表'!M7</f>
        <v>0</v>
      </c>
      <c r="N94" s="9">
        <f t="shared" si="5"/>
        <v>124</v>
      </c>
      <c r="O94" s="9">
        <f>'（数据废表）薯条投放明细表'!J7</f>
        <v>200</v>
      </c>
      <c r="P94" s="33">
        <f t="shared" si="3"/>
        <v>1.6129032258064515</v>
      </c>
      <c r="Q94" s="44" t="s">
        <v>978</v>
      </c>
      <c r="R94" s="44" t="s">
        <v>979</v>
      </c>
      <c r="S94" s="7" t="s">
        <v>980</v>
      </c>
      <c r="T94" s="9" t="str">
        <f t="shared" si="4"/>
        <v>C 级</v>
      </c>
    </row>
    <row r="95" spans="1:20" ht="14">
      <c r="A95" s="32">
        <v>46141</v>
      </c>
      <c r="B95" s="32">
        <f t="shared" si="2"/>
        <v>46148</v>
      </c>
      <c r="C95" s="9" t="s">
        <v>948</v>
      </c>
      <c r="D95" t="s">
        <v>981</v>
      </c>
      <c r="E95" t="s">
        <v>982</v>
      </c>
      <c r="F95" t="s">
        <v>983</v>
      </c>
      <c r="G95" s="7" t="s">
        <v>952</v>
      </c>
      <c r="H95" t="s">
        <v>984</v>
      </c>
      <c r="I95" s="9">
        <v>8</v>
      </c>
      <c r="J95" s="9">
        <f>'（数据废表）薯条投放明细表'!I8</f>
        <v>26</v>
      </c>
      <c r="K95" s="9">
        <f>'（数据废表）薯条投放明细表'!K8</f>
        <v>14</v>
      </c>
      <c r="L95" s="9">
        <f>'（数据废表）薯条投放明细表'!L8</f>
        <v>0</v>
      </c>
      <c r="M95" s="9">
        <f>'（数据废表）薯条投放明细表'!M8</f>
        <v>2</v>
      </c>
      <c r="N95" s="9">
        <f t="shared" si="5"/>
        <v>16</v>
      </c>
      <c r="O95" s="9">
        <f>'（数据废表）薯条投放明细表'!J8</f>
        <v>200</v>
      </c>
      <c r="P95" s="33">
        <f t="shared" si="3"/>
        <v>12.5</v>
      </c>
      <c r="Q95" s="34" t="s">
        <v>22</v>
      </c>
      <c r="R95" s="34" t="s">
        <v>907</v>
      </c>
      <c r="T95" s="9" t="str">
        <f t="shared" si="4"/>
        <v>C 级</v>
      </c>
    </row>
    <row r="96" spans="1:20" ht="14">
      <c r="A96" s="32">
        <v>46142</v>
      </c>
      <c r="B96" s="32">
        <f t="shared" si="2"/>
        <v>46149</v>
      </c>
      <c r="C96" s="9" t="s">
        <v>948</v>
      </c>
      <c r="D96" t="s">
        <v>591</v>
      </c>
      <c r="E96" t="s">
        <v>985</v>
      </c>
      <c r="F96" t="s">
        <v>986</v>
      </c>
      <c r="G96" s="7" t="s">
        <v>952</v>
      </c>
      <c r="H96" t="s">
        <v>987</v>
      </c>
      <c r="I96" s="9">
        <v>0</v>
      </c>
      <c r="J96" s="9">
        <f>'（数据废表）薯条投放明细表'!I9</f>
        <v>122</v>
      </c>
      <c r="K96" s="9">
        <f>'（数据废表）薯条投放明细表'!K9</f>
        <v>108</v>
      </c>
      <c r="L96" s="9">
        <f>'（数据废表）薯条投放明细表'!L9</f>
        <v>1</v>
      </c>
      <c r="M96" s="9">
        <f>'（数据废表）薯条投放明细表'!M9</f>
        <v>5</v>
      </c>
      <c r="N96" s="9">
        <f t="shared" si="5"/>
        <v>114</v>
      </c>
      <c r="O96" s="9">
        <f>'（数据废表）薯条投放明细表'!J9</f>
        <v>200</v>
      </c>
      <c r="P96" s="33">
        <f t="shared" si="3"/>
        <v>1.7543859649122806</v>
      </c>
      <c r="Q96" s="34" t="s">
        <v>22</v>
      </c>
      <c r="R96" s="34" t="s">
        <v>48</v>
      </c>
      <c r="T96" s="9" t="str">
        <f t="shared" si="4"/>
        <v>C 级</v>
      </c>
    </row>
    <row r="97" spans="1:20" ht="14">
      <c r="A97" s="32">
        <v>46142</v>
      </c>
      <c r="B97" s="32">
        <f t="shared" si="2"/>
        <v>46149</v>
      </c>
      <c r="C97" s="9" t="s">
        <v>948</v>
      </c>
      <c r="D97" t="s">
        <v>686</v>
      </c>
      <c r="E97" t="s">
        <v>988</v>
      </c>
      <c r="F97" t="s">
        <v>989</v>
      </c>
      <c r="G97" s="7" t="s">
        <v>952</v>
      </c>
      <c r="H97" t="s">
        <v>990</v>
      </c>
      <c r="I97" s="9">
        <v>18</v>
      </c>
      <c r="J97" s="9">
        <f>'（数据废表）薯条投放明细表'!I10</f>
        <v>211</v>
      </c>
      <c r="K97" s="9">
        <f>'（数据废表）薯条投放明细表'!K10</f>
        <v>182</v>
      </c>
      <c r="L97" s="9">
        <f>'（数据废表）薯条投放明细表'!L10</f>
        <v>0</v>
      </c>
      <c r="M97" s="9">
        <f>'（数据废表）薯条投放明细表'!M10</f>
        <v>0</v>
      </c>
      <c r="N97" s="9">
        <f t="shared" si="5"/>
        <v>182</v>
      </c>
      <c r="O97" s="9">
        <f>'（数据废表）薯条投放明细表'!J10</f>
        <v>200</v>
      </c>
      <c r="P97" s="33">
        <f t="shared" si="3"/>
        <v>1.098901098901099</v>
      </c>
      <c r="Q97" s="41" t="s">
        <v>34</v>
      </c>
      <c r="R97" s="41" t="s">
        <v>210</v>
      </c>
      <c r="T97" s="9" t="str">
        <f t="shared" si="4"/>
        <v>C 级</v>
      </c>
    </row>
    <row r="98" spans="1:20" ht="14">
      <c r="A98" s="32">
        <v>46141</v>
      </c>
      <c r="B98" s="32">
        <f t="shared" si="2"/>
        <v>46148</v>
      </c>
      <c r="C98" s="9" t="s">
        <v>948</v>
      </c>
      <c r="D98" t="s">
        <v>991</v>
      </c>
      <c r="E98" t="s">
        <v>992</v>
      </c>
      <c r="F98" t="s">
        <v>993</v>
      </c>
      <c r="G98" s="7" t="s">
        <v>952</v>
      </c>
      <c r="H98" t="s">
        <v>994</v>
      </c>
      <c r="I98" s="9">
        <v>0</v>
      </c>
      <c r="J98" s="9">
        <f>'（数据废表）薯条投放明细表'!I11</f>
        <v>17</v>
      </c>
      <c r="K98" s="9">
        <f>'（数据废表）薯条投放明细表'!K11</f>
        <v>16</v>
      </c>
      <c r="L98" s="9">
        <f>'（数据废表）薯条投放明细表'!L11</f>
        <v>0</v>
      </c>
      <c r="M98" s="9">
        <f>'（数据废表）薯条投放明细表'!M11</f>
        <v>0</v>
      </c>
      <c r="N98" s="9">
        <f t="shared" si="5"/>
        <v>16</v>
      </c>
      <c r="O98" s="9">
        <f>'（数据废表）薯条投放明细表'!J11</f>
        <v>200</v>
      </c>
      <c r="P98" s="33">
        <f t="shared" si="3"/>
        <v>12.5</v>
      </c>
      <c r="Q98" s="41" t="s">
        <v>34</v>
      </c>
      <c r="R98" s="41" t="s">
        <v>66</v>
      </c>
      <c r="T98" s="9" t="str">
        <f t="shared" si="4"/>
        <v>C 级</v>
      </c>
    </row>
    <row r="99" spans="1:20" ht="14">
      <c r="A99" s="32">
        <v>46141</v>
      </c>
      <c r="B99" s="32">
        <f t="shared" ref="B99:B130" si="6">A99+7</f>
        <v>46148</v>
      </c>
      <c r="C99" s="9" t="s">
        <v>948</v>
      </c>
      <c r="D99" t="s">
        <v>995</v>
      </c>
      <c r="E99" t="s">
        <v>996</v>
      </c>
      <c r="F99" t="s">
        <v>997</v>
      </c>
      <c r="G99" s="7" t="s">
        <v>952</v>
      </c>
      <c r="H99" t="s">
        <v>998</v>
      </c>
      <c r="I99" s="9">
        <v>35</v>
      </c>
      <c r="J99" s="9">
        <f>'（数据废表）薯条投放明细表'!I12</f>
        <v>215</v>
      </c>
      <c r="K99" s="9">
        <f>'（数据废表）薯条投放明细表'!K12</f>
        <v>47</v>
      </c>
      <c r="L99" s="9">
        <f>'（数据废表）薯条投放明细表'!L12</f>
        <v>3</v>
      </c>
      <c r="M99" s="9">
        <f>'（数据废表）薯条投放明细表'!M12</f>
        <v>10</v>
      </c>
      <c r="N99" s="9">
        <f t="shared" si="5"/>
        <v>60</v>
      </c>
      <c r="O99" s="9">
        <f>'（数据废表）薯条投放明细表'!J12</f>
        <v>200</v>
      </c>
      <c r="P99" s="33">
        <f t="shared" si="3"/>
        <v>3.3333333333333335</v>
      </c>
      <c r="Q99" s="34" t="s">
        <v>22</v>
      </c>
      <c r="R99" s="34" t="s">
        <v>137</v>
      </c>
      <c r="T99" s="9" t="str">
        <f t="shared" si="4"/>
        <v>C 级</v>
      </c>
    </row>
    <row r="100" spans="1:20" ht="14">
      <c r="A100" s="32">
        <v>46141</v>
      </c>
      <c r="B100" s="32">
        <f t="shared" si="6"/>
        <v>46148</v>
      </c>
      <c r="C100" s="9" t="s">
        <v>948</v>
      </c>
      <c r="D100" t="s">
        <v>999</v>
      </c>
      <c r="E100" t="s">
        <v>1000</v>
      </c>
      <c r="F100" t="s">
        <v>1001</v>
      </c>
      <c r="G100" s="7" t="s">
        <v>952</v>
      </c>
      <c r="H100" t="s">
        <v>1002</v>
      </c>
      <c r="I100" s="9">
        <v>414</v>
      </c>
      <c r="J100" s="9">
        <f>'（数据废表）薯条投放明细表'!I13</f>
        <v>27029</v>
      </c>
      <c r="K100" s="9">
        <f>'（数据废表）薯条投放明细表'!K13</f>
        <v>133</v>
      </c>
      <c r="L100" s="9">
        <f>'（数据废表）薯条投放明细表'!L13</f>
        <v>25</v>
      </c>
      <c r="M100" s="9">
        <f>'（数据废表）薯条投放明细表'!M13</f>
        <v>3</v>
      </c>
      <c r="N100" s="9">
        <f t="shared" si="5"/>
        <v>161</v>
      </c>
      <c r="O100" s="9">
        <f>'（数据废表）薯条投放明细表'!J13</f>
        <v>200</v>
      </c>
      <c r="P100" s="33">
        <f t="shared" si="3"/>
        <v>1.2422360248447204</v>
      </c>
      <c r="Q100" s="44" t="s">
        <v>978</v>
      </c>
      <c r="R100" s="44" t="s">
        <v>979</v>
      </c>
      <c r="T100" s="9" t="str">
        <f t="shared" si="4"/>
        <v>C 级</v>
      </c>
    </row>
    <row r="101" spans="1:20">
      <c r="A101" s="9"/>
      <c r="B101" s="9"/>
      <c r="C101" s="9"/>
      <c r="I101" s="9"/>
      <c r="J101" s="9"/>
      <c r="K101" s="9"/>
      <c r="L101" s="9"/>
      <c r="M101" s="9"/>
      <c r="N101" s="9"/>
      <c r="O101" s="9"/>
      <c r="P101" s="9"/>
    </row>
    <row r="102" spans="1:20">
      <c r="A102" s="9"/>
      <c r="B102" s="9"/>
      <c r="C102" s="9"/>
      <c r="I102" s="9"/>
      <c r="J102" s="9"/>
      <c r="K102" s="9"/>
      <c r="L102" s="9"/>
      <c r="M102" s="9"/>
      <c r="N102" s="9"/>
      <c r="O102" s="9"/>
      <c r="P102" s="9"/>
    </row>
    <row r="103" spans="1:20">
      <c r="A103" s="9"/>
      <c r="B103" s="9"/>
      <c r="C103" s="9"/>
      <c r="I103" s="9"/>
      <c r="J103" s="9"/>
      <c r="K103" s="9"/>
      <c r="L103" s="9"/>
      <c r="M103" s="9"/>
      <c r="N103" s="9"/>
      <c r="O103" s="9"/>
      <c r="P103" s="9"/>
    </row>
    <row r="104" spans="1:20">
      <c r="A104" s="9"/>
      <c r="B104" s="9"/>
      <c r="C104" s="9"/>
      <c r="I104" s="9"/>
      <c r="J104" s="9"/>
      <c r="K104" s="9"/>
      <c r="L104" s="9"/>
      <c r="M104" s="9"/>
      <c r="N104" s="9">
        <v>6753</v>
      </c>
      <c r="O104" s="9">
        <v>5674.86</v>
      </c>
      <c r="P104" s="9">
        <f>O104/N104</f>
        <v>0.84034651266103944</v>
      </c>
    </row>
    <row r="105" spans="1:20">
      <c r="A105" s="9"/>
      <c r="B105" s="9"/>
      <c r="C105" s="9"/>
      <c r="I105" s="9"/>
      <c r="J105" s="9"/>
      <c r="K105" s="9"/>
      <c r="L105" s="9"/>
      <c r="M105" s="9"/>
      <c r="N105" s="9">
        <v>1769</v>
      </c>
      <c r="O105" s="9">
        <v>3389.1</v>
      </c>
      <c r="P105" s="9">
        <f>O105/N105</f>
        <v>1.9158281514980213</v>
      </c>
    </row>
    <row r="106" spans="1:20">
      <c r="A106" s="9"/>
      <c r="B106" s="9"/>
      <c r="C106" s="9"/>
      <c r="I106" s="9"/>
      <c r="J106" s="9"/>
      <c r="K106" s="9"/>
      <c r="L106" s="9"/>
      <c r="M106" s="9"/>
      <c r="N106" s="9">
        <f>N104+N105</f>
        <v>8522</v>
      </c>
      <c r="O106" s="9">
        <f>O104+O105</f>
        <v>9063.9599999999991</v>
      </c>
      <c r="P106" s="9">
        <f>O106/N106</f>
        <v>1.0635954001408119</v>
      </c>
    </row>
    <row r="107" spans="1:20">
      <c r="A107" s="9"/>
      <c r="B107" s="9"/>
      <c r="C107" s="9"/>
      <c r="I107" s="9"/>
      <c r="J107" s="9"/>
      <c r="K107" s="9"/>
      <c r="L107" s="9"/>
      <c r="M107" s="9"/>
      <c r="N107" s="9"/>
      <c r="O107" s="9"/>
      <c r="P107" s="9"/>
    </row>
    <row r="108" spans="1:20">
      <c r="A108" s="9"/>
      <c r="B108" s="9"/>
      <c r="C108" s="9"/>
      <c r="I108" s="9"/>
      <c r="J108" s="9"/>
      <c r="K108" s="9"/>
      <c r="L108" s="9"/>
      <c r="M108" s="9"/>
      <c r="N108" s="9"/>
      <c r="O108" s="9"/>
      <c r="P108" s="9"/>
    </row>
    <row r="109" spans="1:20">
      <c r="A109" s="9"/>
      <c r="B109" s="9"/>
      <c r="C109" s="9"/>
      <c r="I109" s="9"/>
      <c r="J109" s="9"/>
      <c r="K109" s="9"/>
      <c r="L109" s="9"/>
      <c r="M109" s="9"/>
      <c r="N109" s="9"/>
      <c r="O109" s="9"/>
      <c r="P109" s="9"/>
    </row>
    <row r="110" spans="1:20">
      <c r="A110" s="9"/>
      <c r="B110" s="9"/>
      <c r="C110" s="9"/>
      <c r="I110" s="9"/>
      <c r="J110" s="9"/>
      <c r="K110" s="9"/>
      <c r="L110" s="9"/>
      <c r="M110" s="9"/>
      <c r="N110" s="9"/>
      <c r="O110" s="9"/>
      <c r="P110" s="9"/>
    </row>
    <row r="111" spans="1:20">
      <c r="A111" s="9"/>
      <c r="B111" s="9"/>
      <c r="C111" s="9"/>
      <c r="I111" s="9"/>
      <c r="J111" s="9"/>
      <c r="K111" s="9"/>
      <c r="L111" s="9"/>
      <c r="M111" s="9"/>
      <c r="N111" s="9"/>
      <c r="O111" s="9"/>
      <c r="P111" s="9"/>
    </row>
    <row r="112" spans="1:20">
      <c r="A112" s="9"/>
      <c r="B112" s="9"/>
      <c r="C112" s="9"/>
      <c r="I112" s="9"/>
      <c r="J112" s="9"/>
      <c r="K112" s="9"/>
      <c r="L112" s="9"/>
      <c r="M112" s="9"/>
      <c r="N112" s="9"/>
      <c r="O112" s="9"/>
      <c r="P112" s="9"/>
    </row>
    <row r="113" spans="1:16">
      <c r="A113" s="9"/>
      <c r="B113" s="9"/>
      <c r="C113" s="9"/>
      <c r="I113" s="9"/>
      <c r="J113" s="9"/>
      <c r="K113" s="9"/>
      <c r="L113" s="9"/>
      <c r="M113" s="9"/>
      <c r="N113" s="9"/>
      <c r="O113" s="9"/>
      <c r="P113" s="9"/>
    </row>
    <row r="114" spans="1:16">
      <c r="A114" s="9"/>
      <c r="B114" s="9"/>
      <c r="C114" s="9"/>
      <c r="I114" s="9"/>
      <c r="J114" s="9"/>
      <c r="K114" s="9"/>
      <c r="L114" s="9"/>
      <c r="M114" s="9"/>
      <c r="N114" s="9"/>
      <c r="O114" s="9"/>
      <c r="P114" s="9"/>
    </row>
    <row r="115" spans="1:16">
      <c r="A115" s="9"/>
      <c r="B115" s="9"/>
      <c r="C115" s="9"/>
      <c r="I115" s="9"/>
      <c r="J115" s="9"/>
      <c r="K115" s="9"/>
      <c r="L115" s="9"/>
      <c r="M115" s="9"/>
      <c r="N115" s="9"/>
      <c r="O115" s="9"/>
      <c r="P115" s="9"/>
    </row>
    <row r="116" spans="1:16">
      <c r="A116" s="9"/>
      <c r="B116" s="9"/>
      <c r="C116" s="9"/>
      <c r="I116" s="9"/>
      <c r="J116" s="9"/>
      <c r="K116" s="9"/>
      <c r="L116" s="9"/>
      <c r="M116" s="9"/>
      <c r="N116" s="9"/>
      <c r="O116" s="9"/>
      <c r="P116" s="9"/>
    </row>
    <row r="117" spans="1:16">
      <c r="A117" s="9"/>
      <c r="B117" s="9"/>
      <c r="C117" s="9"/>
      <c r="I117" s="9"/>
      <c r="J117" s="9"/>
      <c r="K117" s="9"/>
      <c r="L117" s="9"/>
      <c r="M117" s="9"/>
      <c r="N117" s="9"/>
      <c r="O117" s="9"/>
      <c r="P117" s="9"/>
    </row>
    <row r="118" spans="1:16">
      <c r="A118" s="9"/>
      <c r="B118" s="9"/>
      <c r="C118" s="9"/>
      <c r="I118" s="9"/>
      <c r="J118" s="9"/>
      <c r="K118" s="9"/>
      <c r="L118" s="9"/>
      <c r="M118" s="9"/>
      <c r="N118" s="9"/>
      <c r="O118" s="9"/>
      <c r="P118" s="9"/>
    </row>
    <row r="119" spans="1:16">
      <c r="A119" s="9"/>
      <c r="B119" s="9"/>
      <c r="C119" s="9"/>
      <c r="I119" s="9"/>
      <c r="J119" s="9"/>
      <c r="K119" s="9"/>
      <c r="L119" s="9"/>
      <c r="M119" s="9"/>
      <c r="N119" s="9"/>
      <c r="O119" s="9"/>
      <c r="P119" s="9"/>
    </row>
    <row r="120" spans="1:16">
      <c r="A120" s="9"/>
      <c r="B120" s="9"/>
      <c r="C120" s="9"/>
      <c r="I120" s="9"/>
      <c r="J120" s="9"/>
      <c r="K120" s="9"/>
      <c r="L120" s="9"/>
      <c r="M120" s="9"/>
      <c r="N120" s="9"/>
      <c r="O120" s="9"/>
      <c r="P120" s="9"/>
    </row>
    <row r="121" spans="1:16">
      <c r="A121" s="9"/>
      <c r="B121" s="9"/>
      <c r="C121" s="9"/>
      <c r="I121" s="9"/>
      <c r="J121" s="9"/>
      <c r="K121" s="9"/>
      <c r="L121" s="9"/>
      <c r="M121" s="9"/>
      <c r="N121" s="9"/>
      <c r="O121" s="9"/>
      <c r="P121" s="9"/>
    </row>
    <row r="122" spans="1:16">
      <c r="A122" s="9"/>
      <c r="B122" s="9"/>
      <c r="C122" s="9"/>
      <c r="I122" s="9"/>
      <c r="J122" s="9"/>
      <c r="K122" s="9"/>
      <c r="L122" s="9"/>
      <c r="M122" s="9"/>
      <c r="N122" s="9"/>
      <c r="O122" s="9"/>
      <c r="P122" s="9"/>
    </row>
    <row r="123" spans="1:16">
      <c r="A123" s="9"/>
      <c r="B123" s="9"/>
      <c r="C123" s="9"/>
      <c r="I123" s="9"/>
      <c r="J123" s="9"/>
      <c r="K123" s="9"/>
      <c r="L123" s="9"/>
      <c r="M123" s="9"/>
      <c r="N123" s="9"/>
      <c r="O123" s="9"/>
      <c r="P123" s="9"/>
    </row>
    <row r="124" spans="1:16">
      <c r="A124" s="9"/>
      <c r="B124" s="9"/>
      <c r="C124" s="9"/>
      <c r="I124" s="9"/>
      <c r="J124" s="9"/>
      <c r="K124" s="9"/>
      <c r="L124" s="9"/>
      <c r="M124" s="9"/>
      <c r="N124" s="9"/>
      <c r="O124" s="9"/>
      <c r="P124" s="9"/>
    </row>
    <row r="125" spans="1:16">
      <c r="A125" s="9"/>
      <c r="B125" s="9"/>
      <c r="C125" s="9"/>
      <c r="I125" s="9"/>
      <c r="J125" s="9"/>
      <c r="K125" s="9"/>
      <c r="L125" s="9"/>
      <c r="M125" s="9"/>
      <c r="N125" s="9"/>
      <c r="O125" s="9"/>
      <c r="P125" s="9"/>
    </row>
    <row r="126" spans="1:16">
      <c r="A126" s="9"/>
      <c r="B126" s="9"/>
      <c r="C126" s="9"/>
      <c r="I126" s="9"/>
      <c r="J126" s="9"/>
      <c r="K126" s="9"/>
      <c r="L126" s="9"/>
      <c r="M126" s="9"/>
      <c r="N126" s="9"/>
      <c r="O126" s="9"/>
      <c r="P126" s="9"/>
    </row>
    <row r="127" spans="1:16">
      <c r="A127" s="9"/>
      <c r="B127" s="9"/>
      <c r="C127" s="9"/>
      <c r="I127" s="9"/>
      <c r="J127" s="9"/>
      <c r="K127" s="9"/>
      <c r="L127" s="9"/>
      <c r="M127" s="9"/>
      <c r="N127" s="9"/>
      <c r="O127" s="9"/>
      <c r="P127" s="9"/>
    </row>
    <row r="128" spans="1:16">
      <c r="A128" s="9"/>
      <c r="B128" s="9"/>
      <c r="C128" s="9"/>
      <c r="I128" s="9"/>
      <c r="J128" s="9"/>
      <c r="K128" s="9"/>
      <c r="L128" s="9"/>
      <c r="M128" s="9"/>
      <c r="N128" s="9"/>
      <c r="O128" s="9"/>
      <c r="P128" s="9"/>
    </row>
    <row r="129" spans="1:16">
      <c r="A129" s="9"/>
      <c r="B129" s="9"/>
      <c r="C129" s="9"/>
      <c r="I129" s="9"/>
      <c r="J129" s="9"/>
      <c r="K129" s="9"/>
      <c r="L129" s="9"/>
      <c r="M129" s="9"/>
      <c r="N129" s="9"/>
      <c r="O129" s="9"/>
      <c r="P129" s="9"/>
    </row>
    <row r="130" spans="1:16">
      <c r="A130" s="9"/>
      <c r="B130" s="9"/>
      <c r="C130" s="9"/>
      <c r="I130" s="9"/>
      <c r="J130" s="9"/>
      <c r="K130" s="9"/>
      <c r="L130" s="9"/>
      <c r="M130" s="9"/>
      <c r="N130" s="9"/>
      <c r="O130" s="9"/>
      <c r="P130" s="9"/>
    </row>
    <row r="131" spans="1:16">
      <c r="A131" s="9"/>
      <c r="B131" s="9"/>
      <c r="C131" s="9"/>
      <c r="I131" s="9"/>
      <c r="J131" s="9"/>
      <c r="K131" s="9"/>
      <c r="L131" s="9"/>
      <c r="M131" s="9"/>
      <c r="N131" s="9"/>
      <c r="O131" s="9"/>
      <c r="P131" s="9"/>
    </row>
    <row r="132" spans="1:16">
      <c r="A132" s="9"/>
      <c r="B132" s="9"/>
      <c r="C132" s="9"/>
      <c r="I132" s="9"/>
      <c r="J132" s="9"/>
      <c r="K132" s="9"/>
      <c r="L132" s="9"/>
      <c r="M132" s="9"/>
      <c r="N132" s="9"/>
      <c r="O132" s="9"/>
      <c r="P132" s="9"/>
    </row>
    <row r="133" spans="1:16">
      <c r="A133" s="9"/>
      <c r="B133" s="9"/>
      <c r="C133" s="9"/>
      <c r="I133" s="9"/>
      <c r="J133" s="9"/>
      <c r="K133" s="9"/>
      <c r="L133" s="9"/>
      <c r="M133" s="9"/>
      <c r="N133" s="9"/>
      <c r="O133" s="9"/>
      <c r="P133" s="9"/>
    </row>
    <row r="134" spans="1:16">
      <c r="A134" s="9"/>
      <c r="B134" s="9"/>
      <c r="C134" s="9"/>
      <c r="I134" s="9"/>
      <c r="J134" s="9"/>
      <c r="K134" s="9"/>
      <c r="L134" s="9"/>
      <c r="M134" s="9"/>
      <c r="N134" s="9"/>
      <c r="O134" s="9"/>
      <c r="P134" s="9"/>
    </row>
    <row r="135" spans="1:16">
      <c r="A135" s="9"/>
      <c r="B135" s="9"/>
      <c r="C135" s="9"/>
      <c r="I135" s="9"/>
      <c r="J135" s="9"/>
      <c r="K135" s="9"/>
      <c r="L135" s="9"/>
      <c r="M135" s="9"/>
      <c r="N135" s="9"/>
      <c r="O135" s="9"/>
      <c r="P135" s="9"/>
    </row>
    <row r="136" spans="1:16">
      <c r="A136" s="9"/>
      <c r="B136" s="9"/>
      <c r="C136" s="9"/>
      <c r="I136" s="9"/>
      <c r="J136" s="9"/>
      <c r="K136" s="9"/>
      <c r="L136" s="9"/>
      <c r="M136" s="9"/>
      <c r="N136" s="9"/>
      <c r="O136" s="9"/>
      <c r="P136" s="9"/>
    </row>
    <row r="137" spans="1:16">
      <c r="A137" s="9"/>
      <c r="B137" s="9"/>
      <c r="C137" s="9"/>
      <c r="I137" s="9"/>
      <c r="J137" s="9"/>
      <c r="K137" s="9"/>
      <c r="L137" s="9"/>
      <c r="M137" s="9"/>
      <c r="N137" s="9"/>
      <c r="O137" s="9"/>
      <c r="P137" s="9"/>
    </row>
    <row r="138" spans="1:16">
      <c r="A138" s="9"/>
      <c r="B138" s="9"/>
      <c r="C138" s="9"/>
      <c r="I138" s="9"/>
      <c r="J138" s="9"/>
      <c r="K138" s="9"/>
      <c r="L138" s="9"/>
      <c r="M138" s="9"/>
      <c r="N138" s="9"/>
      <c r="O138" s="9"/>
      <c r="P138" s="9"/>
    </row>
    <row r="139" spans="1:16">
      <c r="A139" s="9"/>
      <c r="B139" s="9"/>
      <c r="C139" s="9"/>
      <c r="I139" s="9"/>
      <c r="J139" s="9"/>
      <c r="K139" s="9"/>
      <c r="L139" s="9"/>
      <c r="M139" s="9"/>
      <c r="N139" s="9"/>
      <c r="O139" s="9"/>
      <c r="P139" s="9"/>
    </row>
    <row r="140" spans="1:16">
      <c r="A140" s="9"/>
      <c r="B140" s="9"/>
      <c r="C140" s="9"/>
      <c r="I140" s="9"/>
      <c r="J140" s="9"/>
      <c r="K140" s="9"/>
      <c r="L140" s="9"/>
      <c r="M140" s="9"/>
      <c r="N140" s="9"/>
      <c r="O140" s="9"/>
      <c r="P140" s="9"/>
    </row>
    <row r="141" spans="1:16">
      <c r="A141" s="9"/>
      <c r="B141" s="9"/>
      <c r="C141" s="9"/>
      <c r="I141" s="9"/>
      <c r="J141" s="9"/>
      <c r="K141" s="9"/>
      <c r="L141" s="9"/>
      <c r="M141" s="9"/>
      <c r="N141" s="9"/>
      <c r="O141" s="9"/>
      <c r="P141" s="9"/>
    </row>
    <row r="142" spans="1:16">
      <c r="A142" s="9"/>
      <c r="B142" s="9"/>
      <c r="C142" s="9"/>
      <c r="I142" s="9"/>
      <c r="J142" s="9"/>
      <c r="K142" s="9"/>
      <c r="L142" s="9"/>
      <c r="M142" s="9"/>
      <c r="N142" s="9"/>
      <c r="O142" s="9"/>
      <c r="P142" s="9"/>
    </row>
    <row r="143" spans="1:16">
      <c r="A143" s="9"/>
      <c r="B143" s="9"/>
      <c r="C143" s="9"/>
      <c r="I143" s="9"/>
      <c r="J143" s="9"/>
      <c r="K143" s="9"/>
      <c r="L143" s="9"/>
      <c r="M143" s="9"/>
      <c r="N143" s="9"/>
      <c r="O143" s="9"/>
      <c r="P143" s="9"/>
    </row>
    <row r="144" spans="1:16">
      <c r="A144" s="9"/>
      <c r="B144" s="9"/>
      <c r="C144" s="9"/>
      <c r="I144" s="9"/>
      <c r="J144" s="9"/>
      <c r="K144" s="9"/>
      <c r="L144" s="9"/>
      <c r="M144" s="9"/>
      <c r="N144" s="9"/>
      <c r="O144" s="9"/>
      <c r="P144" s="9"/>
    </row>
    <row r="145" spans="1:16">
      <c r="A145" s="9"/>
      <c r="B145" s="9"/>
      <c r="C145" s="9"/>
      <c r="I145" s="9"/>
      <c r="J145" s="9"/>
      <c r="K145" s="9"/>
      <c r="L145" s="9"/>
      <c r="M145" s="9"/>
      <c r="N145" s="9"/>
      <c r="O145" s="9"/>
      <c r="P145" s="9"/>
    </row>
    <row r="146" spans="1:16">
      <c r="A146" s="9"/>
      <c r="B146" s="9"/>
      <c r="C146" s="9"/>
      <c r="I146" s="9"/>
      <c r="J146" s="9"/>
      <c r="K146" s="9"/>
      <c r="L146" s="9"/>
      <c r="M146" s="9"/>
      <c r="N146" s="9"/>
      <c r="O146" s="9"/>
      <c r="P146" s="9"/>
    </row>
    <row r="147" spans="1:16">
      <c r="A147" s="9"/>
      <c r="B147" s="9"/>
      <c r="C147" s="9"/>
      <c r="I147" s="9"/>
      <c r="J147" s="9"/>
      <c r="K147" s="9"/>
      <c r="L147" s="9"/>
      <c r="M147" s="9"/>
      <c r="N147" s="9"/>
      <c r="O147" s="9"/>
      <c r="P147" s="9"/>
    </row>
    <row r="148" spans="1:16">
      <c r="A148" s="9"/>
      <c r="B148" s="9"/>
      <c r="C148" s="9"/>
      <c r="I148" s="9"/>
      <c r="J148" s="9"/>
      <c r="K148" s="9"/>
      <c r="L148" s="9"/>
      <c r="M148" s="9"/>
      <c r="N148" s="9"/>
      <c r="O148" s="9"/>
      <c r="P148" s="9"/>
    </row>
    <row r="149" spans="1:16">
      <c r="A149" s="9"/>
      <c r="B149" s="9"/>
      <c r="C149" s="9"/>
      <c r="I149" s="9"/>
      <c r="J149" s="9"/>
      <c r="K149" s="9"/>
      <c r="L149" s="9"/>
      <c r="M149" s="9"/>
      <c r="N149" s="9"/>
      <c r="O149" s="9"/>
      <c r="P149" s="9"/>
    </row>
    <row r="150" spans="1:16">
      <c r="A150" s="9"/>
      <c r="B150" s="9"/>
      <c r="C150" s="9"/>
      <c r="I150" s="9"/>
      <c r="J150" s="9"/>
      <c r="K150" s="9"/>
      <c r="L150" s="9"/>
      <c r="M150" s="9"/>
      <c r="N150" s="9"/>
      <c r="O150" s="9"/>
      <c r="P150" s="9"/>
    </row>
    <row r="151" spans="1:16">
      <c r="A151" s="9"/>
      <c r="B151" s="9"/>
      <c r="C151" s="9"/>
      <c r="I151" s="9"/>
      <c r="J151" s="9"/>
      <c r="K151" s="9"/>
      <c r="L151" s="9"/>
      <c r="M151" s="9"/>
      <c r="N151" s="9"/>
      <c r="O151" s="9"/>
      <c r="P151" s="9"/>
    </row>
    <row r="152" spans="1:16">
      <c r="A152" s="9"/>
      <c r="B152" s="9"/>
      <c r="C152" s="9"/>
      <c r="I152" s="9"/>
      <c r="J152" s="9"/>
      <c r="K152" s="9"/>
      <c r="L152" s="9"/>
      <c r="M152" s="9"/>
      <c r="N152" s="9"/>
      <c r="O152" s="9"/>
      <c r="P152" s="9"/>
    </row>
    <row r="153" spans="1:16">
      <c r="A153" s="9"/>
      <c r="B153" s="9"/>
      <c r="C153" s="9"/>
      <c r="I153" s="9"/>
      <c r="J153" s="9"/>
      <c r="K153" s="9"/>
      <c r="L153" s="9"/>
      <c r="M153" s="9"/>
      <c r="N153" s="9"/>
      <c r="O153" s="9"/>
      <c r="P153" s="9"/>
    </row>
    <row r="154" spans="1:16">
      <c r="A154" s="9"/>
      <c r="B154" s="9"/>
      <c r="C154" s="9"/>
      <c r="I154" s="9"/>
      <c r="J154" s="9"/>
      <c r="K154" s="9"/>
      <c r="L154" s="9"/>
      <c r="M154" s="9"/>
      <c r="N154" s="9"/>
      <c r="O154" s="9"/>
      <c r="P154" s="9"/>
    </row>
    <row r="155" spans="1:16">
      <c r="A155" s="9"/>
      <c r="B155" s="9"/>
      <c r="C155" s="9"/>
      <c r="I155" s="9"/>
      <c r="J155" s="9"/>
      <c r="K155" s="9"/>
      <c r="L155" s="9"/>
      <c r="M155" s="9"/>
      <c r="N155" s="9"/>
      <c r="O155" s="9"/>
      <c r="P155" s="9"/>
    </row>
    <row r="156" spans="1:16">
      <c r="A156" s="9"/>
      <c r="B156" s="9"/>
      <c r="C156" s="9"/>
      <c r="I156" s="9"/>
      <c r="J156" s="9"/>
      <c r="K156" s="9"/>
      <c r="L156" s="9"/>
      <c r="M156" s="9"/>
      <c r="N156" s="9"/>
      <c r="O156" s="9"/>
      <c r="P156" s="9"/>
    </row>
    <row r="157" spans="1:16">
      <c r="A157" s="9"/>
      <c r="B157" s="9"/>
      <c r="C157" s="9"/>
      <c r="I157" s="9"/>
      <c r="J157" s="9"/>
      <c r="K157" s="9"/>
      <c r="L157" s="9"/>
      <c r="M157" s="9"/>
      <c r="N157" s="9"/>
      <c r="O157" s="9"/>
      <c r="P157" s="9"/>
    </row>
    <row r="158" spans="1:16">
      <c r="A158" s="9"/>
      <c r="B158" s="9"/>
      <c r="C158" s="9"/>
      <c r="I158" s="9"/>
      <c r="J158" s="9"/>
      <c r="K158" s="9"/>
      <c r="L158" s="9"/>
      <c r="M158" s="9"/>
      <c r="N158" s="9"/>
      <c r="O158" s="9"/>
      <c r="P158" s="9"/>
    </row>
    <row r="159" spans="1:16">
      <c r="A159" s="9"/>
      <c r="B159" s="9"/>
      <c r="C159" s="9"/>
      <c r="I159" s="9"/>
      <c r="J159" s="9"/>
      <c r="K159" s="9"/>
      <c r="L159" s="9"/>
      <c r="M159" s="9"/>
      <c r="N159" s="9"/>
      <c r="O159" s="9"/>
      <c r="P159" s="9"/>
    </row>
    <row r="160" spans="1:16">
      <c r="A160" s="9"/>
      <c r="B160" s="9"/>
      <c r="C160" s="9"/>
      <c r="I160" s="9"/>
      <c r="J160" s="9"/>
      <c r="K160" s="9"/>
      <c r="L160" s="9"/>
      <c r="M160" s="9"/>
      <c r="N160" s="9"/>
      <c r="O160" s="9"/>
      <c r="P160" s="9"/>
    </row>
    <row r="161" spans="1:16">
      <c r="A161" s="9"/>
      <c r="B161" s="9"/>
      <c r="C161" s="9"/>
      <c r="I161" s="9"/>
      <c r="J161" s="9"/>
      <c r="K161" s="9"/>
      <c r="L161" s="9"/>
      <c r="M161" s="9"/>
      <c r="N161" s="9"/>
      <c r="O161" s="9"/>
      <c r="P161" s="9"/>
    </row>
    <row r="162" spans="1:16">
      <c r="A162" s="9"/>
      <c r="B162" s="9"/>
      <c r="C162" s="9"/>
      <c r="I162" s="9"/>
      <c r="J162" s="9"/>
      <c r="K162" s="9"/>
      <c r="L162" s="9"/>
      <c r="M162" s="9"/>
      <c r="N162" s="9"/>
      <c r="O162" s="9"/>
      <c r="P162" s="9"/>
    </row>
    <row r="163" spans="1:16">
      <c r="A163" s="9"/>
      <c r="B163" s="9"/>
      <c r="C163" s="9"/>
      <c r="I163" s="9"/>
      <c r="J163" s="9"/>
      <c r="K163" s="9"/>
      <c r="L163" s="9"/>
      <c r="M163" s="9"/>
      <c r="N163" s="9"/>
      <c r="O163" s="9"/>
      <c r="P163" s="9"/>
    </row>
    <row r="164" spans="1:16">
      <c r="A164" s="9"/>
      <c r="B164" s="9"/>
      <c r="C164" s="9"/>
      <c r="I164" s="9"/>
      <c r="J164" s="9"/>
      <c r="K164" s="9"/>
      <c r="L164" s="9"/>
      <c r="M164" s="9"/>
      <c r="N164" s="9"/>
      <c r="O164" s="9"/>
      <c r="P164" s="9"/>
    </row>
    <row r="165" spans="1:16">
      <c r="A165" s="9"/>
      <c r="B165" s="9"/>
      <c r="C165" s="9"/>
      <c r="I165" s="9"/>
      <c r="J165" s="9"/>
      <c r="K165" s="9"/>
      <c r="L165" s="9"/>
      <c r="M165" s="9"/>
      <c r="N165" s="9"/>
      <c r="O165" s="9"/>
      <c r="P165" s="9"/>
    </row>
    <row r="166" spans="1:16">
      <c r="A166" s="9"/>
      <c r="B166" s="9"/>
      <c r="C166" s="9"/>
      <c r="I166" s="9"/>
      <c r="J166" s="9"/>
      <c r="K166" s="9"/>
      <c r="L166" s="9"/>
      <c r="M166" s="9"/>
      <c r="N166" s="9"/>
      <c r="O166" s="9"/>
      <c r="P166" s="9"/>
    </row>
    <row r="167" spans="1:16">
      <c r="A167" s="9"/>
      <c r="B167" s="9"/>
      <c r="C167" s="9"/>
      <c r="I167" s="9"/>
      <c r="J167" s="9"/>
      <c r="K167" s="9"/>
      <c r="L167" s="9"/>
      <c r="M167" s="9"/>
      <c r="N167" s="9"/>
      <c r="O167" s="9"/>
      <c r="P167" s="9"/>
    </row>
    <row r="168" spans="1:16">
      <c r="A168" s="9"/>
      <c r="B168" s="9"/>
      <c r="C168" s="9"/>
      <c r="I168" s="9"/>
      <c r="J168" s="9"/>
      <c r="K168" s="9"/>
      <c r="L168" s="9"/>
      <c r="M168" s="9"/>
      <c r="N168" s="9"/>
      <c r="O168" s="9"/>
      <c r="P168" s="9"/>
    </row>
    <row r="169" spans="1:16">
      <c r="A169" s="9"/>
      <c r="B169" s="9"/>
      <c r="C169" s="9"/>
      <c r="I169" s="9"/>
      <c r="J169" s="9"/>
      <c r="K169" s="9"/>
      <c r="L169" s="9"/>
      <c r="M169" s="9"/>
      <c r="N169" s="9"/>
      <c r="O169" s="9"/>
      <c r="P169" s="9"/>
    </row>
    <row r="170" spans="1:16">
      <c r="A170" s="9"/>
      <c r="B170" s="9"/>
      <c r="C170" s="9"/>
      <c r="I170" s="9"/>
      <c r="J170" s="9"/>
      <c r="K170" s="9"/>
      <c r="L170" s="9"/>
      <c r="M170" s="9"/>
      <c r="N170" s="9"/>
      <c r="O170" s="9"/>
      <c r="P170" s="9"/>
    </row>
    <row r="171" spans="1:16">
      <c r="A171" s="9"/>
      <c r="B171" s="9"/>
      <c r="C171" s="9"/>
      <c r="I171" s="9"/>
      <c r="J171" s="9"/>
      <c r="K171" s="9"/>
      <c r="L171" s="9"/>
      <c r="M171" s="9"/>
      <c r="N171" s="9"/>
      <c r="O171" s="9"/>
      <c r="P171" s="9"/>
    </row>
    <row r="172" spans="1:16">
      <c r="A172" s="9"/>
      <c r="B172" s="9"/>
      <c r="C172" s="9"/>
      <c r="I172" s="9"/>
      <c r="J172" s="9"/>
      <c r="K172" s="9"/>
      <c r="L172" s="9"/>
      <c r="M172" s="9"/>
      <c r="N172" s="9"/>
      <c r="O172" s="9"/>
      <c r="P172" s="9"/>
    </row>
    <row r="173" spans="1:16">
      <c r="A173" s="9"/>
      <c r="B173" s="9"/>
      <c r="C173" s="9"/>
      <c r="I173" s="9"/>
      <c r="J173" s="9"/>
      <c r="K173" s="9"/>
      <c r="L173" s="9"/>
      <c r="M173" s="9"/>
      <c r="N173" s="9"/>
      <c r="O173" s="9"/>
      <c r="P173" s="9"/>
    </row>
    <row r="174" spans="1:16">
      <c r="A174" s="9"/>
      <c r="B174" s="9"/>
      <c r="C174" s="9"/>
      <c r="I174" s="9"/>
      <c r="J174" s="9"/>
      <c r="K174" s="9"/>
      <c r="L174" s="9"/>
      <c r="M174" s="9"/>
      <c r="N174" s="9"/>
      <c r="O174" s="9"/>
      <c r="P174" s="9"/>
    </row>
    <row r="175" spans="1:16">
      <c r="A175" s="9"/>
      <c r="B175" s="9"/>
      <c r="C175" s="9"/>
      <c r="I175" s="9"/>
      <c r="J175" s="9"/>
      <c r="K175" s="9"/>
      <c r="L175" s="9"/>
      <c r="M175" s="9"/>
      <c r="N175" s="9"/>
      <c r="O175" s="9"/>
      <c r="P175" s="9"/>
    </row>
    <row r="176" spans="1:16">
      <c r="A176" s="9"/>
      <c r="B176" s="9"/>
      <c r="C176" s="9"/>
      <c r="I176" s="9"/>
      <c r="J176" s="9"/>
      <c r="K176" s="9"/>
      <c r="L176" s="9"/>
      <c r="M176" s="9"/>
      <c r="N176" s="9"/>
      <c r="O176" s="9"/>
      <c r="P176" s="9"/>
    </row>
    <row r="177" spans="1:16">
      <c r="A177" s="9"/>
      <c r="B177" s="9"/>
      <c r="C177" s="9"/>
      <c r="I177" s="9"/>
      <c r="J177" s="9"/>
      <c r="K177" s="9"/>
      <c r="L177" s="9"/>
      <c r="M177" s="9"/>
      <c r="N177" s="9"/>
      <c r="O177" s="9"/>
      <c r="P177" s="9"/>
    </row>
    <row r="178" spans="1:16">
      <c r="A178" s="9"/>
      <c r="B178" s="9"/>
      <c r="C178" s="9"/>
      <c r="I178" s="9"/>
      <c r="J178" s="9"/>
      <c r="K178" s="9"/>
      <c r="L178" s="9"/>
      <c r="M178" s="9"/>
      <c r="N178" s="9"/>
      <c r="O178" s="9"/>
      <c r="P178" s="9"/>
    </row>
    <row r="179" spans="1:16">
      <c r="A179" s="9"/>
      <c r="B179" s="9"/>
      <c r="C179" s="9"/>
      <c r="I179" s="9"/>
      <c r="J179" s="9"/>
      <c r="K179" s="9"/>
      <c r="L179" s="9"/>
      <c r="M179" s="9"/>
      <c r="N179" s="9"/>
      <c r="O179" s="9"/>
      <c r="P179" s="9"/>
    </row>
    <row r="180" spans="1:16">
      <c r="A180" s="9"/>
      <c r="B180" s="9"/>
      <c r="C180" s="9"/>
      <c r="I180" s="9"/>
      <c r="J180" s="9"/>
      <c r="K180" s="9"/>
      <c r="L180" s="9"/>
      <c r="M180" s="9"/>
      <c r="N180" s="9"/>
      <c r="O180" s="9"/>
      <c r="P180" s="9"/>
    </row>
    <row r="181" spans="1:16">
      <c r="A181" s="9"/>
      <c r="B181" s="9"/>
      <c r="C181" s="9"/>
      <c r="I181" s="9"/>
      <c r="J181" s="9"/>
      <c r="K181" s="9"/>
      <c r="L181" s="9"/>
      <c r="M181" s="9"/>
      <c r="N181" s="9"/>
      <c r="O181" s="9"/>
      <c r="P181" s="9"/>
    </row>
    <row r="182" spans="1:16">
      <c r="A182" s="9"/>
      <c r="B182" s="9"/>
      <c r="C182" s="9"/>
      <c r="I182" s="9"/>
      <c r="J182" s="9"/>
      <c r="K182" s="9"/>
      <c r="L182" s="9"/>
      <c r="M182" s="9"/>
      <c r="N182" s="9"/>
      <c r="O182" s="9"/>
      <c r="P182" s="9"/>
    </row>
    <row r="183" spans="1:16">
      <c r="A183" s="9"/>
      <c r="B183" s="9"/>
      <c r="C183" s="9"/>
      <c r="I183" s="9"/>
      <c r="J183" s="9"/>
      <c r="K183" s="9"/>
      <c r="L183" s="9"/>
      <c r="M183" s="9"/>
      <c r="N183" s="9"/>
      <c r="O183" s="9"/>
      <c r="P183" s="9"/>
    </row>
    <row r="184" spans="1:16">
      <c r="A184" s="9"/>
      <c r="B184" s="9"/>
      <c r="C184" s="9"/>
      <c r="I184" s="9"/>
      <c r="J184" s="9"/>
      <c r="K184" s="9"/>
      <c r="L184" s="9"/>
      <c r="M184" s="9"/>
      <c r="N184" s="9"/>
      <c r="O184" s="9"/>
      <c r="P184" s="9"/>
    </row>
    <row r="185" spans="1:16">
      <c r="A185" s="9"/>
      <c r="B185" s="9"/>
      <c r="C185" s="9"/>
      <c r="I185" s="9"/>
      <c r="J185" s="9"/>
      <c r="K185" s="9"/>
      <c r="L185" s="9"/>
      <c r="M185" s="9"/>
      <c r="N185" s="9"/>
      <c r="O185" s="9"/>
      <c r="P185" s="9"/>
    </row>
    <row r="186" spans="1:16">
      <c r="A186" s="9"/>
      <c r="B186" s="9"/>
      <c r="C186" s="9"/>
      <c r="I186" s="9"/>
      <c r="J186" s="9"/>
      <c r="K186" s="9"/>
      <c r="L186" s="9"/>
      <c r="M186" s="9"/>
      <c r="N186" s="9"/>
      <c r="O186" s="9"/>
      <c r="P186" s="9"/>
    </row>
    <row r="187" spans="1:16">
      <c r="A187" s="9"/>
      <c r="B187" s="9"/>
      <c r="C187" s="9"/>
      <c r="I187" s="9"/>
      <c r="J187" s="9"/>
      <c r="K187" s="9"/>
      <c r="L187" s="9"/>
      <c r="M187" s="9"/>
      <c r="N187" s="9"/>
      <c r="O187" s="9"/>
      <c r="P187" s="9"/>
    </row>
    <row r="188" spans="1:16">
      <c r="A188" s="9"/>
      <c r="B188" s="9"/>
      <c r="C188" s="9"/>
      <c r="I188" s="9"/>
      <c r="J188" s="9"/>
      <c r="K188" s="9"/>
      <c r="L188" s="9"/>
      <c r="M188" s="9"/>
      <c r="N188" s="9"/>
      <c r="O188" s="9"/>
      <c r="P188" s="9"/>
    </row>
    <row r="189" spans="1:16">
      <c r="A189" s="9"/>
      <c r="B189" s="9"/>
      <c r="C189" s="9"/>
      <c r="I189" s="9"/>
      <c r="J189" s="9"/>
      <c r="K189" s="9"/>
      <c r="L189" s="9"/>
      <c r="M189" s="9"/>
      <c r="N189" s="9"/>
      <c r="O189" s="9"/>
      <c r="P189" s="9"/>
    </row>
    <row r="190" spans="1:16">
      <c r="A190" s="9"/>
      <c r="B190" s="9"/>
      <c r="C190" s="9"/>
      <c r="I190" s="9"/>
      <c r="J190" s="9"/>
      <c r="K190" s="9"/>
      <c r="L190" s="9"/>
      <c r="M190" s="9"/>
      <c r="N190" s="9"/>
      <c r="O190" s="9"/>
      <c r="P190" s="9"/>
    </row>
    <row r="191" spans="1:16">
      <c r="A191" s="9"/>
      <c r="B191" s="9"/>
      <c r="C191" s="9"/>
      <c r="I191" s="9"/>
      <c r="J191" s="9"/>
      <c r="K191" s="9"/>
      <c r="L191" s="9"/>
      <c r="M191" s="9"/>
      <c r="N191" s="9"/>
      <c r="O191" s="9"/>
      <c r="P191" s="9"/>
    </row>
    <row r="192" spans="1:16">
      <c r="A192" s="9"/>
      <c r="B192" s="9"/>
      <c r="C192" s="9"/>
      <c r="I192" s="9"/>
      <c r="J192" s="9"/>
      <c r="K192" s="9"/>
      <c r="L192" s="9"/>
      <c r="M192" s="9"/>
      <c r="N192" s="9"/>
      <c r="O192" s="9"/>
      <c r="P192" s="9"/>
    </row>
    <row r="193" spans="1:16">
      <c r="A193" s="9"/>
      <c r="B193" s="9"/>
      <c r="C193" s="9"/>
      <c r="I193" s="9"/>
      <c r="J193" s="9"/>
      <c r="K193" s="9"/>
      <c r="L193" s="9"/>
      <c r="M193" s="9"/>
      <c r="N193" s="9"/>
      <c r="O193" s="9"/>
      <c r="P193" s="9"/>
    </row>
    <row r="194" spans="1:16">
      <c r="A194" s="9"/>
      <c r="B194" s="9"/>
      <c r="C194" s="9"/>
      <c r="I194" s="9"/>
      <c r="J194" s="9"/>
      <c r="K194" s="9"/>
      <c r="L194" s="9"/>
      <c r="M194" s="9"/>
      <c r="N194" s="9"/>
      <c r="O194" s="9"/>
      <c r="P194" s="9"/>
    </row>
    <row r="195" spans="1:16">
      <c r="A195" s="9"/>
      <c r="B195" s="9"/>
      <c r="C195" s="9"/>
      <c r="I195" s="9"/>
      <c r="J195" s="9"/>
      <c r="K195" s="9"/>
      <c r="L195" s="9"/>
      <c r="M195" s="9"/>
      <c r="N195" s="9"/>
      <c r="O195" s="9"/>
      <c r="P195" s="9"/>
    </row>
    <row r="196" spans="1:16">
      <c r="A196" s="9"/>
      <c r="B196" s="9"/>
      <c r="C196" s="9"/>
      <c r="I196" s="9"/>
      <c r="J196" s="9"/>
      <c r="K196" s="9"/>
      <c r="L196" s="9"/>
      <c r="M196" s="9"/>
      <c r="N196" s="9"/>
      <c r="O196" s="9"/>
      <c r="P196" s="9"/>
    </row>
    <row r="197" spans="1:16">
      <c r="A197" s="9"/>
      <c r="B197" s="9"/>
      <c r="C197" s="9"/>
      <c r="I197" s="9"/>
      <c r="J197" s="9"/>
      <c r="K197" s="9"/>
      <c r="L197" s="9"/>
      <c r="M197" s="9"/>
      <c r="N197" s="9"/>
      <c r="O197" s="9"/>
      <c r="P197" s="9"/>
    </row>
    <row r="198" spans="1:16">
      <c r="A198" s="9"/>
      <c r="B198" s="9"/>
      <c r="C198" s="9"/>
      <c r="I198" s="9"/>
      <c r="J198" s="9"/>
      <c r="K198" s="9"/>
      <c r="L198" s="9"/>
      <c r="M198" s="9"/>
      <c r="N198" s="9"/>
      <c r="O198" s="9"/>
      <c r="P198" s="9"/>
    </row>
    <row r="199" spans="1:16">
      <c r="A199" s="9"/>
      <c r="B199" s="9"/>
      <c r="C199" s="9"/>
      <c r="I199" s="9"/>
      <c r="J199" s="9"/>
      <c r="K199" s="9"/>
      <c r="L199" s="9"/>
      <c r="M199" s="9"/>
      <c r="N199" s="9"/>
      <c r="O199" s="9"/>
      <c r="P199" s="9"/>
    </row>
    <row r="200" spans="1:16">
      <c r="A200" s="9"/>
      <c r="B200" s="9"/>
      <c r="C200" s="9"/>
      <c r="I200" s="9"/>
      <c r="J200" s="9"/>
      <c r="K200" s="9"/>
      <c r="L200" s="9"/>
      <c r="M200" s="9"/>
      <c r="N200" s="9"/>
      <c r="O200" s="9"/>
      <c r="P200" s="9"/>
    </row>
    <row r="201" spans="1:16">
      <c r="A201" s="9"/>
      <c r="B201" s="9"/>
      <c r="C201" s="9"/>
      <c r="I201" s="9"/>
      <c r="J201" s="9"/>
      <c r="K201" s="9"/>
      <c r="L201" s="9"/>
      <c r="M201" s="9"/>
      <c r="N201" s="9"/>
      <c r="O201" s="9"/>
      <c r="P201" s="9"/>
    </row>
    <row r="202" spans="1:16">
      <c r="A202" s="9"/>
      <c r="B202" s="9"/>
      <c r="C202" s="9"/>
      <c r="I202" s="9"/>
      <c r="J202" s="9"/>
      <c r="K202" s="9"/>
      <c r="L202" s="9"/>
      <c r="M202" s="9"/>
      <c r="N202" s="9"/>
      <c r="O202" s="9"/>
      <c r="P202" s="9"/>
    </row>
    <row r="203" spans="1:16">
      <c r="A203" s="9"/>
      <c r="B203" s="9"/>
      <c r="C203" s="9"/>
      <c r="I203" s="9"/>
      <c r="J203" s="9"/>
      <c r="K203" s="9"/>
      <c r="L203" s="9"/>
      <c r="M203" s="9"/>
      <c r="N203" s="9"/>
      <c r="O203" s="9"/>
      <c r="P203" s="9"/>
    </row>
    <row r="204" spans="1:16">
      <c r="A204" s="9"/>
      <c r="B204" s="9"/>
      <c r="C204" s="9"/>
      <c r="I204" s="9"/>
      <c r="J204" s="9"/>
      <c r="K204" s="9"/>
      <c r="L204" s="9"/>
      <c r="M204" s="9"/>
      <c r="N204" s="9"/>
      <c r="O204" s="9"/>
      <c r="P204" s="9"/>
    </row>
    <row r="205" spans="1:16">
      <c r="A205" s="9"/>
      <c r="B205" s="9"/>
      <c r="C205" s="9"/>
      <c r="I205" s="9"/>
      <c r="J205" s="9"/>
      <c r="K205" s="9"/>
      <c r="L205" s="9"/>
      <c r="M205" s="9"/>
      <c r="N205" s="9"/>
      <c r="O205" s="9"/>
      <c r="P205" s="9"/>
    </row>
    <row r="206" spans="1:16">
      <c r="A206" s="9"/>
      <c r="B206" s="9"/>
      <c r="C206" s="9"/>
      <c r="I206" s="9"/>
      <c r="J206" s="9"/>
      <c r="K206" s="9"/>
      <c r="L206" s="9"/>
      <c r="M206" s="9"/>
      <c r="N206" s="9"/>
      <c r="O206" s="9"/>
      <c r="P206" s="9"/>
    </row>
    <row r="207" spans="1:16">
      <c r="A207" s="9"/>
      <c r="B207" s="9"/>
      <c r="C207" s="9"/>
      <c r="I207" s="9"/>
      <c r="J207" s="9"/>
      <c r="K207" s="9"/>
      <c r="L207" s="9"/>
      <c r="M207" s="9"/>
      <c r="N207" s="9"/>
      <c r="O207" s="9"/>
      <c r="P207" s="9"/>
    </row>
    <row r="208" spans="1:16">
      <c r="A208" s="9"/>
      <c r="B208" s="9"/>
      <c r="C208" s="9"/>
      <c r="I208" s="9"/>
      <c r="J208" s="9"/>
      <c r="K208" s="9"/>
      <c r="L208" s="9"/>
      <c r="M208" s="9"/>
      <c r="N208" s="9"/>
      <c r="O208" s="9"/>
      <c r="P208" s="9"/>
    </row>
    <row r="209" spans="1:16">
      <c r="A209" s="9"/>
      <c r="B209" s="9"/>
      <c r="C209" s="9"/>
      <c r="I209" s="9"/>
      <c r="J209" s="9"/>
      <c r="K209" s="9"/>
      <c r="L209" s="9"/>
      <c r="M209" s="9"/>
      <c r="N209" s="9"/>
      <c r="O209" s="9"/>
      <c r="P209" s="9"/>
    </row>
    <row r="210" spans="1:16">
      <c r="A210" s="9"/>
      <c r="B210" s="9"/>
      <c r="C210" s="9"/>
      <c r="I210" s="9"/>
      <c r="J210" s="9"/>
      <c r="K210" s="9"/>
      <c r="L210" s="9"/>
      <c r="M210" s="9"/>
      <c r="N210" s="9"/>
      <c r="O210" s="9"/>
      <c r="P210" s="9"/>
    </row>
    <row r="211" spans="1:16">
      <c r="A211" s="9"/>
      <c r="B211" s="9"/>
      <c r="C211" s="9"/>
      <c r="I211" s="9"/>
      <c r="J211" s="9"/>
      <c r="K211" s="9"/>
      <c r="L211" s="9"/>
      <c r="M211" s="9"/>
      <c r="N211" s="9"/>
      <c r="O211" s="9"/>
      <c r="P211" s="9"/>
    </row>
    <row r="212" spans="1:16">
      <c r="A212" s="9"/>
      <c r="B212" s="9"/>
      <c r="C212" s="9"/>
      <c r="I212" s="9"/>
      <c r="J212" s="9"/>
      <c r="K212" s="9"/>
      <c r="L212" s="9"/>
      <c r="M212" s="9"/>
      <c r="N212" s="9"/>
      <c r="O212" s="9"/>
      <c r="P212" s="9"/>
    </row>
    <row r="213" spans="1:16">
      <c r="A213" s="9"/>
      <c r="B213" s="9"/>
      <c r="C213" s="9"/>
      <c r="I213" s="9"/>
      <c r="J213" s="9"/>
      <c r="K213" s="9"/>
      <c r="L213" s="9"/>
      <c r="M213" s="9"/>
      <c r="N213" s="9"/>
      <c r="O213" s="9"/>
      <c r="P213" s="9"/>
    </row>
    <row r="214" spans="1:16">
      <c r="A214" s="9"/>
      <c r="B214" s="9"/>
      <c r="C214" s="9"/>
      <c r="I214" s="9"/>
      <c r="J214" s="9"/>
      <c r="K214" s="9"/>
      <c r="L214" s="9"/>
      <c r="M214" s="9"/>
      <c r="N214" s="9"/>
      <c r="O214" s="9"/>
      <c r="P214" s="9"/>
    </row>
    <row r="215" spans="1:16">
      <c r="A215" s="9"/>
      <c r="B215" s="9"/>
      <c r="C215" s="9"/>
      <c r="I215" s="9"/>
      <c r="J215" s="9"/>
      <c r="K215" s="9"/>
      <c r="L215" s="9"/>
      <c r="M215" s="9"/>
      <c r="N215" s="9"/>
      <c r="O215" s="9"/>
      <c r="P215" s="9"/>
    </row>
    <row r="216" spans="1:16">
      <c r="A216" s="9"/>
      <c r="B216" s="9"/>
      <c r="C216" s="9"/>
      <c r="I216" s="9"/>
      <c r="J216" s="9"/>
      <c r="K216" s="9"/>
      <c r="L216" s="9"/>
      <c r="M216" s="9"/>
      <c r="N216" s="9"/>
      <c r="O216" s="9"/>
      <c r="P216" s="9"/>
    </row>
    <row r="217" spans="1:16">
      <c r="A217" s="9"/>
      <c r="B217" s="9"/>
      <c r="C217" s="9"/>
      <c r="I217" s="9"/>
      <c r="J217" s="9"/>
      <c r="K217" s="9"/>
      <c r="L217" s="9"/>
      <c r="M217" s="9"/>
      <c r="N217" s="9"/>
      <c r="O217" s="9"/>
      <c r="P217" s="9"/>
    </row>
    <row r="218" spans="1:16">
      <c r="A218" s="9"/>
      <c r="B218" s="9"/>
      <c r="C218" s="9"/>
      <c r="I218" s="9"/>
      <c r="J218" s="9"/>
      <c r="K218" s="9"/>
      <c r="L218" s="9"/>
      <c r="M218" s="9"/>
      <c r="N218" s="9"/>
      <c r="O218" s="9"/>
      <c r="P218" s="9"/>
    </row>
    <row r="219" spans="1:16">
      <c r="A219" s="9"/>
      <c r="B219" s="9"/>
      <c r="C219" s="9"/>
      <c r="I219" s="9"/>
      <c r="J219" s="9"/>
      <c r="K219" s="9"/>
      <c r="L219" s="9"/>
      <c r="M219" s="9"/>
      <c r="N219" s="9"/>
      <c r="O219" s="9"/>
      <c r="P219" s="9"/>
    </row>
    <row r="220" spans="1:16">
      <c r="A220" s="9"/>
      <c r="B220" s="9"/>
      <c r="C220" s="9"/>
      <c r="I220" s="9"/>
      <c r="J220" s="9"/>
      <c r="K220" s="9"/>
      <c r="L220" s="9"/>
      <c r="M220" s="9"/>
      <c r="N220" s="9"/>
      <c r="O220" s="9"/>
      <c r="P220" s="9"/>
    </row>
    <row r="221" spans="1:16">
      <c r="A221" s="9"/>
      <c r="B221" s="9"/>
      <c r="C221" s="9"/>
      <c r="I221" s="9"/>
      <c r="J221" s="9"/>
      <c r="K221" s="9"/>
      <c r="L221" s="9"/>
      <c r="M221" s="9"/>
      <c r="N221" s="9"/>
      <c r="O221" s="9"/>
      <c r="P221" s="9"/>
    </row>
    <row r="222" spans="1:16">
      <c r="A222" s="9"/>
      <c r="B222" s="9"/>
      <c r="C222" s="9"/>
      <c r="I222" s="9"/>
      <c r="J222" s="9"/>
      <c r="K222" s="9"/>
      <c r="L222" s="9"/>
      <c r="M222" s="9"/>
      <c r="N222" s="9"/>
      <c r="O222" s="9"/>
      <c r="P222" s="9"/>
    </row>
    <row r="223" spans="1:16">
      <c r="A223" s="9"/>
      <c r="B223" s="9"/>
      <c r="C223" s="9"/>
      <c r="I223" s="9"/>
      <c r="J223" s="9"/>
      <c r="K223" s="9"/>
      <c r="L223" s="9"/>
      <c r="M223" s="9"/>
      <c r="N223" s="9"/>
      <c r="O223" s="9"/>
      <c r="P223" s="9"/>
    </row>
    <row r="224" spans="1:16">
      <c r="A224" s="9"/>
      <c r="B224" s="9"/>
      <c r="C224" s="9"/>
      <c r="I224" s="9"/>
      <c r="J224" s="9"/>
      <c r="K224" s="9"/>
      <c r="L224" s="9"/>
      <c r="M224" s="9"/>
      <c r="N224" s="9"/>
      <c r="O224" s="9"/>
      <c r="P224" s="9"/>
    </row>
    <row r="225" spans="1:16">
      <c r="A225" s="9"/>
      <c r="B225" s="9"/>
      <c r="C225" s="9"/>
      <c r="I225" s="9"/>
      <c r="J225" s="9"/>
      <c r="K225" s="9"/>
      <c r="L225" s="9"/>
      <c r="M225" s="9"/>
      <c r="N225" s="9"/>
      <c r="O225" s="9"/>
      <c r="P225" s="9"/>
    </row>
    <row r="226" spans="1:16">
      <c r="A226" s="9"/>
      <c r="B226" s="9"/>
      <c r="C226" s="9"/>
      <c r="I226" s="9"/>
      <c r="J226" s="9"/>
      <c r="K226" s="9"/>
      <c r="L226" s="9"/>
      <c r="M226" s="9"/>
      <c r="N226" s="9"/>
      <c r="O226" s="9"/>
      <c r="P226" s="9"/>
    </row>
    <row r="227" spans="1:16">
      <c r="A227" s="9"/>
      <c r="B227" s="9"/>
      <c r="C227" s="9"/>
      <c r="I227" s="9"/>
      <c r="J227" s="9"/>
      <c r="K227" s="9"/>
      <c r="L227" s="9"/>
      <c r="M227" s="9"/>
      <c r="N227" s="9"/>
      <c r="O227" s="9"/>
      <c r="P227" s="9"/>
    </row>
    <row r="228" spans="1:16">
      <c r="A228" s="9"/>
      <c r="B228" s="9"/>
      <c r="C228" s="9"/>
      <c r="I228" s="9"/>
      <c r="J228" s="9"/>
      <c r="K228" s="9"/>
      <c r="L228" s="9"/>
      <c r="M228" s="9"/>
      <c r="N228" s="9"/>
      <c r="O228" s="9"/>
      <c r="P228" s="9"/>
    </row>
    <row r="229" spans="1:16">
      <c r="A229" s="9"/>
      <c r="B229" s="9"/>
      <c r="C229" s="9"/>
      <c r="I229" s="9"/>
      <c r="J229" s="9"/>
      <c r="K229" s="9"/>
      <c r="L229" s="9"/>
      <c r="M229" s="9"/>
      <c r="N229" s="9"/>
      <c r="O229" s="9"/>
      <c r="P229" s="9"/>
    </row>
    <row r="230" spans="1:16">
      <c r="A230" s="9"/>
      <c r="B230" s="9"/>
      <c r="C230" s="9"/>
      <c r="I230" s="9"/>
      <c r="J230" s="9"/>
      <c r="K230" s="9"/>
      <c r="L230" s="9"/>
      <c r="M230" s="9"/>
      <c r="N230" s="9"/>
      <c r="O230" s="9"/>
      <c r="P230" s="9"/>
    </row>
    <row r="231" spans="1:16">
      <c r="A231" s="9"/>
      <c r="B231" s="9"/>
      <c r="C231" s="9"/>
      <c r="I231" s="9"/>
      <c r="J231" s="9"/>
      <c r="K231" s="9"/>
      <c r="L231" s="9"/>
      <c r="M231" s="9"/>
      <c r="N231" s="9"/>
      <c r="O231" s="9"/>
      <c r="P231" s="9"/>
    </row>
    <row r="232" spans="1:16">
      <c r="A232" s="9"/>
      <c r="B232" s="9"/>
      <c r="C232" s="9"/>
      <c r="I232" s="9"/>
      <c r="J232" s="9"/>
      <c r="K232" s="9"/>
      <c r="L232" s="9"/>
      <c r="M232" s="9"/>
      <c r="N232" s="9"/>
      <c r="O232" s="9"/>
      <c r="P232" s="9"/>
    </row>
    <row r="233" spans="1:16">
      <c r="A233" s="9"/>
      <c r="B233" s="9"/>
      <c r="C233" s="9"/>
      <c r="I233" s="9"/>
      <c r="J233" s="9"/>
      <c r="K233" s="9"/>
      <c r="L233" s="9"/>
      <c r="M233" s="9"/>
      <c r="N233" s="9"/>
      <c r="O233" s="9"/>
      <c r="P233" s="9"/>
    </row>
    <row r="234" spans="1:16">
      <c r="A234" s="9"/>
      <c r="B234" s="9"/>
      <c r="C234" s="9"/>
      <c r="I234" s="9"/>
      <c r="J234" s="9"/>
      <c r="K234" s="9"/>
      <c r="L234" s="9"/>
      <c r="M234" s="9"/>
      <c r="N234" s="9"/>
      <c r="O234" s="9"/>
      <c r="P234" s="9"/>
    </row>
    <row r="235" spans="1:16">
      <c r="A235" s="9"/>
      <c r="B235" s="9"/>
      <c r="C235" s="9"/>
      <c r="I235" s="9"/>
      <c r="J235" s="9"/>
      <c r="K235" s="9"/>
      <c r="L235" s="9"/>
      <c r="M235" s="9"/>
      <c r="N235" s="9"/>
      <c r="O235" s="9"/>
      <c r="P235" s="9"/>
    </row>
    <row r="236" spans="1:16">
      <c r="A236" s="9"/>
      <c r="B236" s="9"/>
      <c r="C236" s="9"/>
      <c r="I236" s="9"/>
      <c r="J236" s="9"/>
      <c r="K236" s="9"/>
      <c r="L236" s="9"/>
      <c r="M236" s="9"/>
      <c r="N236" s="9"/>
      <c r="O236" s="9"/>
      <c r="P236" s="9"/>
    </row>
    <row r="237" spans="1:16">
      <c r="A237" s="9"/>
      <c r="B237" s="9"/>
      <c r="C237" s="9"/>
      <c r="I237" s="9"/>
      <c r="J237" s="9"/>
      <c r="K237" s="9"/>
      <c r="L237" s="9"/>
      <c r="M237" s="9"/>
      <c r="N237" s="9"/>
      <c r="O237" s="9"/>
      <c r="P237" s="9"/>
    </row>
    <row r="238" spans="1:16">
      <c r="A238" s="9"/>
      <c r="B238" s="9"/>
      <c r="C238" s="9"/>
      <c r="I238" s="9"/>
      <c r="J238" s="9"/>
      <c r="K238" s="9"/>
      <c r="L238" s="9"/>
      <c r="M238" s="9"/>
      <c r="N238" s="9"/>
      <c r="O238" s="9"/>
      <c r="P238" s="9"/>
    </row>
    <row r="239" spans="1:16">
      <c r="A239" s="9"/>
      <c r="B239" s="9"/>
      <c r="C239" s="9"/>
      <c r="I239" s="9"/>
      <c r="J239" s="9"/>
      <c r="K239" s="9"/>
      <c r="L239" s="9"/>
      <c r="M239" s="9"/>
      <c r="N239" s="9"/>
      <c r="O239" s="9"/>
      <c r="P239" s="9"/>
    </row>
    <row r="240" spans="1:16">
      <c r="A240" s="9"/>
      <c r="B240" s="9"/>
      <c r="C240" s="9"/>
      <c r="I240" s="9"/>
      <c r="J240" s="9"/>
      <c r="K240" s="9"/>
      <c r="L240" s="9"/>
      <c r="M240" s="9"/>
      <c r="N240" s="9"/>
      <c r="O240" s="9"/>
      <c r="P240" s="9"/>
    </row>
    <row r="241" spans="1:16">
      <c r="A241" s="9"/>
      <c r="B241" s="9"/>
      <c r="C241" s="9"/>
      <c r="I241" s="9"/>
      <c r="J241" s="9"/>
      <c r="K241" s="9"/>
      <c r="L241" s="9"/>
      <c r="M241" s="9"/>
      <c r="N241" s="9"/>
      <c r="O241" s="9"/>
      <c r="P241" s="9"/>
    </row>
    <row r="242" spans="1:16">
      <c r="A242" s="9"/>
      <c r="B242" s="9"/>
      <c r="C242" s="9"/>
      <c r="I242" s="9"/>
      <c r="J242" s="9"/>
      <c r="K242" s="9"/>
      <c r="L242" s="9"/>
      <c r="M242" s="9"/>
      <c r="N242" s="9"/>
      <c r="O242" s="9"/>
      <c r="P242" s="9"/>
    </row>
    <row r="243" spans="1:16">
      <c r="A243" s="9"/>
      <c r="B243" s="9"/>
      <c r="C243" s="9"/>
      <c r="I243" s="9"/>
      <c r="J243" s="9"/>
      <c r="K243" s="9"/>
      <c r="L243" s="9"/>
      <c r="M243" s="9"/>
      <c r="N243" s="9"/>
      <c r="O243" s="9"/>
      <c r="P243" s="9"/>
    </row>
    <row r="244" spans="1:16">
      <c r="A244" s="9"/>
      <c r="B244" s="9"/>
      <c r="C244" s="9"/>
      <c r="I244" s="9"/>
      <c r="J244" s="9"/>
      <c r="K244" s="9"/>
      <c r="L244" s="9"/>
      <c r="M244" s="9"/>
      <c r="N244" s="9"/>
      <c r="O244" s="9"/>
      <c r="P244" s="9"/>
    </row>
    <row r="245" spans="1:16">
      <c r="A245" s="9"/>
      <c r="B245" s="9"/>
      <c r="C245" s="9"/>
      <c r="I245" s="9"/>
      <c r="J245" s="9"/>
      <c r="K245" s="9"/>
      <c r="L245" s="9"/>
      <c r="M245" s="9"/>
      <c r="N245" s="9"/>
      <c r="O245" s="9"/>
      <c r="P245" s="9"/>
    </row>
    <row r="246" spans="1:16">
      <c r="A246" s="9"/>
      <c r="B246" s="9"/>
      <c r="C246" s="9"/>
      <c r="I246" s="9"/>
      <c r="J246" s="9"/>
      <c r="K246" s="9"/>
      <c r="L246" s="9"/>
      <c r="M246" s="9"/>
      <c r="N246" s="9"/>
      <c r="O246" s="9"/>
      <c r="P246" s="9"/>
    </row>
    <row r="247" spans="1:16">
      <c r="A247" s="9"/>
      <c r="B247" s="9"/>
      <c r="C247" s="9"/>
      <c r="I247" s="9"/>
      <c r="J247" s="9"/>
      <c r="K247" s="9"/>
      <c r="L247" s="9"/>
      <c r="M247" s="9"/>
      <c r="N247" s="9"/>
      <c r="O247" s="9"/>
      <c r="P247" s="9"/>
    </row>
    <row r="248" spans="1:16">
      <c r="A248" s="9"/>
      <c r="B248" s="9"/>
      <c r="C248" s="9"/>
      <c r="I248" s="9"/>
      <c r="J248" s="9"/>
      <c r="K248" s="9"/>
      <c r="L248" s="9"/>
      <c r="M248" s="9"/>
      <c r="N248" s="9"/>
      <c r="O248" s="9"/>
      <c r="P248" s="9"/>
    </row>
    <row r="249" spans="1:16">
      <c r="A249" s="9"/>
      <c r="B249" s="9"/>
      <c r="C249" s="9"/>
      <c r="I249" s="9"/>
      <c r="J249" s="9"/>
      <c r="K249" s="9"/>
      <c r="L249" s="9"/>
      <c r="M249" s="9"/>
      <c r="N249" s="9"/>
      <c r="O249" s="9"/>
      <c r="P249" s="9"/>
    </row>
    <row r="250" spans="1:16">
      <c r="A250" s="9"/>
      <c r="B250" s="9"/>
      <c r="C250" s="9"/>
      <c r="I250" s="9"/>
      <c r="J250" s="9"/>
      <c r="K250" s="9"/>
      <c r="L250" s="9"/>
      <c r="M250" s="9"/>
      <c r="N250" s="9"/>
      <c r="O250" s="9"/>
      <c r="P250" s="9"/>
    </row>
    <row r="251" spans="1:16">
      <c r="A251" s="9"/>
      <c r="B251" s="9"/>
      <c r="C251" s="9"/>
      <c r="I251" s="9"/>
      <c r="J251" s="9"/>
      <c r="K251" s="9"/>
      <c r="L251" s="9"/>
      <c r="M251" s="9"/>
      <c r="N251" s="9"/>
      <c r="O251" s="9"/>
      <c r="P251" s="9"/>
    </row>
    <row r="252" spans="1:16">
      <c r="A252" s="9"/>
      <c r="B252" s="9"/>
      <c r="C252" s="9"/>
      <c r="I252" s="9"/>
      <c r="J252" s="9"/>
      <c r="K252" s="9"/>
      <c r="L252" s="9"/>
      <c r="M252" s="9"/>
      <c r="N252" s="9"/>
      <c r="O252" s="9"/>
      <c r="P252" s="9"/>
    </row>
    <row r="253" spans="1:16">
      <c r="A253" s="9"/>
      <c r="B253" s="9"/>
      <c r="C253" s="9"/>
      <c r="I253" s="9"/>
      <c r="J253" s="9"/>
      <c r="K253" s="9"/>
      <c r="L253" s="9"/>
      <c r="M253" s="9"/>
      <c r="N253" s="9"/>
      <c r="O253" s="9"/>
      <c r="P253" s="9"/>
    </row>
    <row r="254" spans="1:16">
      <c r="A254" s="9"/>
      <c r="B254" s="9"/>
      <c r="C254" s="9"/>
      <c r="I254" s="9"/>
      <c r="J254" s="9"/>
      <c r="K254" s="9"/>
      <c r="L254" s="9"/>
      <c r="M254" s="9"/>
      <c r="N254" s="9"/>
      <c r="O254" s="9"/>
      <c r="P254" s="9"/>
    </row>
    <row r="255" spans="1:16">
      <c r="A255" s="9"/>
      <c r="B255" s="9"/>
      <c r="C255" s="9"/>
      <c r="I255" s="9"/>
      <c r="J255" s="9"/>
      <c r="K255" s="9"/>
      <c r="L255" s="9"/>
      <c r="M255" s="9"/>
      <c r="N255" s="9"/>
      <c r="O255" s="9"/>
      <c r="P255" s="9"/>
    </row>
    <row r="256" spans="1:16">
      <c r="A256" s="9"/>
      <c r="B256" s="9"/>
      <c r="C256" s="9"/>
      <c r="I256" s="9"/>
      <c r="J256" s="9"/>
      <c r="K256" s="9"/>
      <c r="L256" s="9"/>
      <c r="M256" s="9"/>
      <c r="N256" s="9"/>
      <c r="O256" s="9"/>
      <c r="P256" s="9"/>
    </row>
    <row r="257" spans="1:16">
      <c r="A257" s="9"/>
      <c r="B257" s="9"/>
      <c r="C257" s="9"/>
      <c r="I257" s="9"/>
      <c r="J257" s="9"/>
      <c r="K257" s="9"/>
      <c r="L257" s="9"/>
      <c r="M257" s="9"/>
      <c r="N257" s="9"/>
      <c r="O257" s="9"/>
      <c r="P257" s="9"/>
    </row>
    <row r="258" spans="1:16">
      <c r="A258" s="9"/>
      <c r="B258" s="9"/>
      <c r="C258" s="9"/>
      <c r="I258" s="9"/>
      <c r="J258" s="9"/>
      <c r="K258" s="9"/>
      <c r="L258" s="9"/>
      <c r="M258" s="9"/>
      <c r="N258" s="9"/>
      <c r="O258" s="9"/>
      <c r="P258" s="9"/>
    </row>
    <row r="259" spans="1:16">
      <c r="A259" s="9"/>
      <c r="B259" s="9"/>
      <c r="C259" s="9"/>
      <c r="I259" s="9"/>
      <c r="J259" s="9"/>
      <c r="K259" s="9"/>
      <c r="L259" s="9"/>
      <c r="M259" s="9"/>
      <c r="N259" s="9"/>
      <c r="O259" s="9"/>
      <c r="P259" s="9"/>
    </row>
    <row r="260" spans="1:16">
      <c r="A260" s="9"/>
      <c r="B260" s="9"/>
      <c r="C260" s="9"/>
      <c r="I260" s="9"/>
      <c r="J260" s="9"/>
      <c r="K260" s="9"/>
      <c r="L260" s="9"/>
      <c r="M260" s="9"/>
      <c r="N260" s="9"/>
      <c r="O260" s="9"/>
      <c r="P260" s="9"/>
    </row>
    <row r="261" spans="1:16">
      <c r="A261" s="9"/>
      <c r="B261" s="9"/>
      <c r="C261" s="9"/>
      <c r="I261" s="9"/>
      <c r="J261" s="9"/>
      <c r="K261" s="9"/>
      <c r="L261" s="9"/>
      <c r="M261" s="9"/>
      <c r="N261" s="9"/>
      <c r="O261" s="9"/>
      <c r="P261" s="9"/>
    </row>
    <row r="262" spans="1:16">
      <c r="A262" s="9"/>
      <c r="B262" s="9"/>
      <c r="C262" s="9"/>
      <c r="I262" s="9"/>
      <c r="J262" s="9"/>
      <c r="K262" s="9"/>
      <c r="L262" s="9"/>
      <c r="M262" s="9"/>
      <c r="N262" s="9"/>
      <c r="O262" s="9"/>
      <c r="P262" s="9"/>
    </row>
    <row r="263" spans="1:16">
      <c r="A263" s="9"/>
      <c r="B263" s="9"/>
      <c r="C263" s="9"/>
      <c r="I263" s="9"/>
      <c r="J263" s="9"/>
      <c r="K263" s="9"/>
      <c r="L263" s="9"/>
      <c r="M263" s="9"/>
      <c r="N263" s="9"/>
      <c r="O263" s="9"/>
      <c r="P263" s="9"/>
    </row>
    <row r="264" spans="1:16">
      <c r="A264" s="9"/>
      <c r="B264" s="9"/>
      <c r="C264" s="9"/>
      <c r="I264" s="9"/>
      <c r="J264" s="9"/>
      <c r="K264" s="9"/>
      <c r="L264" s="9"/>
      <c r="M264" s="9"/>
      <c r="N264" s="9"/>
      <c r="O264" s="9"/>
      <c r="P264" s="9"/>
    </row>
    <row r="265" spans="1:16">
      <c r="A265" s="9"/>
      <c r="B265" s="9"/>
      <c r="C265" s="9"/>
      <c r="I265" s="9"/>
      <c r="J265" s="9"/>
      <c r="K265" s="9"/>
      <c r="L265" s="9"/>
      <c r="M265" s="9"/>
      <c r="N265" s="9"/>
      <c r="O265" s="9"/>
      <c r="P265" s="9"/>
    </row>
    <row r="266" spans="1:16">
      <c r="A266" s="9"/>
      <c r="B266" s="9"/>
      <c r="C266" s="9"/>
      <c r="I266" s="9"/>
      <c r="J266" s="9"/>
      <c r="K266" s="9"/>
      <c r="L266" s="9"/>
      <c r="M266" s="9"/>
      <c r="N266" s="9"/>
      <c r="O266" s="9"/>
      <c r="P266" s="9"/>
    </row>
    <row r="267" spans="1:16">
      <c r="A267" s="9"/>
      <c r="B267" s="9"/>
      <c r="C267" s="9"/>
      <c r="I267" s="9"/>
      <c r="J267" s="9"/>
      <c r="K267" s="9"/>
      <c r="L267" s="9"/>
      <c r="M267" s="9"/>
      <c r="N267" s="9"/>
      <c r="O267" s="9"/>
      <c r="P267" s="9"/>
    </row>
    <row r="268" spans="1:16">
      <c r="A268" s="9"/>
      <c r="B268" s="9"/>
      <c r="C268" s="9"/>
      <c r="I268" s="9"/>
      <c r="J268" s="9"/>
      <c r="K268" s="9"/>
      <c r="L268" s="9"/>
      <c r="M268" s="9"/>
      <c r="N268" s="9"/>
      <c r="O268" s="9"/>
      <c r="P268" s="9"/>
    </row>
    <row r="269" spans="1:16">
      <c r="A269" s="9"/>
      <c r="B269" s="9"/>
      <c r="C269" s="9"/>
      <c r="I269" s="9"/>
      <c r="J269" s="9"/>
      <c r="K269" s="9"/>
      <c r="L269" s="9"/>
      <c r="M269" s="9"/>
      <c r="N269" s="9"/>
      <c r="O269" s="9"/>
      <c r="P269" s="9"/>
    </row>
    <row r="270" spans="1:16">
      <c r="A270" s="9"/>
      <c r="B270" s="9"/>
      <c r="C270" s="9"/>
      <c r="I270" s="9"/>
      <c r="J270" s="9"/>
      <c r="K270" s="9"/>
      <c r="L270" s="9"/>
      <c r="M270" s="9"/>
      <c r="N270" s="9"/>
      <c r="O270" s="9"/>
      <c r="P270" s="9"/>
    </row>
    <row r="271" spans="1:16">
      <c r="A271" s="9"/>
      <c r="B271" s="9"/>
      <c r="C271" s="9"/>
      <c r="I271" s="9"/>
      <c r="J271" s="9"/>
      <c r="K271" s="9"/>
      <c r="L271" s="9"/>
      <c r="M271" s="9"/>
      <c r="N271" s="9"/>
      <c r="O271" s="9"/>
      <c r="P271" s="9"/>
    </row>
    <row r="272" spans="1:16">
      <c r="A272" s="9"/>
      <c r="B272" s="9"/>
      <c r="C272" s="9"/>
      <c r="I272" s="9"/>
      <c r="J272" s="9"/>
      <c r="K272" s="9"/>
      <c r="L272" s="9"/>
      <c r="M272" s="9"/>
      <c r="N272" s="9"/>
      <c r="O272" s="9"/>
      <c r="P272" s="9"/>
    </row>
    <row r="273" spans="1:16">
      <c r="A273" s="9"/>
      <c r="B273" s="9"/>
      <c r="C273" s="9"/>
      <c r="I273" s="9"/>
      <c r="J273" s="9"/>
      <c r="K273" s="9"/>
      <c r="L273" s="9"/>
      <c r="M273" s="9"/>
      <c r="N273" s="9"/>
      <c r="O273" s="9"/>
      <c r="P273" s="9"/>
    </row>
    <row r="274" spans="1:16">
      <c r="A274" s="9"/>
      <c r="B274" s="9"/>
      <c r="C274" s="9"/>
      <c r="I274" s="9"/>
      <c r="J274" s="9"/>
      <c r="K274" s="9"/>
      <c r="L274" s="9"/>
      <c r="M274" s="9"/>
      <c r="N274" s="9"/>
      <c r="O274" s="9"/>
      <c r="P274" s="9"/>
    </row>
    <row r="275" spans="1:16">
      <c r="A275" s="9"/>
      <c r="B275" s="9"/>
      <c r="C275" s="9"/>
      <c r="I275" s="9"/>
      <c r="J275" s="9"/>
      <c r="K275" s="9"/>
      <c r="L275" s="9"/>
      <c r="M275" s="9"/>
      <c r="N275" s="9"/>
      <c r="O275" s="9"/>
      <c r="P275" s="9"/>
    </row>
    <row r="276" spans="1:16">
      <c r="A276" s="9"/>
      <c r="B276" s="9"/>
      <c r="C276" s="9"/>
      <c r="I276" s="9"/>
      <c r="J276" s="9"/>
      <c r="K276" s="9"/>
      <c r="L276" s="9"/>
      <c r="M276" s="9"/>
      <c r="N276" s="9"/>
      <c r="O276" s="9"/>
      <c r="P276" s="9"/>
    </row>
    <row r="277" spans="1:16">
      <c r="A277" s="9"/>
      <c r="B277" s="9"/>
      <c r="C277" s="9"/>
      <c r="I277" s="9"/>
      <c r="J277" s="9"/>
      <c r="K277" s="9"/>
      <c r="L277" s="9"/>
      <c r="M277" s="9"/>
      <c r="N277" s="9"/>
      <c r="O277" s="9"/>
      <c r="P277" s="9"/>
    </row>
    <row r="278" spans="1:16">
      <c r="A278" s="9"/>
      <c r="B278" s="9"/>
      <c r="C278" s="9"/>
      <c r="I278" s="9"/>
      <c r="J278" s="9"/>
      <c r="K278" s="9"/>
      <c r="L278" s="9"/>
      <c r="M278" s="9"/>
      <c r="N278" s="9"/>
      <c r="O278" s="9"/>
      <c r="P278" s="9"/>
    </row>
    <row r="279" spans="1:16">
      <c r="A279" s="9"/>
      <c r="B279" s="9"/>
      <c r="C279" s="9"/>
      <c r="I279" s="9"/>
      <c r="J279" s="9"/>
      <c r="K279" s="9"/>
      <c r="L279" s="9"/>
      <c r="M279" s="9"/>
      <c r="N279" s="9"/>
      <c r="O279" s="9"/>
      <c r="P279" s="9"/>
    </row>
    <row r="280" spans="1:16">
      <c r="A280" s="9"/>
      <c r="B280" s="9"/>
      <c r="C280" s="9"/>
      <c r="I280" s="9"/>
      <c r="J280" s="9"/>
      <c r="K280" s="9"/>
      <c r="L280" s="9"/>
      <c r="M280" s="9"/>
      <c r="N280" s="9"/>
      <c r="O280" s="9"/>
      <c r="P280" s="9"/>
    </row>
    <row r="281" spans="1:16">
      <c r="A281" s="9"/>
      <c r="B281" s="9"/>
      <c r="C281" s="9"/>
      <c r="I281" s="9"/>
      <c r="J281" s="9"/>
      <c r="K281" s="9"/>
      <c r="L281" s="9"/>
      <c r="M281" s="9"/>
      <c r="N281" s="9"/>
      <c r="O281" s="9"/>
      <c r="P281" s="9"/>
    </row>
    <row r="282" spans="1:16">
      <c r="A282" s="9"/>
      <c r="B282" s="9"/>
      <c r="C282" s="9"/>
      <c r="I282" s="9"/>
      <c r="J282" s="9"/>
      <c r="K282" s="9"/>
      <c r="L282" s="9"/>
      <c r="M282" s="9"/>
      <c r="N282" s="9"/>
      <c r="O282" s="9"/>
      <c r="P282" s="9"/>
    </row>
    <row r="283" spans="1:16">
      <c r="A283" s="9"/>
      <c r="B283" s="9"/>
      <c r="C283" s="9"/>
      <c r="I283" s="9"/>
      <c r="J283" s="9"/>
      <c r="K283" s="9"/>
      <c r="L283" s="9"/>
      <c r="M283" s="9"/>
      <c r="N283" s="9"/>
      <c r="O283" s="9"/>
      <c r="P283" s="9"/>
    </row>
    <row r="284" spans="1:16">
      <c r="A284" s="9"/>
      <c r="B284" s="9"/>
      <c r="C284" s="9"/>
      <c r="I284" s="9"/>
      <c r="J284" s="9"/>
      <c r="K284" s="9"/>
      <c r="L284" s="9"/>
      <c r="M284" s="9"/>
      <c r="N284" s="9"/>
      <c r="O284" s="9"/>
      <c r="P284" s="9"/>
    </row>
    <row r="285" spans="1:16">
      <c r="A285" s="9"/>
      <c r="B285" s="9"/>
      <c r="C285" s="9"/>
      <c r="I285" s="9"/>
      <c r="J285" s="9"/>
      <c r="K285" s="9"/>
      <c r="L285" s="9"/>
      <c r="M285" s="9"/>
      <c r="N285" s="9"/>
      <c r="O285" s="9"/>
      <c r="P285" s="9"/>
    </row>
    <row r="286" spans="1:16">
      <c r="A286" s="9"/>
      <c r="B286" s="9"/>
      <c r="C286" s="9"/>
      <c r="I286" s="9"/>
      <c r="J286" s="9"/>
      <c r="K286" s="9"/>
      <c r="L286" s="9"/>
      <c r="M286" s="9"/>
      <c r="N286" s="9"/>
      <c r="O286" s="9"/>
      <c r="P286" s="9"/>
    </row>
    <row r="287" spans="1:16">
      <c r="A287" s="9"/>
      <c r="B287" s="9"/>
      <c r="C287" s="9"/>
      <c r="I287" s="9"/>
      <c r="J287" s="9"/>
      <c r="K287" s="9"/>
      <c r="L287" s="9"/>
      <c r="M287" s="9"/>
      <c r="N287" s="9"/>
      <c r="O287" s="9"/>
      <c r="P287" s="9"/>
    </row>
    <row r="288" spans="1:16">
      <c r="A288" s="9"/>
      <c r="B288" s="9"/>
      <c r="C288" s="9"/>
      <c r="I288" s="9"/>
      <c r="J288" s="9"/>
      <c r="K288" s="9"/>
      <c r="L288" s="9"/>
      <c r="M288" s="9"/>
      <c r="N288" s="9"/>
      <c r="O288" s="9"/>
      <c r="P288" s="9"/>
    </row>
    <row r="289" spans="1:16">
      <c r="A289" s="9"/>
      <c r="B289" s="9"/>
      <c r="C289" s="9"/>
      <c r="I289" s="9"/>
      <c r="J289" s="9"/>
      <c r="K289" s="9"/>
      <c r="L289" s="9"/>
      <c r="M289" s="9"/>
      <c r="N289" s="9"/>
      <c r="O289" s="9"/>
      <c r="P289" s="9"/>
    </row>
    <row r="290" spans="1:16">
      <c r="A290" s="9"/>
      <c r="B290" s="9"/>
      <c r="C290" s="9"/>
      <c r="I290" s="9"/>
      <c r="J290" s="9"/>
      <c r="K290" s="9"/>
      <c r="L290" s="9"/>
      <c r="M290" s="9"/>
      <c r="N290" s="9"/>
      <c r="O290" s="9"/>
      <c r="P290" s="9"/>
    </row>
    <row r="291" spans="1:16">
      <c r="A291" s="9"/>
      <c r="B291" s="9"/>
      <c r="C291" s="9"/>
      <c r="I291" s="9"/>
      <c r="J291" s="9"/>
      <c r="K291" s="9"/>
      <c r="L291" s="9"/>
      <c r="M291" s="9"/>
      <c r="N291" s="9"/>
      <c r="O291" s="9"/>
      <c r="P291" s="9"/>
    </row>
    <row r="292" spans="1:16">
      <c r="A292" s="9"/>
      <c r="B292" s="9"/>
      <c r="C292" s="9"/>
      <c r="I292" s="9"/>
      <c r="J292" s="9"/>
      <c r="K292" s="9"/>
      <c r="L292" s="9"/>
      <c r="M292" s="9"/>
      <c r="N292" s="9"/>
      <c r="O292" s="9"/>
      <c r="P292" s="9"/>
    </row>
    <row r="293" spans="1:16">
      <c r="A293" s="9"/>
      <c r="B293" s="9"/>
      <c r="C293" s="9"/>
      <c r="I293" s="9"/>
      <c r="J293" s="9"/>
      <c r="K293" s="9"/>
      <c r="L293" s="9"/>
      <c r="M293" s="9"/>
      <c r="N293" s="9"/>
      <c r="O293" s="9"/>
      <c r="P293" s="9"/>
    </row>
    <row r="294" spans="1:16">
      <c r="A294" s="9"/>
      <c r="B294" s="9"/>
      <c r="C294" s="9"/>
      <c r="I294" s="9"/>
      <c r="J294" s="9"/>
      <c r="K294" s="9"/>
      <c r="L294" s="9"/>
      <c r="M294" s="9"/>
      <c r="N294" s="9"/>
      <c r="O294" s="9"/>
      <c r="P294" s="9"/>
    </row>
    <row r="295" spans="1:16">
      <c r="A295" s="9"/>
      <c r="B295" s="9"/>
      <c r="C295" s="9"/>
      <c r="I295" s="9"/>
      <c r="J295" s="9"/>
      <c r="K295" s="9"/>
      <c r="L295" s="9"/>
      <c r="M295" s="9"/>
      <c r="N295" s="9"/>
      <c r="O295" s="9"/>
      <c r="P295" s="9"/>
    </row>
    <row r="296" spans="1:16">
      <c r="A296" s="9"/>
      <c r="B296" s="9"/>
      <c r="C296" s="9"/>
      <c r="I296" s="9"/>
      <c r="J296" s="9"/>
      <c r="K296" s="9"/>
      <c r="L296" s="9"/>
      <c r="M296" s="9"/>
      <c r="N296" s="9"/>
      <c r="O296" s="9"/>
      <c r="P296" s="9"/>
    </row>
    <row r="297" spans="1:16">
      <c r="A297" s="9"/>
      <c r="B297" s="9"/>
      <c r="C297" s="9"/>
      <c r="I297" s="9"/>
      <c r="J297" s="9"/>
      <c r="K297" s="9"/>
      <c r="L297" s="9"/>
      <c r="M297" s="9"/>
      <c r="N297" s="9"/>
      <c r="O297" s="9"/>
      <c r="P297" s="9"/>
    </row>
    <row r="298" spans="1:16">
      <c r="A298" s="9"/>
      <c r="B298" s="9"/>
      <c r="C298" s="9"/>
      <c r="I298" s="9"/>
      <c r="J298" s="9"/>
      <c r="K298" s="9"/>
      <c r="L298" s="9"/>
      <c r="M298" s="9"/>
      <c r="N298" s="9"/>
      <c r="O298" s="9"/>
      <c r="P298" s="9"/>
    </row>
    <row r="299" spans="1:16">
      <c r="A299" s="9"/>
      <c r="B299" s="9"/>
      <c r="C299" s="9"/>
      <c r="I299" s="9"/>
      <c r="J299" s="9"/>
      <c r="K299" s="9"/>
      <c r="L299" s="9"/>
      <c r="M299" s="9"/>
      <c r="N299" s="9"/>
      <c r="O299" s="9"/>
      <c r="P299" s="9"/>
    </row>
    <row r="300" spans="1:16">
      <c r="A300" s="9"/>
      <c r="B300" s="9"/>
      <c r="C300" s="9"/>
      <c r="I300" s="9"/>
      <c r="J300" s="9"/>
      <c r="K300" s="9"/>
      <c r="L300" s="9"/>
      <c r="M300" s="9"/>
      <c r="N300" s="9"/>
      <c r="O300" s="9"/>
      <c r="P300" s="9"/>
    </row>
    <row r="301" spans="1:16">
      <c r="A301" s="9"/>
      <c r="B301" s="9"/>
      <c r="C301" s="9"/>
      <c r="I301" s="9"/>
      <c r="J301" s="9"/>
      <c r="K301" s="9"/>
      <c r="L301" s="9"/>
      <c r="M301" s="9"/>
      <c r="N301" s="9"/>
      <c r="O301" s="9"/>
      <c r="P301" s="9"/>
    </row>
    <row r="302" spans="1:16">
      <c r="A302" s="9"/>
      <c r="B302" s="9"/>
      <c r="C302" s="9"/>
      <c r="I302" s="9"/>
      <c r="J302" s="9"/>
      <c r="K302" s="9"/>
      <c r="L302" s="9"/>
      <c r="M302" s="9"/>
      <c r="N302" s="9"/>
      <c r="O302" s="9"/>
      <c r="P302" s="9"/>
    </row>
    <row r="303" spans="1:16">
      <c r="A303" s="9"/>
      <c r="B303" s="9"/>
      <c r="C303" s="9"/>
      <c r="I303" s="9"/>
      <c r="J303" s="9"/>
      <c r="K303" s="9"/>
      <c r="L303" s="9"/>
      <c r="M303" s="9"/>
      <c r="N303" s="9"/>
      <c r="O303" s="9"/>
      <c r="P303" s="9"/>
    </row>
    <row r="304" spans="1:16">
      <c r="A304" s="9"/>
      <c r="B304" s="9"/>
      <c r="C304" s="9"/>
      <c r="I304" s="9"/>
      <c r="J304" s="9"/>
      <c r="K304" s="9"/>
      <c r="L304" s="9"/>
      <c r="M304" s="9"/>
      <c r="N304" s="9"/>
      <c r="O304" s="9"/>
      <c r="P304" s="9"/>
    </row>
    <row r="305" spans="1:16">
      <c r="A305" s="9"/>
      <c r="B305" s="9"/>
      <c r="C305" s="9"/>
      <c r="I305" s="9"/>
      <c r="J305" s="9"/>
      <c r="K305" s="9"/>
      <c r="L305" s="9"/>
      <c r="M305" s="9"/>
      <c r="N305" s="9"/>
      <c r="O305" s="9"/>
      <c r="P305" s="9"/>
    </row>
    <row r="306" spans="1:16">
      <c r="A306" s="9"/>
      <c r="B306" s="9"/>
      <c r="C306" s="9"/>
      <c r="I306" s="9"/>
      <c r="J306" s="9"/>
      <c r="K306" s="9"/>
      <c r="L306" s="9"/>
      <c r="M306" s="9"/>
      <c r="N306" s="9"/>
      <c r="O306" s="9"/>
      <c r="P306" s="9"/>
    </row>
    <row r="307" spans="1:16">
      <c r="A307" s="9"/>
      <c r="B307" s="9"/>
      <c r="C307" s="9"/>
      <c r="I307" s="9"/>
      <c r="J307" s="9"/>
      <c r="K307" s="9"/>
      <c r="L307" s="9"/>
      <c r="M307" s="9"/>
      <c r="N307" s="9"/>
      <c r="O307" s="9"/>
      <c r="P307" s="9"/>
    </row>
    <row r="308" spans="1:16">
      <c r="A308" s="9"/>
      <c r="B308" s="9"/>
      <c r="C308" s="9"/>
      <c r="I308" s="9"/>
      <c r="J308" s="9"/>
      <c r="K308" s="9"/>
      <c r="L308" s="9"/>
      <c r="M308" s="9"/>
      <c r="N308" s="9"/>
      <c r="O308" s="9"/>
      <c r="P308" s="9"/>
    </row>
    <row r="309" spans="1:16">
      <c r="A309" s="9"/>
      <c r="B309" s="9"/>
      <c r="C309" s="9"/>
      <c r="I309" s="9"/>
      <c r="J309" s="9"/>
      <c r="K309" s="9"/>
      <c r="L309" s="9"/>
      <c r="M309" s="9"/>
      <c r="N309" s="9"/>
      <c r="O309" s="9"/>
      <c r="P309" s="9"/>
    </row>
    <row r="310" spans="1:16">
      <c r="A310" s="9"/>
      <c r="B310" s="9"/>
      <c r="C310" s="9"/>
      <c r="I310" s="9"/>
      <c r="J310" s="9"/>
      <c r="K310" s="9"/>
      <c r="L310" s="9"/>
      <c r="M310" s="9"/>
      <c r="N310" s="9"/>
      <c r="O310" s="9"/>
      <c r="P310" s="9"/>
    </row>
    <row r="311" spans="1:16">
      <c r="A311" s="9"/>
      <c r="B311" s="9"/>
      <c r="C311" s="9"/>
      <c r="I311" s="9"/>
      <c r="J311" s="9"/>
      <c r="K311" s="9"/>
      <c r="L311" s="9"/>
      <c r="M311" s="9"/>
      <c r="N311" s="9"/>
      <c r="O311" s="9"/>
      <c r="P311" s="9"/>
    </row>
    <row r="312" spans="1:16">
      <c r="A312" s="9"/>
      <c r="B312" s="9"/>
      <c r="C312" s="9"/>
      <c r="I312" s="9"/>
      <c r="J312" s="9"/>
      <c r="K312" s="9"/>
      <c r="L312" s="9"/>
      <c r="M312" s="9"/>
      <c r="N312" s="9"/>
      <c r="O312" s="9"/>
      <c r="P312" s="9"/>
    </row>
    <row r="313" spans="1:16">
      <c r="A313" s="9"/>
      <c r="B313" s="9"/>
      <c r="C313" s="9"/>
      <c r="I313" s="9"/>
      <c r="J313" s="9"/>
      <c r="K313" s="9"/>
      <c r="L313" s="9"/>
      <c r="M313" s="9"/>
      <c r="N313" s="9"/>
      <c r="O313" s="9"/>
      <c r="P313" s="9"/>
    </row>
    <row r="314" spans="1:16">
      <c r="A314" s="9"/>
      <c r="B314" s="9"/>
      <c r="C314" s="9"/>
      <c r="I314" s="9"/>
      <c r="J314" s="9"/>
      <c r="K314" s="9"/>
      <c r="L314" s="9"/>
      <c r="M314" s="9"/>
      <c r="N314" s="9"/>
      <c r="O314" s="9"/>
      <c r="P314" s="9"/>
    </row>
    <row r="315" spans="1:16">
      <c r="A315" s="9"/>
      <c r="B315" s="9"/>
      <c r="C315" s="9"/>
      <c r="I315" s="9"/>
      <c r="J315" s="9"/>
      <c r="K315" s="9"/>
      <c r="L315" s="9"/>
      <c r="M315" s="9"/>
      <c r="N315" s="9"/>
      <c r="O315" s="9"/>
      <c r="P315" s="9"/>
    </row>
    <row r="316" spans="1:16">
      <c r="A316" s="9"/>
      <c r="B316" s="9"/>
      <c r="C316" s="9"/>
      <c r="I316" s="9"/>
      <c r="J316" s="9"/>
      <c r="K316" s="9"/>
      <c r="L316" s="9"/>
      <c r="M316" s="9"/>
      <c r="N316" s="9"/>
      <c r="O316" s="9"/>
      <c r="P316" s="9"/>
    </row>
    <row r="317" spans="1:16">
      <c r="A317" s="9"/>
      <c r="B317" s="9"/>
      <c r="C317" s="9"/>
      <c r="I317" s="9"/>
      <c r="J317" s="9"/>
      <c r="K317" s="9"/>
      <c r="L317" s="9"/>
      <c r="M317" s="9"/>
      <c r="N317" s="9"/>
      <c r="O317" s="9"/>
      <c r="P317" s="9"/>
    </row>
    <row r="318" spans="1:16">
      <c r="A318" s="9"/>
      <c r="B318" s="9"/>
      <c r="C318" s="9"/>
      <c r="I318" s="9"/>
      <c r="J318" s="9"/>
      <c r="K318" s="9"/>
      <c r="L318" s="9"/>
      <c r="M318" s="9"/>
      <c r="N318" s="9"/>
      <c r="O318" s="9"/>
      <c r="P318" s="9"/>
    </row>
    <row r="319" spans="1:16">
      <c r="A319" s="9"/>
      <c r="B319" s="9"/>
      <c r="C319" s="9"/>
      <c r="I319" s="9"/>
      <c r="J319" s="9"/>
      <c r="K319" s="9"/>
      <c r="L319" s="9"/>
      <c r="M319" s="9"/>
      <c r="N319" s="9"/>
      <c r="O319" s="9"/>
      <c r="P319" s="9"/>
    </row>
    <row r="320" spans="1:16">
      <c r="A320" s="9"/>
      <c r="B320" s="9"/>
      <c r="C320" s="9"/>
      <c r="I320" s="9"/>
      <c r="J320" s="9"/>
      <c r="K320" s="9"/>
      <c r="L320" s="9"/>
      <c r="M320" s="9"/>
      <c r="N320" s="9"/>
      <c r="O320" s="9"/>
      <c r="P320" s="9"/>
    </row>
    <row r="321" spans="1:16">
      <c r="A321" s="9"/>
      <c r="B321" s="9"/>
      <c r="C321" s="9"/>
      <c r="I321" s="9"/>
      <c r="J321" s="9"/>
      <c r="K321" s="9"/>
      <c r="L321" s="9"/>
      <c r="M321" s="9"/>
      <c r="N321" s="9"/>
      <c r="O321" s="9"/>
      <c r="P321" s="9"/>
    </row>
    <row r="322" spans="1:16">
      <c r="A322" s="9"/>
      <c r="B322" s="9"/>
      <c r="C322" s="9"/>
      <c r="I322" s="9"/>
      <c r="J322" s="9"/>
      <c r="K322" s="9"/>
      <c r="L322" s="9"/>
      <c r="M322" s="9"/>
      <c r="N322" s="9"/>
      <c r="O322" s="9"/>
      <c r="P322" s="9"/>
    </row>
    <row r="323" spans="1:16">
      <c r="A323" s="9"/>
      <c r="B323" s="9"/>
      <c r="C323" s="9"/>
      <c r="I323" s="9"/>
      <c r="J323" s="9"/>
      <c r="K323" s="9"/>
      <c r="L323" s="9"/>
      <c r="M323" s="9"/>
      <c r="N323" s="9"/>
      <c r="O323" s="9"/>
      <c r="P323" s="9"/>
    </row>
    <row r="324" spans="1:16">
      <c r="A324" s="9"/>
      <c r="B324" s="9"/>
      <c r="C324" s="9"/>
      <c r="I324" s="9"/>
      <c r="J324" s="9"/>
      <c r="K324" s="9"/>
      <c r="L324" s="9"/>
      <c r="M324" s="9"/>
      <c r="N324" s="9"/>
      <c r="O324" s="9"/>
      <c r="P324" s="9"/>
    </row>
    <row r="325" spans="1:16">
      <c r="A325" s="9"/>
      <c r="B325" s="9"/>
      <c r="C325" s="9"/>
      <c r="I325" s="9"/>
      <c r="J325" s="9"/>
      <c r="K325" s="9"/>
      <c r="L325" s="9"/>
      <c r="M325" s="9"/>
      <c r="N325" s="9"/>
      <c r="O325" s="9"/>
      <c r="P325" s="9"/>
    </row>
    <row r="326" spans="1:16">
      <c r="A326" s="9"/>
      <c r="B326" s="9"/>
      <c r="C326" s="9"/>
      <c r="I326" s="9"/>
      <c r="J326" s="9"/>
      <c r="K326" s="9"/>
      <c r="L326" s="9"/>
      <c r="M326" s="9"/>
      <c r="N326" s="9"/>
      <c r="O326" s="9"/>
      <c r="P326" s="9"/>
    </row>
    <row r="327" spans="1:16">
      <c r="A327" s="9"/>
      <c r="B327" s="9"/>
      <c r="C327" s="9"/>
      <c r="I327" s="9"/>
      <c r="J327" s="9"/>
      <c r="K327" s="9"/>
      <c r="L327" s="9"/>
      <c r="M327" s="9"/>
      <c r="N327" s="9"/>
      <c r="O327" s="9"/>
      <c r="P327" s="9"/>
    </row>
    <row r="328" spans="1:16">
      <c r="A328" s="9"/>
      <c r="B328" s="9"/>
      <c r="C328" s="9"/>
      <c r="I328" s="9"/>
      <c r="J328" s="9"/>
      <c r="K328" s="9"/>
      <c r="L328" s="9"/>
      <c r="M328" s="9"/>
      <c r="N328" s="9"/>
      <c r="O328" s="9"/>
      <c r="P328" s="9"/>
    </row>
    <row r="329" spans="1:16">
      <c r="A329" s="9"/>
      <c r="B329" s="9"/>
      <c r="C329" s="9"/>
      <c r="I329" s="9"/>
      <c r="J329" s="9"/>
      <c r="K329" s="9"/>
      <c r="L329" s="9"/>
      <c r="M329" s="9"/>
      <c r="N329" s="9"/>
      <c r="O329" s="9"/>
      <c r="P329" s="9"/>
    </row>
    <row r="330" spans="1:16">
      <c r="A330" s="9"/>
      <c r="B330" s="9"/>
      <c r="C330" s="9"/>
      <c r="I330" s="9"/>
      <c r="J330" s="9"/>
      <c r="K330" s="9"/>
      <c r="L330" s="9"/>
      <c r="M330" s="9"/>
      <c r="N330" s="9"/>
      <c r="O330" s="9"/>
      <c r="P330" s="9"/>
    </row>
    <row r="331" spans="1:16">
      <c r="A331" s="9"/>
      <c r="B331" s="9"/>
      <c r="C331" s="9"/>
      <c r="I331" s="9"/>
      <c r="J331" s="9"/>
      <c r="K331" s="9"/>
      <c r="L331" s="9"/>
      <c r="M331" s="9"/>
      <c r="N331" s="9"/>
      <c r="O331" s="9"/>
      <c r="P331" s="9"/>
    </row>
    <row r="332" spans="1:16">
      <c r="A332" s="9"/>
      <c r="B332" s="9"/>
      <c r="C332" s="9"/>
      <c r="I332" s="9"/>
      <c r="J332" s="9"/>
      <c r="K332" s="9"/>
      <c r="L332" s="9"/>
      <c r="M332" s="9"/>
      <c r="N332" s="9"/>
      <c r="O332" s="9"/>
      <c r="P332" s="9"/>
    </row>
    <row r="333" spans="1:16">
      <c r="A333" s="9"/>
      <c r="B333" s="9"/>
      <c r="C333" s="9"/>
      <c r="I333" s="9"/>
      <c r="J333" s="9"/>
      <c r="K333" s="9"/>
      <c r="L333" s="9"/>
      <c r="M333" s="9"/>
      <c r="N333" s="9"/>
      <c r="O333" s="9"/>
      <c r="P333" s="9"/>
    </row>
    <row r="334" spans="1:16">
      <c r="A334" s="9"/>
      <c r="B334" s="9"/>
      <c r="C334" s="9"/>
      <c r="I334" s="9"/>
      <c r="J334" s="9"/>
      <c r="K334" s="9"/>
      <c r="L334" s="9"/>
      <c r="M334" s="9"/>
      <c r="N334" s="9"/>
      <c r="O334" s="9"/>
      <c r="P334" s="9"/>
    </row>
    <row r="335" spans="1:16">
      <c r="A335" s="9"/>
      <c r="B335" s="9"/>
      <c r="C335" s="9"/>
      <c r="I335" s="9"/>
      <c r="J335" s="9"/>
      <c r="K335" s="9"/>
      <c r="L335" s="9"/>
      <c r="M335" s="9"/>
      <c r="N335" s="9"/>
      <c r="O335" s="9"/>
      <c r="P335" s="9"/>
    </row>
    <row r="336" spans="1:16">
      <c r="A336" s="9"/>
      <c r="B336" s="9"/>
      <c r="C336" s="9"/>
      <c r="I336" s="9"/>
      <c r="J336" s="9"/>
      <c r="K336" s="9"/>
      <c r="L336" s="9"/>
      <c r="M336" s="9"/>
      <c r="N336" s="9"/>
      <c r="O336" s="9"/>
      <c r="P336" s="9"/>
    </row>
    <row r="337" spans="1:16">
      <c r="A337" s="9"/>
      <c r="B337" s="9"/>
      <c r="C337" s="9"/>
      <c r="I337" s="9"/>
      <c r="J337" s="9"/>
      <c r="K337" s="9"/>
      <c r="L337" s="9"/>
      <c r="M337" s="9"/>
      <c r="N337" s="9"/>
      <c r="O337" s="9"/>
      <c r="P337" s="9"/>
    </row>
    <row r="338" spans="1:16">
      <c r="A338" s="9"/>
      <c r="B338" s="9"/>
      <c r="C338" s="9"/>
      <c r="I338" s="9"/>
      <c r="J338" s="9"/>
      <c r="K338" s="9"/>
      <c r="L338" s="9"/>
      <c r="M338" s="9"/>
      <c r="N338" s="9"/>
      <c r="O338" s="9"/>
      <c r="P338" s="9"/>
    </row>
    <row r="339" spans="1:16">
      <c r="A339" s="9"/>
      <c r="B339" s="9"/>
      <c r="C339" s="9"/>
      <c r="I339" s="9"/>
      <c r="J339" s="9"/>
      <c r="K339" s="9"/>
      <c r="L339" s="9"/>
      <c r="M339" s="9"/>
      <c r="N339" s="9"/>
      <c r="O339" s="9"/>
      <c r="P339" s="9"/>
    </row>
    <row r="340" spans="1:16">
      <c r="A340" s="9"/>
      <c r="B340" s="9"/>
      <c r="C340" s="9"/>
      <c r="I340" s="9"/>
      <c r="J340" s="9"/>
      <c r="K340" s="9"/>
      <c r="L340" s="9"/>
      <c r="M340" s="9"/>
      <c r="N340" s="9"/>
      <c r="O340" s="9"/>
      <c r="P340" s="9"/>
    </row>
    <row r="341" spans="1:16">
      <c r="A341" s="9"/>
      <c r="B341" s="9"/>
      <c r="C341" s="9"/>
      <c r="I341" s="9"/>
      <c r="J341" s="9"/>
      <c r="K341" s="9"/>
      <c r="L341" s="9"/>
      <c r="M341" s="9"/>
      <c r="N341" s="9"/>
      <c r="O341" s="9"/>
      <c r="P341" s="9"/>
    </row>
    <row r="342" spans="1:16">
      <c r="A342" s="9"/>
      <c r="B342" s="9"/>
      <c r="C342" s="9"/>
      <c r="I342" s="9"/>
      <c r="J342" s="9"/>
      <c r="K342" s="9"/>
      <c r="L342" s="9"/>
      <c r="M342" s="9"/>
      <c r="N342" s="9"/>
      <c r="O342" s="9"/>
      <c r="P342" s="9"/>
    </row>
    <row r="343" spans="1:16">
      <c r="A343" s="9"/>
      <c r="B343" s="9"/>
      <c r="C343" s="9"/>
      <c r="I343" s="9"/>
      <c r="J343" s="9"/>
      <c r="K343" s="9"/>
      <c r="L343" s="9"/>
      <c r="M343" s="9"/>
      <c r="N343" s="9"/>
      <c r="O343" s="9"/>
      <c r="P343" s="9"/>
    </row>
    <row r="344" spans="1:16">
      <c r="A344" s="9"/>
      <c r="B344" s="9"/>
      <c r="C344" s="9"/>
      <c r="I344" s="9"/>
      <c r="J344" s="9"/>
      <c r="K344" s="9"/>
      <c r="L344" s="9"/>
      <c r="M344" s="9"/>
      <c r="N344" s="9"/>
      <c r="O344" s="9"/>
      <c r="P344" s="9"/>
    </row>
    <row r="345" spans="1:16">
      <c r="A345" s="9"/>
      <c r="B345" s="9"/>
      <c r="C345" s="9"/>
      <c r="I345" s="9"/>
      <c r="J345" s="9"/>
      <c r="K345" s="9"/>
      <c r="L345" s="9"/>
      <c r="M345" s="9"/>
      <c r="N345" s="9"/>
      <c r="O345" s="9"/>
      <c r="P345" s="9"/>
    </row>
    <row r="346" spans="1:16">
      <c r="A346" s="9"/>
      <c r="B346" s="9"/>
      <c r="C346" s="9"/>
      <c r="I346" s="9"/>
      <c r="J346" s="9"/>
      <c r="K346" s="9"/>
      <c r="L346" s="9"/>
      <c r="M346" s="9"/>
      <c r="N346" s="9"/>
      <c r="O346" s="9"/>
      <c r="P346" s="9"/>
    </row>
    <row r="347" spans="1:16">
      <c r="A347" s="9"/>
      <c r="B347" s="9"/>
      <c r="C347" s="9"/>
      <c r="I347" s="9"/>
      <c r="J347" s="9"/>
      <c r="K347" s="9"/>
      <c r="L347" s="9"/>
      <c r="M347" s="9"/>
      <c r="N347" s="9"/>
      <c r="O347" s="9"/>
      <c r="P347" s="9"/>
    </row>
    <row r="348" spans="1:16">
      <c r="A348" s="9"/>
      <c r="B348" s="9"/>
      <c r="C348" s="9"/>
      <c r="I348" s="9"/>
      <c r="J348" s="9"/>
      <c r="K348" s="9"/>
      <c r="L348" s="9"/>
      <c r="M348" s="9"/>
      <c r="N348" s="9"/>
      <c r="O348" s="9"/>
      <c r="P348" s="9"/>
    </row>
    <row r="349" spans="1:16">
      <c r="A349" s="9"/>
      <c r="B349" s="9"/>
      <c r="C349" s="9"/>
      <c r="I349" s="9"/>
      <c r="J349" s="9"/>
      <c r="K349" s="9"/>
      <c r="L349" s="9"/>
      <c r="M349" s="9"/>
      <c r="N349" s="9"/>
      <c r="O349" s="9"/>
      <c r="P349" s="9"/>
    </row>
    <row r="350" spans="1:16">
      <c r="A350" s="9"/>
      <c r="B350" s="9"/>
      <c r="C350" s="9"/>
      <c r="I350" s="9"/>
      <c r="J350" s="9"/>
      <c r="K350" s="9"/>
      <c r="L350" s="9"/>
      <c r="M350" s="9"/>
      <c r="N350" s="9"/>
      <c r="O350" s="9"/>
      <c r="P350" s="9"/>
    </row>
    <row r="351" spans="1:16">
      <c r="A351" s="9"/>
      <c r="B351" s="9"/>
      <c r="C351" s="9"/>
      <c r="I351" s="9"/>
      <c r="J351" s="9"/>
      <c r="K351" s="9"/>
      <c r="L351" s="9"/>
      <c r="M351" s="9"/>
      <c r="N351" s="9"/>
      <c r="O351" s="9"/>
      <c r="P351" s="9"/>
    </row>
    <row r="352" spans="1:16">
      <c r="A352" s="9"/>
      <c r="B352" s="9"/>
      <c r="C352" s="9"/>
      <c r="I352" s="9"/>
      <c r="J352" s="9"/>
      <c r="K352" s="9"/>
      <c r="L352" s="9"/>
      <c r="M352" s="9"/>
      <c r="N352" s="9"/>
      <c r="O352" s="9"/>
      <c r="P352" s="9"/>
    </row>
    <row r="353" spans="1:16">
      <c r="A353" s="9"/>
      <c r="B353" s="9"/>
      <c r="C353" s="9"/>
      <c r="I353" s="9"/>
      <c r="J353" s="9"/>
      <c r="K353" s="9"/>
      <c r="L353" s="9"/>
      <c r="M353" s="9"/>
      <c r="N353" s="9"/>
      <c r="O353" s="9"/>
      <c r="P353" s="9"/>
    </row>
    <row r="354" spans="1:16">
      <c r="A354" s="9"/>
      <c r="B354" s="9"/>
      <c r="C354" s="9"/>
      <c r="I354" s="9"/>
      <c r="J354" s="9"/>
      <c r="K354" s="9"/>
      <c r="L354" s="9"/>
      <c r="M354" s="9"/>
      <c r="N354" s="9"/>
      <c r="O354" s="9"/>
      <c r="P354" s="9"/>
    </row>
    <row r="355" spans="1:16">
      <c r="A355" s="9"/>
      <c r="B355" s="9"/>
      <c r="C355" s="9"/>
      <c r="I355" s="9"/>
      <c r="J355" s="9"/>
      <c r="K355" s="9"/>
      <c r="L355" s="9"/>
      <c r="M355" s="9"/>
      <c r="N355" s="9"/>
      <c r="O355" s="9"/>
      <c r="P355" s="9"/>
    </row>
    <row r="356" spans="1:16">
      <c r="A356" s="9"/>
      <c r="B356" s="9"/>
      <c r="C356" s="9"/>
      <c r="I356" s="9"/>
      <c r="J356" s="9"/>
      <c r="K356" s="9"/>
      <c r="L356" s="9"/>
      <c r="M356" s="9"/>
      <c r="N356" s="9"/>
      <c r="O356" s="9"/>
      <c r="P356" s="9"/>
    </row>
    <row r="357" spans="1:16">
      <c r="A357" s="9"/>
      <c r="B357" s="9"/>
      <c r="C357" s="9"/>
      <c r="I357" s="9"/>
      <c r="J357" s="9"/>
      <c r="K357" s="9"/>
      <c r="L357" s="9"/>
      <c r="M357" s="9"/>
      <c r="N357" s="9"/>
      <c r="O357" s="9"/>
      <c r="P357" s="9"/>
    </row>
    <row r="358" spans="1:16">
      <c r="A358" s="9"/>
      <c r="B358" s="9"/>
      <c r="C358" s="9"/>
      <c r="I358" s="9"/>
      <c r="J358" s="9"/>
      <c r="K358" s="9"/>
      <c r="L358" s="9"/>
      <c r="M358" s="9"/>
      <c r="N358" s="9"/>
      <c r="O358" s="9"/>
      <c r="P358" s="9"/>
    </row>
    <row r="359" spans="1:16">
      <c r="A359" s="9"/>
      <c r="B359" s="9"/>
      <c r="C359" s="9"/>
      <c r="I359" s="9"/>
      <c r="J359" s="9"/>
      <c r="K359" s="9"/>
      <c r="L359" s="9"/>
      <c r="M359" s="9"/>
      <c r="N359" s="9"/>
      <c r="O359" s="9"/>
      <c r="P359" s="9"/>
    </row>
    <row r="360" spans="1:16">
      <c r="A360" s="9"/>
      <c r="B360" s="9"/>
      <c r="C360" s="9"/>
      <c r="I360" s="9"/>
      <c r="J360" s="9"/>
      <c r="K360" s="9"/>
      <c r="L360" s="9"/>
      <c r="M360" s="9"/>
      <c r="N360" s="9"/>
      <c r="O360" s="9"/>
      <c r="P360" s="9"/>
    </row>
    <row r="361" spans="1:16">
      <c r="A361" s="9"/>
      <c r="B361" s="9"/>
      <c r="C361" s="9"/>
      <c r="I361" s="9"/>
      <c r="J361" s="9"/>
      <c r="K361" s="9"/>
      <c r="L361" s="9"/>
      <c r="M361" s="9"/>
      <c r="N361" s="9"/>
      <c r="O361" s="9"/>
      <c r="P361" s="9"/>
    </row>
    <row r="362" spans="1:16">
      <c r="A362" s="9"/>
      <c r="B362" s="9"/>
      <c r="C362" s="9"/>
      <c r="I362" s="9"/>
      <c r="J362" s="9"/>
      <c r="K362" s="9"/>
      <c r="L362" s="9"/>
      <c r="M362" s="9"/>
      <c r="N362" s="9"/>
      <c r="O362" s="9"/>
      <c r="P362" s="9"/>
    </row>
    <row r="363" spans="1:16">
      <c r="A363" s="9"/>
      <c r="B363" s="9"/>
      <c r="C363" s="9"/>
      <c r="I363" s="9"/>
      <c r="J363" s="9"/>
      <c r="K363" s="9"/>
      <c r="L363" s="9"/>
      <c r="M363" s="9"/>
      <c r="N363" s="9"/>
      <c r="O363" s="9"/>
      <c r="P363" s="9"/>
    </row>
    <row r="364" spans="1:16">
      <c r="A364" s="9"/>
      <c r="B364" s="9"/>
      <c r="C364" s="9"/>
      <c r="I364" s="9"/>
      <c r="J364" s="9"/>
      <c r="K364" s="9"/>
      <c r="L364" s="9"/>
      <c r="M364" s="9"/>
      <c r="N364" s="9"/>
      <c r="O364" s="9"/>
      <c r="P364" s="9"/>
    </row>
    <row r="365" spans="1:16">
      <c r="A365" s="9"/>
      <c r="B365" s="9"/>
      <c r="C365" s="9"/>
      <c r="I365" s="9"/>
      <c r="J365" s="9"/>
      <c r="K365" s="9"/>
      <c r="L365" s="9"/>
      <c r="M365" s="9"/>
      <c r="N365" s="9"/>
      <c r="O365" s="9"/>
      <c r="P365" s="9"/>
    </row>
    <row r="366" spans="1:16">
      <c r="A366" s="9"/>
      <c r="B366" s="9"/>
      <c r="C366" s="9"/>
      <c r="I366" s="9"/>
      <c r="J366" s="9"/>
      <c r="K366" s="9"/>
      <c r="L366" s="9"/>
      <c r="M366" s="9"/>
      <c r="N366" s="9"/>
      <c r="O366" s="9"/>
      <c r="P366" s="9"/>
    </row>
    <row r="367" spans="1:16">
      <c r="A367" s="9"/>
      <c r="B367" s="9"/>
      <c r="C367" s="9"/>
      <c r="I367" s="9"/>
      <c r="J367" s="9"/>
      <c r="K367" s="9"/>
      <c r="L367" s="9"/>
      <c r="M367" s="9"/>
      <c r="N367" s="9"/>
      <c r="O367" s="9"/>
      <c r="P367" s="9"/>
    </row>
    <row r="368" spans="1:16">
      <c r="A368" s="9"/>
      <c r="B368" s="9"/>
      <c r="C368" s="9"/>
      <c r="I368" s="9"/>
      <c r="J368" s="9"/>
      <c r="K368" s="9"/>
      <c r="L368" s="9"/>
      <c r="M368" s="9"/>
      <c r="N368" s="9"/>
      <c r="O368" s="9"/>
      <c r="P368" s="9"/>
    </row>
    <row r="369" spans="1:16">
      <c r="A369" s="9"/>
      <c r="B369" s="9"/>
      <c r="C369" s="9"/>
      <c r="I369" s="9"/>
      <c r="J369" s="9"/>
      <c r="K369" s="9"/>
      <c r="L369" s="9"/>
      <c r="M369" s="9"/>
      <c r="N369" s="9"/>
      <c r="O369" s="9"/>
      <c r="P369" s="9"/>
    </row>
    <row r="370" spans="1:16">
      <c r="A370" s="9"/>
      <c r="B370" s="9"/>
      <c r="C370" s="9"/>
      <c r="I370" s="9"/>
      <c r="J370" s="9"/>
      <c r="K370" s="9"/>
      <c r="L370" s="9"/>
      <c r="M370" s="9"/>
      <c r="N370" s="9"/>
      <c r="O370" s="9"/>
      <c r="P370" s="9"/>
    </row>
    <row r="371" spans="1:16">
      <c r="A371" s="9"/>
      <c r="B371" s="9"/>
      <c r="C371" s="9"/>
      <c r="I371" s="9"/>
      <c r="J371" s="9"/>
      <c r="K371" s="9"/>
      <c r="L371" s="9"/>
      <c r="M371" s="9"/>
      <c r="N371" s="9"/>
      <c r="O371" s="9"/>
      <c r="P371" s="9"/>
    </row>
    <row r="372" spans="1:16">
      <c r="A372" s="9"/>
      <c r="B372" s="9"/>
      <c r="C372" s="9"/>
      <c r="I372" s="9"/>
      <c r="J372" s="9"/>
      <c r="K372" s="9"/>
      <c r="L372" s="9"/>
      <c r="M372" s="9"/>
      <c r="N372" s="9"/>
      <c r="O372" s="9"/>
      <c r="P372" s="9"/>
    </row>
    <row r="373" spans="1:16">
      <c r="A373" s="9"/>
      <c r="B373" s="9"/>
      <c r="C373" s="9"/>
      <c r="I373" s="9"/>
      <c r="J373" s="9"/>
      <c r="K373" s="9"/>
      <c r="L373" s="9"/>
      <c r="M373" s="9"/>
      <c r="N373" s="9"/>
      <c r="O373" s="9"/>
      <c r="P373" s="9"/>
    </row>
    <row r="374" spans="1:16">
      <c r="A374" s="9"/>
      <c r="B374" s="9"/>
      <c r="C374" s="9"/>
      <c r="I374" s="9"/>
      <c r="J374" s="9"/>
      <c r="K374" s="9"/>
      <c r="L374" s="9"/>
      <c r="M374" s="9"/>
      <c r="N374" s="9"/>
      <c r="O374" s="9"/>
      <c r="P374" s="9"/>
    </row>
    <row r="375" spans="1:16">
      <c r="A375" s="9"/>
      <c r="B375" s="9"/>
      <c r="C375" s="9"/>
      <c r="I375" s="9"/>
      <c r="J375" s="9"/>
      <c r="K375" s="9"/>
      <c r="L375" s="9"/>
      <c r="M375" s="9"/>
      <c r="N375" s="9"/>
      <c r="O375" s="9"/>
      <c r="P375" s="9"/>
    </row>
    <row r="376" spans="1:16">
      <c r="A376" s="9"/>
      <c r="B376" s="9"/>
      <c r="C376" s="9"/>
      <c r="I376" s="9"/>
      <c r="J376" s="9"/>
      <c r="K376" s="9"/>
      <c r="L376" s="9"/>
      <c r="M376" s="9"/>
      <c r="N376" s="9"/>
      <c r="O376" s="9"/>
      <c r="P376" s="9"/>
    </row>
    <row r="377" spans="1:16">
      <c r="A377" s="9"/>
      <c r="B377" s="9"/>
      <c r="C377" s="9"/>
      <c r="I377" s="9"/>
      <c r="J377" s="9"/>
      <c r="K377" s="9"/>
      <c r="L377" s="9"/>
      <c r="M377" s="9"/>
      <c r="N377" s="9"/>
      <c r="O377" s="9"/>
      <c r="P377" s="9"/>
    </row>
    <row r="378" spans="1:16">
      <c r="A378" s="9"/>
      <c r="B378" s="9"/>
      <c r="C378" s="9"/>
      <c r="I378" s="9"/>
      <c r="J378" s="9"/>
      <c r="K378" s="9"/>
      <c r="L378" s="9"/>
      <c r="M378" s="9"/>
      <c r="N378" s="9"/>
      <c r="O378" s="9"/>
      <c r="P378" s="9"/>
    </row>
    <row r="379" spans="1:16">
      <c r="A379" s="9"/>
      <c r="B379" s="9"/>
      <c r="C379" s="9"/>
      <c r="I379" s="9"/>
      <c r="J379" s="9"/>
      <c r="K379" s="9"/>
      <c r="L379" s="9"/>
      <c r="M379" s="9"/>
      <c r="N379" s="9"/>
      <c r="O379" s="9"/>
      <c r="P379" s="9"/>
    </row>
    <row r="380" spans="1:16">
      <c r="A380" s="9"/>
      <c r="B380" s="9"/>
      <c r="C380" s="9"/>
      <c r="I380" s="9"/>
      <c r="J380" s="9"/>
      <c r="K380" s="9"/>
      <c r="L380" s="9"/>
      <c r="M380" s="9"/>
      <c r="N380" s="9"/>
      <c r="O380" s="9"/>
      <c r="P380" s="9"/>
    </row>
    <row r="381" spans="1:16">
      <c r="A381" s="9"/>
      <c r="B381" s="9"/>
      <c r="C381" s="9"/>
      <c r="I381" s="9"/>
      <c r="J381" s="9"/>
      <c r="K381" s="9"/>
      <c r="L381" s="9"/>
      <c r="M381" s="9"/>
      <c r="N381" s="9"/>
      <c r="O381" s="9"/>
      <c r="P381" s="9"/>
    </row>
    <row r="382" spans="1:16">
      <c r="A382" s="9"/>
      <c r="B382" s="9"/>
      <c r="C382" s="9"/>
      <c r="I382" s="9"/>
      <c r="J382" s="9"/>
      <c r="K382" s="9"/>
      <c r="L382" s="9"/>
      <c r="M382" s="9"/>
      <c r="N382" s="9"/>
      <c r="O382" s="9"/>
      <c r="P382" s="9"/>
    </row>
    <row r="383" spans="1:16">
      <c r="A383" s="9"/>
      <c r="B383" s="9"/>
      <c r="C383" s="9"/>
      <c r="I383" s="9"/>
      <c r="J383" s="9"/>
      <c r="K383" s="9"/>
      <c r="L383" s="9"/>
      <c r="M383" s="9"/>
      <c r="N383" s="9"/>
      <c r="O383" s="9"/>
      <c r="P383" s="9"/>
    </row>
    <row r="384" spans="1:16">
      <c r="A384" s="9"/>
      <c r="B384" s="9"/>
      <c r="C384" s="9"/>
      <c r="I384" s="9"/>
      <c r="J384" s="9"/>
      <c r="K384" s="9"/>
      <c r="L384" s="9"/>
      <c r="M384" s="9"/>
      <c r="N384" s="9"/>
      <c r="O384" s="9"/>
      <c r="P384" s="9"/>
    </row>
    <row r="385" spans="1:16">
      <c r="A385" s="9"/>
      <c r="B385" s="9"/>
      <c r="C385" s="9"/>
      <c r="I385" s="9"/>
      <c r="J385" s="9"/>
      <c r="K385" s="9"/>
      <c r="L385" s="9"/>
      <c r="M385" s="9"/>
      <c r="N385" s="9"/>
      <c r="O385" s="9"/>
      <c r="P385" s="9"/>
    </row>
    <row r="386" spans="1:16">
      <c r="A386" s="9"/>
      <c r="B386" s="9"/>
      <c r="C386" s="9"/>
      <c r="I386" s="9"/>
      <c r="J386" s="9"/>
      <c r="K386" s="9"/>
      <c r="L386" s="9"/>
      <c r="M386" s="9"/>
      <c r="N386" s="9"/>
      <c r="O386" s="9"/>
      <c r="P386" s="9"/>
    </row>
    <row r="387" spans="1:16">
      <c r="A387" s="9"/>
      <c r="B387" s="9"/>
      <c r="C387" s="9"/>
      <c r="I387" s="9"/>
      <c r="J387" s="9"/>
      <c r="K387" s="9"/>
      <c r="L387" s="9"/>
      <c r="M387" s="9"/>
      <c r="N387" s="9"/>
      <c r="O387" s="9"/>
      <c r="P387" s="9"/>
    </row>
    <row r="388" spans="1:16">
      <c r="A388" s="9"/>
      <c r="B388" s="9"/>
      <c r="C388" s="9"/>
      <c r="I388" s="9"/>
      <c r="J388" s="9"/>
      <c r="K388" s="9"/>
      <c r="L388" s="9"/>
      <c r="M388" s="9"/>
      <c r="N388" s="9"/>
      <c r="O388" s="9"/>
      <c r="P388" s="9"/>
    </row>
    <row r="389" spans="1:16">
      <c r="A389" s="9"/>
      <c r="B389" s="9"/>
      <c r="C389" s="9"/>
      <c r="I389" s="9"/>
      <c r="J389" s="9"/>
      <c r="K389" s="9"/>
      <c r="L389" s="9"/>
      <c r="M389" s="9"/>
      <c r="N389" s="9"/>
      <c r="O389" s="9"/>
      <c r="P389" s="9"/>
    </row>
    <row r="390" spans="1:16">
      <c r="A390" s="9"/>
      <c r="B390" s="9"/>
      <c r="C390" s="9"/>
      <c r="I390" s="9"/>
      <c r="J390" s="9"/>
      <c r="K390" s="9"/>
      <c r="L390" s="9"/>
      <c r="M390" s="9"/>
      <c r="N390" s="9"/>
      <c r="O390" s="9"/>
      <c r="P390" s="9"/>
    </row>
    <row r="391" spans="1:16">
      <c r="A391" s="9"/>
      <c r="B391" s="9"/>
      <c r="C391" s="9"/>
      <c r="I391" s="9"/>
      <c r="J391" s="9"/>
      <c r="K391" s="9"/>
      <c r="L391" s="9"/>
      <c r="M391" s="9"/>
      <c r="N391" s="9"/>
      <c r="O391" s="9"/>
      <c r="P391" s="9"/>
    </row>
    <row r="392" spans="1:16">
      <c r="A392" s="9"/>
      <c r="B392" s="9"/>
      <c r="C392" s="9"/>
      <c r="I392" s="9"/>
      <c r="J392" s="9"/>
      <c r="K392" s="9"/>
      <c r="L392" s="9"/>
      <c r="M392" s="9"/>
      <c r="N392" s="9"/>
      <c r="O392" s="9"/>
      <c r="P392" s="9"/>
    </row>
    <row r="393" spans="1:16">
      <c r="A393" s="9"/>
      <c r="B393" s="9"/>
      <c r="C393" s="9"/>
      <c r="I393" s="9"/>
      <c r="J393" s="9"/>
      <c r="K393" s="9"/>
      <c r="L393" s="9"/>
      <c r="M393" s="9"/>
      <c r="N393" s="9"/>
      <c r="O393" s="9"/>
      <c r="P393" s="9"/>
    </row>
    <row r="394" spans="1:16">
      <c r="A394" s="9"/>
      <c r="B394" s="9"/>
      <c r="C394" s="9"/>
      <c r="I394" s="9"/>
      <c r="J394" s="9"/>
      <c r="K394" s="9"/>
      <c r="L394" s="9"/>
      <c r="M394" s="9"/>
      <c r="N394" s="9"/>
      <c r="O394" s="9"/>
      <c r="P394" s="9"/>
    </row>
    <row r="395" spans="1:16">
      <c r="A395" s="9"/>
      <c r="B395" s="9"/>
      <c r="C395" s="9"/>
      <c r="I395" s="9"/>
      <c r="J395" s="9"/>
      <c r="K395" s="9"/>
      <c r="L395" s="9"/>
      <c r="M395" s="9"/>
      <c r="N395" s="9"/>
      <c r="O395" s="9"/>
      <c r="P395" s="9"/>
    </row>
  </sheetData>
  <mergeCells count="1">
    <mergeCell ref="A2:H2"/>
  </mergeCells>
  <phoneticPr fontId="11" type="noConversion"/>
  <dataValidations count="1">
    <dataValidation type="list" allowBlank="1" showErrorMessage="1" sqref="C3:C100" xr:uid="{00000000-0002-0000-0100-000000000000}">
      <formula1>"在投,停投,无法授权,拒审,待授权,拒绝授权"</formula1>
    </dataValidation>
  </dataValidations>
  <hyperlinks>
    <hyperlink ref="E3" r:id="rId1" xr:uid="{00000000-0004-0000-0100-000000000000}"/>
    <hyperlink ref="E4" r:id="rId2" xr:uid="{00000000-0004-0000-0100-000001000000}"/>
    <hyperlink ref="E5" r:id="rId3" xr:uid="{00000000-0004-0000-0100-000002000000}"/>
    <hyperlink ref="E6" r:id="rId4" xr:uid="{00000000-0004-0000-0100-000003000000}"/>
    <hyperlink ref="E7" r:id="rId5" xr:uid="{00000000-0004-0000-0100-000004000000}"/>
    <hyperlink ref="E8" r:id="rId6" xr:uid="{00000000-0004-0000-0100-000005000000}"/>
    <hyperlink ref="E9" r:id="rId7" xr:uid="{00000000-0004-0000-0100-000006000000}"/>
    <hyperlink ref="E10" r:id="rId8" xr:uid="{00000000-0004-0000-0100-000007000000}"/>
    <hyperlink ref="E11" r:id="rId9" xr:uid="{00000000-0004-0000-0100-000008000000}"/>
    <hyperlink ref="E12" r:id="rId10" display="https://www.xiaohongshu.com/explore/69c7363c000000001a022c03?app_platform=android&amp;ignoreEngage=true&amp;app_version=9.20.0&amp;share_from_user_hidden=true&amp;xsec_source=app_share&amp;type=normal&amp;xsec_token=CBCwtZZ2dohOrf7XFciMfj1jlzfYjNRn4HaCsf4JD8-Bk=&amp;author_share=1&amp;shareRedId=N0pFMjk6SkI2NzUyOTgwNjY0OTc6NTc8&amp;apptime=1775531907&amp;share_id=a9285918a261442dba0373afe0721bf7&amp;share_channel=copy_link&amp;appuid=5dc265f90000000001006013&amp;xhsshare=CopyLink" xr:uid="{00000000-0004-0000-0100-000009000000}"/>
    <hyperlink ref="E13" r:id="rId11" display="https://www.xiaohongshu.com/explore/69d0db47000000001f003f94?app_platform=android&amp;ignoreEngage=true&amp;app_version=9.20.0&amp;share_from_user_hidden=true&amp;xsec_source=app_share&amp;type=normal&amp;xsec_token=CBwobPjDPmOOxyIAxfE9zk4GpWsNlPUqKx0CHedw-ql-4=&amp;author_share=1&amp;shareRedId=N0pFMjk6SkI2NzUyOTgwNjY0OTc6NTc8&amp;apptime=1775531966&amp;share_id=c3595e2f69ef4efd98cc4ee414f66d7f&amp;share_channel=copy_link&amp;appuid=5dc265f90000000001006013&amp;xhsshare=CopyLink" xr:uid="{00000000-0004-0000-0100-00000A000000}"/>
    <hyperlink ref="E14" r:id="rId12" display="https://www.xiaohongshu.com/explore/69d091da000000001b001175?app_platform=android&amp;ignoreEngage=true&amp;app_version=9.20.0&amp;share_from_user_hidden=true&amp;xsec_source=app_share&amp;type=normal&amp;xsec_token=CBwobPjDPmOOxyIAxfE9zk4PKG3AVKxgxu8tsekq8vqsk=&amp;author_share=1&amp;shareRedId=N0pFMjk6SkI2NzUyOTgwNjY0OTc6NTc8&amp;apptime=1775531987&amp;share_id=90c15ce089e04ad3b6946fd47e53ce0b&amp;share_channel=copy_link&amp;appuid=5dc265f90000000001006013&amp;xhsshare=CopyLink" xr:uid="{00000000-0004-0000-0100-00000B000000}"/>
    <hyperlink ref="E15" r:id="rId13" display="https://www.xiaohongshu.com/explore/69cde1010000000023024115?app_platform=android&amp;ignoreEngage=true&amp;app_version=9.20.0&amp;share_from_user_hidden=true&amp;xsec_source=app_share&amp;type=normal&amp;xsec_token=CBULY2uMAH1IeyA4C8LVnwhjKnLHO0p3Au2VZZpi-OoUU=&amp;author_share=1&amp;shareRedId=N0pFMjk6SkI2NzUyOTgwNjY0OTc6NTc8&amp;apptime=1775532035&amp;share_id=a23491bc97bd4be9bb3b3e704e6b6392&amp;share_channel=copy_link&amp;appuid=5dc265f90000000001006013&amp;xhsshare=CopyLink" xr:uid="{00000000-0004-0000-0100-00000C000000}"/>
    <hyperlink ref="E16" r:id="rId14" display="https://www.xiaohongshu.com/explore/69d386a0000000001f006f81?app_platform=android&amp;ignoreEngage=true&amp;app_version=9.20.0&amp;share_from_user_hidden=true&amp;xsec_source=app_share&amp;type=normal&amp;xsec_token=CBczBodANeTxLZOq_OziYxMMy0FVMjbBAh3v7oT9wUL-s=&amp;author_share=1&amp;shareRedId=N0pFMjk6SkI2NzUyOTgwNjY0OTc6NTc8&amp;apptime=1775532141&amp;share_id=3e91c35fa6bd4d06b8b81016f5947fd2&amp;share_channel=copy_link&amp;appuid=5dc265f90000000001006013&amp;xhsshare=CopyLink" xr:uid="{00000000-0004-0000-0100-00000D000000}"/>
    <hyperlink ref="E17" r:id="rId15" display="https://www.xiaohongshu.com/explore/69d3a908000000002102d34d?app_platform=android&amp;ignoreEngage=true&amp;app_version=9.20.0&amp;share_from_user_hidden=true&amp;xsec_source=app_share&amp;type=normal&amp;xsec_token=CBczBodANeTxLZOq_OziYxMB_44NGhAV8t9nPQsU0cGv0=&amp;author_share=1&amp;shareRedId=N0pFMjk6SkI2NzUyOTgwNjY0OTc6NTc8&amp;apptime=1775532189&amp;share_id=dab19b1861de4c628d4daaeac1e3eaed&amp;share_channel=copy_link&amp;appuid=5dc265f90000000001006013&amp;xhsshare=CopyLink" xr:uid="{00000000-0004-0000-0100-00000E000000}"/>
    <hyperlink ref="E18" r:id="rId16" xr:uid="{00000000-0004-0000-0100-00000F000000}"/>
    <hyperlink ref="E19" r:id="rId17" xr:uid="{00000000-0004-0000-0100-000010000000}"/>
    <hyperlink ref="E20" r:id="rId18" xr:uid="{00000000-0004-0000-0100-000011000000}"/>
    <hyperlink ref="E21" r:id="rId19" xr:uid="{00000000-0004-0000-0100-000012000000}"/>
    <hyperlink ref="E22" r:id="rId20" xr:uid="{00000000-0004-0000-0100-000013000000}"/>
    <hyperlink ref="E23" r:id="rId21" xr:uid="{00000000-0004-0000-0100-000014000000}"/>
    <hyperlink ref="E24" r:id="rId22" xr:uid="{00000000-0004-0000-0100-000015000000}"/>
    <hyperlink ref="E25" r:id="rId23" xr:uid="{00000000-0004-0000-0100-000016000000}"/>
    <hyperlink ref="E26" r:id="rId24" xr:uid="{00000000-0004-0000-0100-000017000000}"/>
    <hyperlink ref="E27" r:id="rId25" xr:uid="{00000000-0004-0000-0100-000018000000}"/>
    <hyperlink ref="E28" r:id="rId26" xr:uid="{00000000-0004-0000-0100-000019000000}"/>
    <hyperlink ref="E29" r:id="rId27" xr:uid="{00000000-0004-0000-0100-00001A000000}"/>
    <hyperlink ref="E30" r:id="rId28" display="https://www.xiaohongshu.com/explore/69db9931000000001a02feec?app_platform=android&amp;ignoreEngage=true&amp;app_version=9.20.0&amp;share_from_user_hidden=true&amp;xsec_source=app_share&amp;type=normal&amp;xsec_token=CBEVH9ThSIXWrSxzSb2sCcJth6jDUWrj_geZifjLF0IRQ=&amp;author_share=1&amp;shareRedId=N0pFMjk6SkI2NzUyOTgwNjY0OTc6NTc8&amp;apptime=1776048863&amp;share_id=05172e8c349640828aec337f4306fc65&amp;share_channel=copy_link&amp;appuid=5dc265f90000000001006013&amp;xhsshare=CopyLink" xr:uid="{00000000-0004-0000-0100-00001B000000}"/>
    <hyperlink ref="E31" r:id="rId29" display="https://www.xiaohongshu.com/explore/69db1d7b000000002302066f?app_platform=android&amp;ignoreEngage=true&amp;app_version=9.20.0&amp;share_from_user_hidden=true&amp;xsec_source=app_share&amp;type=normal&amp;xsec_token=CBEVH9ThSIXWrSxzSb2sCcJtOytuvqf5MCjvka_H571mE=&amp;author_share=1&amp;shareRedId=N0pFMjk6SkI2NzUyOTgwNjY0OTc6NTc8&amp;apptime=1776048907&amp;share_id=9af951fc21c54fe0a6f5d210b4573be1&amp;share_channel=copy_link&amp;appuid=5dc265f90000000001006013&amp;xhsshare=CopyLink" xr:uid="{00000000-0004-0000-0100-00001C000000}"/>
    <hyperlink ref="E32" r:id="rId30" xr:uid="{00000000-0004-0000-0100-00001D000000}"/>
    <hyperlink ref="E33" r:id="rId31" xr:uid="{00000000-0004-0000-0100-00001E000000}"/>
    <hyperlink ref="E34" r:id="rId32" xr:uid="{00000000-0004-0000-0100-00001F000000}"/>
    <hyperlink ref="E35" r:id="rId33" xr:uid="{00000000-0004-0000-0100-000020000000}"/>
    <hyperlink ref="E36" r:id="rId34" xr:uid="{00000000-0004-0000-0100-000021000000}"/>
    <hyperlink ref="E37" r:id="rId35" xr:uid="{00000000-0004-0000-0100-000022000000}"/>
    <hyperlink ref="E38" r:id="rId36" xr:uid="{00000000-0004-0000-0100-000023000000}"/>
    <hyperlink ref="E39" r:id="rId37" xr:uid="{00000000-0004-0000-0100-000024000000}"/>
    <hyperlink ref="E40" r:id="rId38" xr:uid="{00000000-0004-0000-0100-000025000000}"/>
    <hyperlink ref="E41" r:id="rId39" xr:uid="{00000000-0004-0000-0100-000026000000}"/>
    <hyperlink ref="E42" r:id="rId40" xr:uid="{00000000-0004-0000-0100-000027000000}"/>
    <hyperlink ref="E43" r:id="rId41" xr:uid="{00000000-0004-0000-0100-000028000000}"/>
    <hyperlink ref="E44" r:id="rId42" xr:uid="{00000000-0004-0000-0100-000029000000}"/>
    <hyperlink ref="E45" r:id="rId43" xr:uid="{00000000-0004-0000-0100-00002A000000}"/>
    <hyperlink ref="E46" r:id="rId44" xr:uid="{00000000-0004-0000-0100-00002B000000}"/>
    <hyperlink ref="E47" r:id="rId45" xr:uid="{00000000-0004-0000-0100-00002C000000}"/>
    <hyperlink ref="E48" r:id="rId46" xr:uid="{00000000-0004-0000-0100-00002D000000}"/>
    <hyperlink ref="E49" r:id="rId47" xr:uid="{00000000-0004-0000-0100-00002E000000}"/>
    <hyperlink ref="E50" r:id="rId48" xr:uid="{00000000-0004-0000-0100-00002F000000}"/>
    <hyperlink ref="E51" r:id="rId49" xr:uid="{00000000-0004-0000-0100-000030000000}"/>
    <hyperlink ref="E52" r:id="rId50" xr:uid="{00000000-0004-0000-0100-000031000000}"/>
    <hyperlink ref="E53" r:id="rId51" xr:uid="{00000000-0004-0000-0100-000032000000}"/>
    <hyperlink ref="E54" r:id="rId52" xr:uid="{00000000-0004-0000-0100-000033000000}"/>
    <hyperlink ref="E55" r:id="rId53" xr:uid="{00000000-0004-0000-0100-000034000000}"/>
    <hyperlink ref="E56" r:id="rId54" display="https://www.xiaohongshu.com/explore/69e2247a00000000230040e2?app_platform=android&amp;ignoreEngage=true&amp;app_version=9.20.0&amp;share_from_user_hidden=true&amp;xsec_source=app_share&amp;type=normal&amp;xsec_token=CBbKDpEiz_PRvS2Fqzks4qNzaYtV4MqK3pHPhMvd525jI=&amp;author_share=1&amp;shareRedId=N0pFMjk6SkI2NzUyOTgwNjY0OTc6NTc8&amp;apptime=1776654411&amp;share_id=5428cb9baa8d4624bbdf79c60a222aaf&amp;share_channel=copy_link&amp;appuid=5dc265f90000000001006013&amp;xhsshare=CopyLink" xr:uid="{00000000-0004-0000-0100-000035000000}"/>
    <hyperlink ref="E57" r:id="rId55" display="https://www.xiaohongshu.com/explore/69e1fb3c000000001f003ee2?app_platform=android&amp;ignoreEngage=true&amp;app_version=9.20.0&amp;share_from_user_hidden=true&amp;xsec_source=app_share&amp;type=video&amp;xsec_token=CBilX6zXNpx51SRhsKlSyFdgyKWDYudIm2nTvD4l4zDqE=&amp;author_share=1&amp;shareRedId=N0pFMjk6SkI2NzUyOTgwNjY0OTc6NTc8&amp;apptime=1776654790&amp;share_id=38940b306b664ff68ae2b95c21bd13ff&amp;share_channel=copy_link&amp;appuid=5dc265f90000000001006013&amp;xhsshare=CopyLink" xr:uid="{00000000-0004-0000-0100-000036000000}"/>
    <hyperlink ref="E58" r:id="rId56" display="https://www.xiaohongshu.com/explore/69e5966d0000000023020ddd?app_platform=android&amp;ignoreEngage=true&amp;app_version=9.20.0&amp;share_from_user_hidden=true&amp;xsec_source=app_share&amp;type=normal&amp;xsec_token=CB457ZQweTEy3aa2D2MPSgOZzfBvMYPkQMLeFjn-ff4w0=&amp;author_share=1&amp;shareRedId=N0pFMjk6SkI2NzUyOTgwNjY0OTc6NTc8&amp;apptime=1776654915&amp;share_id=296ae3d2a136451aa783884d884f34af&amp;share_channel=copy_link&amp;appuid=5dc265f90000000001006013&amp;xhsshare=CopyLink" xr:uid="{00000000-0004-0000-0100-000037000000}"/>
    <hyperlink ref="E59" r:id="rId57" xr:uid="{00000000-0004-0000-0100-000038000000}"/>
    <hyperlink ref="E60" r:id="rId58" xr:uid="{00000000-0004-0000-0100-000039000000}"/>
    <hyperlink ref="E61" r:id="rId59" xr:uid="{00000000-0004-0000-0100-00003A000000}"/>
    <hyperlink ref="E62" r:id="rId60" xr:uid="{00000000-0004-0000-0100-00003B000000}"/>
    <hyperlink ref="E63" r:id="rId61" xr:uid="{00000000-0004-0000-0100-00003C000000}"/>
    <hyperlink ref="E64" r:id="rId62" xr:uid="{00000000-0004-0000-0100-00003D000000}"/>
    <hyperlink ref="E65" r:id="rId63" xr:uid="{00000000-0004-0000-0100-00003E000000}"/>
    <hyperlink ref="E66" r:id="rId64" xr:uid="{00000000-0004-0000-0100-00003F000000}"/>
    <hyperlink ref="E67" r:id="rId65" xr:uid="{00000000-0004-0000-0100-000040000000}"/>
    <hyperlink ref="E68" r:id="rId66" xr:uid="{00000000-0004-0000-0100-000041000000}"/>
    <hyperlink ref="E69" r:id="rId67" xr:uid="{00000000-0004-0000-0100-000042000000}"/>
    <hyperlink ref="E70" r:id="rId68" xr:uid="{00000000-0004-0000-0100-000043000000}"/>
    <hyperlink ref="E71" r:id="rId69" xr:uid="{00000000-0004-0000-0100-000044000000}"/>
    <hyperlink ref="E72" r:id="rId70" xr:uid="{00000000-0004-0000-0100-000045000000}"/>
    <hyperlink ref="E73" r:id="rId71" xr:uid="{00000000-0004-0000-0100-000046000000}"/>
    <hyperlink ref="E74" r:id="rId72" xr:uid="{00000000-0004-0000-0100-000047000000}"/>
    <hyperlink ref="E75" r:id="rId73" xr:uid="{00000000-0004-0000-0100-000048000000}"/>
    <hyperlink ref="E76" r:id="rId74" xr:uid="{00000000-0004-0000-0100-000049000000}"/>
    <hyperlink ref="E77" r:id="rId75" xr:uid="{00000000-0004-0000-0100-00004A000000}"/>
    <hyperlink ref="E78" r:id="rId76" display="https://www.xiaohongshu.com/explore/69eead98000000001a02f119?app_platform=android&amp;ignoreEngage=true&amp;app_version=9.20.0&amp;share_from_user_hidden=true&amp;xsec_source=app_share&amp;type=normal&amp;xsec_token=CBRsy7PkwLVAW1VQTzgvHSh5kZ8hSx017BydV2JDs7-3U=&amp;author_share=1&amp;shareRedId=N0pFMjk6SkI2NzUyOTgwNjY0OTc6NTc8&amp;apptime=1777268627&amp;share_id=fddd04bae8d944c3b1f8268f844fb00e&amp;share_channel=copy_link&amp;appuid=5dc265f90000000001006013&amp;xhsshare=CopyLink" xr:uid="{00000000-0004-0000-0100-00004B000000}"/>
    <hyperlink ref="E79" r:id="rId77" display="https://www.xiaohongshu.com/explore/69edfc54000000003502aae3?app_platform=android&amp;ignoreEngage=true&amp;app_version=9.20.0&amp;share_from_user_hidden=true&amp;xsec_source=app_share&amp;type=normal&amp;xsec_token=CBOhELoPgqe_s-6GR15DKuFltNQmeJNsJpz6rGYe5ckqA=&amp;author_share=1&amp;shareRedId=N0pFMjk6SkI2NzUyOTgwNjY0OTc6NTc8&amp;apptime=1777268706&amp;share_id=6ed3885279db4248aed63ba61bf4f4a2&amp;share_channel=copy_link&amp;appuid=5dc265f90000000001006013&amp;xhsshare=CopyLink" xr:uid="{00000000-0004-0000-0100-00004C000000}"/>
    <hyperlink ref="E80" r:id="rId78" display="https://www.xiaohongshu.com/explore/69eb14c4000000001a0368eb?app_platform=android&amp;ignoreEngage=true&amp;app_version=9.20.0&amp;share_from_user_hidden=true&amp;xsec_source=app_share&amp;type=normal&amp;xsec_token=CBRBODJwCf7Xkki9Lrwoz6RCd0f1-PKSlOEMsYlJMCO9I=&amp;author_share=1&amp;shareRedId=N0pFMjk6SkI2NzUyOTgwNjY0OTc6NTc8&amp;apptime=1777268776&amp;share_id=9332ff15581a4e27b29cb699a01d5b87&amp;share_channel=copy_link&amp;appuid=5dc265f90000000001006013&amp;xhsshare=CopyLink" xr:uid="{00000000-0004-0000-0100-00004D000000}"/>
    <hyperlink ref="E81" r:id="rId79" display="https://www.xiaohongshu.com/explore/69eb0e210000000022028197?app_platform=android&amp;ignoreEngage=true&amp;app_version=9.20.0&amp;share_from_user_hidden=true&amp;xsec_source=app_share&amp;type=normal&amp;xsec_token=CBRBODJwCf7Xkki9Lrwoz6RDdgqbRg4ysdOZi-mjYnB7U=&amp;author_share=1&amp;shareRedId=N0pFMjk6SkI2NzUyOTgwNjY0OTc6NTc8&amp;apptime=1777268809&amp;share_id=2e37223bab6a4cd4b81c31c96f4845f4&amp;share_channel=copy_link&amp;appuid=5dc265f90000000001006013&amp;xhsshare=CopyLink" xr:uid="{00000000-0004-0000-0100-00004E000000}"/>
    <hyperlink ref="E82" r:id="rId80" display="https://www.xiaohongshu.com/explore/69ec9a49000000002003a8a5?app_platform=android&amp;ignoreEngage=true&amp;app_version=9.20.0&amp;share_from_user_hidden=true&amp;xsec_source=app_share&amp;type=normal&amp;xsec_token=CB72J9O2h_nhgklQXtx0epaw7NfnClaruUDVlelcNhIxo=&amp;author_share=1&amp;shareRedId=N0pFMjk6SkI2NzUyOTgwNjY0OTc6NTc8&amp;apptime=1777268844&amp;share_id=3aad723da33b4b29ab73dbc3d31aa9c5&amp;share_channel=copy_link&amp;appuid=5dc265f90000000001006013&amp;xhsshare=CopyLink" xr:uid="{00000000-0004-0000-0100-00004F000000}"/>
    <hyperlink ref="E83" r:id="rId81" display="https://www.xiaohongshu.com/explore/69e94c89000000001a02ca10?app_platform=android&amp;ignoreEngage=true&amp;app_version=9.20.0&amp;share_from_user_hidden=true&amp;xsec_source=app_share&amp;type=normal&amp;xsec_token=CB85MM-rOkh6ubyxzyIZG3y_vP04Ffg-dEgxAzJ6JSFds=&amp;author_share=1&amp;shareRedId=N0pFMjk6SkI2NzUyOTgwNjY0OTc6NTc8&amp;apptime=1777269156&amp;share_id=fade4c07664f4b3f8d0f67b8ecfeb984&amp;share_channel=copy_link&amp;appuid=5dc265f90000000001006013&amp;xhsshare=CopyLink" xr:uid="{00000000-0004-0000-0100-000050000000}"/>
    <hyperlink ref="E84" r:id="rId82" display="https://www.xiaohongshu.com/explore/69eb2894000000001f030c01?app_platform=android&amp;ignoreEngage=true&amp;app_version=9.20.0&amp;share_from_user_hidden=true&amp;xsec_source=app_share&amp;type=normal&amp;xsec_token=CBRBODJwCf7Xkki9Lrwoz6RLHbhu-cpyedGL_6nq9mOys=&amp;author_share=1&amp;shareRedId=N0pFMjk6SkI2NzUyOTgwNjY0OTc6NTc8&amp;apptime=1777269210&amp;share_id=2127a0fe368645b0ae91df0b08af4228&amp;share_channel=copy_link&amp;appuid=5dc265f90000000001006013&amp;xhsshare=CopyLink" xr:uid="{00000000-0004-0000-0100-000051000000}"/>
    <hyperlink ref="E85" r:id="rId83" xr:uid="{00000000-0004-0000-0100-000052000000}"/>
    <hyperlink ref="E86" r:id="rId84" display="https://www.xiaohongshu.com/explore/69ea2112000000001a037e95?app_platform=android&amp;ignoreEngage=true&amp;app_version=9.20.0&amp;share_from_user_hidden=true&amp;xsec_source=app_share&amp;type=video&amp;xsec_token=CBhAKi1_uzcP1zYXfVnZf5e2XT4hdjn6lz_DfcqExMYck=&amp;author_share=1&amp;shareRedId=N0pFMjk6SkI2NzUyOTgwNjY0OTc6NTc8&amp;apptime=1777269032&amp;share_id=3b1fc37e0d3f48838a0840236a0674d4&amp;share_channel=copy_link&amp;appuid=5dc265f90000000001006013&amp;xhsshare=CopyLink" xr:uid="{00000000-0004-0000-0100-000053000000}"/>
    <hyperlink ref="E87" r:id="rId85" display="https://www.xiaohongshu.com/explore/69edd0cf0000000035025453?app_platform=android&amp;ignoreEngage=true&amp;app_version=9.20.0&amp;share_from_user_hidden=true&amp;xsec_source=app_share&amp;type=video&amp;xsec_token=CBOhELoPgqe_s-6GR15DKuFv-hmDEt7EGDPMbLZJk28ms=&amp;author_share=1&amp;shareRedId=N0pFMjk6SkI2NzUyOTgwNjY0OTc6NTc8&amp;apptime=1777268975&amp;share_id=c7544120782a493184918d40d8294a4f&amp;share_channel=copy_link&amp;appuid=5dc265f90000000001006013&amp;xhsshare=CopyLink" xr:uid="{00000000-0004-0000-0100-000054000000}"/>
    <hyperlink ref="E88" r:id="rId86" xr:uid="{00000000-0004-0000-0100-000055000000}"/>
    <hyperlink ref="E89" r:id="rId87" xr:uid="{00000000-0004-0000-0100-000056000000}"/>
    <hyperlink ref="E90" r:id="rId88" display="https://www.xiaohongshu.com/explore/69f05157000000003700c60a?app_platform=ios&amp;app_version=9.28&amp;share_from_user_hidden=true&amp;xsec_source=app_share&amp;type=normal&amp;xsec_token=CBqoLGDKtx1pp2rAm9-jYEuZCP5mGekjpkHk6ro61eqgg=&amp;author_share=1&amp;xhsshare=CopyLink&amp;shareRedId=N0dDN0hINkI6TEZFSkoyPz41SjlJSEg9&amp;apptime=1777360718&amp;share_id=e0df64a71ec64a6f853070d5c652244b" xr:uid="{00000000-0004-0000-0100-000057000000}"/>
    <hyperlink ref="E91" r:id="rId89" xr:uid="{00000000-0004-0000-0100-000058000000}"/>
    <hyperlink ref="E92" r:id="rId90" xr:uid="{00000000-0004-0000-0100-000059000000}"/>
    <hyperlink ref="E93" r:id="rId91" xr:uid="{00000000-0004-0000-0100-00005A000000}"/>
    <hyperlink ref="E94" r:id="rId92" xr:uid="{00000000-0004-0000-0100-00005B000000}"/>
    <hyperlink ref="E95" r:id="rId93" display="https://www.xiaohongshu.com/explore/69f1c29d0000000023005a50?app_platform=ios&amp;app_version=9.28&amp;share_from_user_hidden=true&amp;xsec_source=app_share&amp;type=normal&amp;xsec_token=CBg2gaKUnCxg2ud8iQCl-jr45B4wRjJaReZTBWhc6ZI6I=&amp;author_share=1&amp;xhsshare=WeixinSession&amp;shareRedId=ODY6NTk5Nzs2NzUyOTgwNjY0OTc8OTxC&amp;apptime=1777472867&amp;share_id=df9fcb8ddf8e446c9a5118d8d3317c00&amp;code=2G20cXCQnOy" xr:uid="{00000000-0004-0000-0100-00005C000000}"/>
    <hyperlink ref="E96" r:id="rId94" xr:uid="{00000000-0004-0000-0100-00005D000000}"/>
    <hyperlink ref="E97" r:id="rId95" xr:uid="{00000000-0004-0000-0100-00005E000000}"/>
    <hyperlink ref="E98" r:id="rId96" xr:uid="{00000000-0004-0000-0100-00005F000000}"/>
    <hyperlink ref="E99" r:id="rId97" xr:uid="{00000000-0004-0000-0100-000060000000}"/>
    <hyperlink ref="E100" r:id="rId98" xr:uid="{00000000-0004-0000-0100-000061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X395"/>
  <sheetViews>
    <sheetView workbookViewId="0">
      <pane xSplit="4" ySplit="1" topLeftCell="E2" activePane="bottomRight" state="frozen"/>
      <selection pane="topRight"/>
      <selection pane="bottomLeft"/>
      <selection pane="bottomRight" activeCell="E2" sqref="E2"/>
    </sheetView>
  </sheetViews>
  <sheetFormatPr baseColWidth="10" defaultColWidth="14" defaultRowHeight="13"/>
  <cols>
    <col min="1" max="2" width="10" customWidth="1"/>
    <col min="3" max="3" width="8" customWidth="1"/>
    <col min="4" max="4" width="14" customWidth="1"/>
    <col min="5" max="5" width="18" customWidth="1"/>
    <col min="6" max="6" width="24" customWidth="1"/>
    <col min="7" max="7" width="13" customWidth="1"/>
    <col min="8" max="8" width="28" customWidth="1"/>
    <col min="9" max="9" width="12" customWidth="1"/>
    <col min="10" max="10" width="17" customWidth="1"/>
    <col min="11" max="13" width="14" customWidth="1"/>
    <col min="14" max="14" width="17" customWidth="1"/>
    <col min="15" max="15" width="12" customWidth="1"/>
    <col min="16" max="16" width="14" customWidth="1"/>
    <col min="17" max="17" width="13" customWidth="1"/>
    <col min="18" max="18" width="14" customWidth="1"/>
    <col min="19" max="19" width="13" customWidth="1"/>
    <col min="20" max="24" width="14" customWidth="1"/>
  </cols>
  <sheetData>
    <row r="1" spans="1:24">
      <c r="A1" s="45" t="s">
        <v>0</v>
      </c>
      <c r="B1" s="45" t="s">
        <v>1</v>
      </c>
      <c r="C1" s="45" t="s">
        <v>2</v>
      </c>
      <c r="D1" s="45" t="s">
        <v>587</v>
      </c>
      <c r="E1" s="45" t="s">
        <v>3</v>
      </c>
      <c r="F1" s="45" t="s">
        <v>4</v>
      </c>
      <c r="G1" s="45" t="s">
        <v>5</v>
      </c>
      <c r="H1" s="45" t="s">
        <v>6</v>
      </c>
      <c r="I1" s="45" t="s">
        <v>7</v>
      </c>
      <c r="J1" s="45" t="s">
        <v>1003</v>
      </c>
      <c r="K1" s="45" t="s">
        <v>588</v>
      </c>
      <c r="L1" s="45" t="s">
        <v>589</v>
      </c>
      <c r="M1" s="45" t="s">
        <v>590</v>
      </c>
      <c r="N1" s="45" t="s">
        <v>1004</v>
      </c>
      <c r="O1" s="46" t="s">
        <v>10</v>
      </c>
      <c r="P1" s="45" t="s">
        <v>11</v>
      </c>
      <c r="Q1" s="45" t="s">
        <v>12</v>
      </c>
      <c r="R1" s="45" t="s">
        <v>13</v>
      </c>
      <c r="S1" s="45" t="s">
        <v>14</v>
      </c>
      <c r="T1" s="45" t="s">
        <v>15</v>
      </c>
      <c r="U1" s="9"/>
      <c r="V1" s="9"/>
      <c r="W1" s="9"/>
      <c r="X1" s="9"/>
    </row>
    <row r="2" spans="1:24">
      <c r="A2" s="84" t="s">
        <v>16</v>
      </c>
      <c r="B2" s="82"/>
      <c r="C2" s="82"/>
      <c r="D2" s="82"/>
      <c r="E2" s="82"/>
      <c r="F2" s="82"/>
      <c r="G2" s="82"/>
      <c r="H2" s="82"/>
      <c r="I2" s="45" t="s">
        <v>17</v>
      </c>
      <c r="J2" s="45">
        <f>SUM(J3:J57)</f>
        <v>110389</v>
      </c>
      <c r="K2" s="45"/>
      <c r="L2" s="45"/>
      <c r="M2" s="45"/>
      <c r="N2" s="45">
        <f>SUM(N3:N195)</f>
        <v>17709</v>
      </c>
      <c r="O2" s="46">
        <f>SUM(O3:O195)</f>
        <v>14700.800000000001</v>
      </c>
      <c r="P2" s="48">
        <f t="shared" ref="P2:P33" si="0">O2/N2</f>
        <v>0.83013157151730765</v>
      </c>
      <c r="Q2" s="47"/>
      <c r="R2" s="47"/>
      <c r="S2" s="45"/>
      <c r="T2" s="9"/>
      <c r="U2" s="9"/>
      <c r="V2" s="9"/>
      <c r="W2" s="9"/>
      <c r="X2" s="9"/>
    </row>
    <row r="3" spans="1:24" ht="14">
      <c r="A3" s="32">
        <v>46147</v>
      </c>
      <c r="B3" s="32">
        <f t="shared" ref="B3:B34" si="1">A3+7</f>
        <v>46154</v>
      </c>
      <c r="C3" s="9" t="s">
        <v>948</v>
      </c>
      <c r="D3" s="9" t="s">
        <v>1005</v>
      </c>
      <c r="E3" s="49" t="s">
        <v>1006</v>
      </c>
      <c r="F3" s="49" t="s">
        <v>1007</v>
      </c>
      <c r="G3" s="9"/>
      <c r="H3" s="9" t="s">
        <v>1008</v>
      </c>
      <c r="I3" s="9">
        <v>35</v>
      </c>
      <c r="J3" s="9">
        <f t="array" ref="J3">_xlfn.XLOOKUP(D3,'（数据废表）薯条投放明细表'!E:E,'（数据废表）薯条投放明细表'!I:I)</f>
        <v>406</v>
      </c>
      <c r="K3" s="9">
        <f>'（数据废表）薯条投放明细表'!K14+21</f>
        <v>254</v>
      </c>
      <c r="L3" s="9">
        <f>'（数据废表）薯条投放明细表'!L14</f>
        <v>1</v>
      </c>
      <c r="M3" s="9">
        <f>'（数据废表）薯条投放明细表'!M14</f>
        <v>27</v>
      </c>
      <c r="N3" s="9">
        <f t="shared" ref="N3:N34" si="2">SUM(K3:M3)</f>
        <v>282</v>
      </c>
      <c r="O3" s="50">
        <f>'（数据废表）薯条投放明细表'!J14+14.54</f>
        <v>214.54</v>
      </c>
      <c r="P3" s="33">
        <f t="shared" si="0"/>
        <v>0.76078014184397158</v>
      </c>
      <c r="Q3" s="51" t="s">
        <v>22</v>
      </c>
      <c r="R3" s="51" t="s">
        <v>151</v>
      </c>
      <c r="S3" s="9"/>
      <c r="T3" s="9" t="str">
        <f t="shared" ref="T3:T34" si="3">IF(N3="","",IF(N3&gt;=5000,"S 级",IF(N3&gt;=1000,"A 级",IF(N3&gt;=500,"B 级","C 级"))))</f>
        <v>C 级</v>
      </c>
      <c r="U3" s="9"/>
      <c r="V3" s="9"/>
      <c r="W3" s="9"/>
      <c r="X3" s="9"/>
    </row>
    <row r="4" spans="1:24" ht="14">
      <c r="A4" s="32">
        <v>46147</v>
      </c>
      <c r="B4" s="32">
        <f t="shared" si="1"/>
        <v>46154</v>
      </c>
      <c r="C4" s="9" t="s">
        <v>948</v>
      </c>
      <c r="D4" s="52" t="s">
        <v>1009</v>
      </c>
      <c r="E4" s="49" t="s">
        <v>1010</v>
      </c>
      <c r="F4" s="49" t="s">
        <v>1011</v>
      </c>
      <c r="G4" s="9"/>
      <c r="H4" s="9" t="s">
        <v>1012</v>
      </c>
      <c r="I4" s="9">
        <v>5</v>
      </c>
      <c r="J4" s="9">
        <f t="array" ref="J4">_xlfn.XLOOKUP(D4,'（数据废表）薯条投放明细表'!E:E,'（数据废表）薯条投放明细表'!I:I)</f>
        <v>115</v>
      </c>
      <c r="K4" s="9">
        <f>'（数据废表）薯条投放明细表'!K15</f>
        <v>99</v>
      </c>
      <c r="L4" s="9">
        <f>'（数据废表）薯条投放明细表'!L15</f>
        <v>1</v>
      </c>
      <c r="M4" s="9">
        <f>'（数据废表）薯条投放明细表'!M15</f>
        <v>3</v>
      </c>
      <c r="N4" s="9">
        <f t="shared" si="2"/>
        <v>103</v>
      </c>
      <c r="O4" s="50">
        <f>'（数据废表）薯条投放明细表'!J15</f>
        <v>200</v>
      </c>
      <c r="P4" s="33">
        <f t="shared" si="0"/>
        <v>1.941747572815534</v>
      </c>
      <c r="Q4" s="51" t="s">
        <v>22</v>
      </c>
      <c r="R4" s="51" t="s">
        <v>48</v>
      </c>
      <c r="S4" s="9"/>
      <c r="T4" s="9" t="str">
        <f t="shared" si="3"/>
        <v>C 级</v>
      </c>
      <c r="U4" s="9"/>
      <c r="V4" s="9"/>
      <c r="W4" s="9"/>
      <c r="X4" s="9"/>
    </row>
    <row r="5" spans="1:24" ht="14">
      <c r="A5" s="32">
        <v>46143</v>
      </c>
      <c r="B5" s="32">
        <f t="shared" si="1"/>
        <v>46150</v>
      </c>
      <c r="C5" s="9" t="s">
        <v>18</v>
      </c>
      <c r="D5" s="52" t="s">
        <v>1013</v>
      </c>
      <c r="E5" s="49" t="s">
        <v>1014</v>
      </c>
      <c r="F5" s="49" t="s">
        <v>1015</v>
      </c>
      <c r="G5" s="9"/>
      <c r="H5" s="9" t="s">
        <v>1016</v>
      </c>
      <c r="I5" s="9">
        <v>3679</v>
      </c>
      <c r="J5" s="9">
        <f t="array" ref="J5">_xlfn.XLOOKUP(D5,'（数据废表）薯条投放明细表'!E:E,'（数据废表）薯条投放明细表'!I:I)</f>
        <v>3731</v>
      </c>
      <c r="K5" s="9">
        <f>'（数据废表）薯条投放明细表'!K16</f>
        <v>46</v>
      </c>
      <c r="L5" s="9">
        <f>'（数据废表）薯条投放明细表'!L16</f>
        <v>5</v>
      </c>
      <c r="M5" s="9">
        <f>'（数据废表）薯条投放明细表'!M16</f>
        <v>2</v>
      </c>
      <c r="N5" s="9">
        <f t="shared" si="2"/>
        <v>53</v>
      </c>
      <c r="O5" s="50">
        <f>'（数据废表）薯条投放明细表'!J16</f>
        <v>25.300000000000011</v>
      </c>
      <c r="P5" s="33">
        <f t="shared" si="0"/>
        <v>0.47735849056603796</v>
      </c>
      <c r="Q5" s="53" t="s">
        <v>34</v>
      </c>
      <c r="R5" s="53" t="s">
        <v>349</v>
      </c>
      <c r="S5" s="9" t="s">
        <v>1017</v>
      </c>
      <c r="T5" s="9" t="str">
        <f t="shared" si="3"/>
        <v>C 级</v>
      </c>
      <c r="U5" s="9"/>
      <c r="V5" s="9"/>
      <c r="W5" s="9"/>
      <c r="X5" s="9"/>
    </row>
    <row r="6" spans="1:24" ht="14">
      <c r="A6" s="32">
        <v>46143</v>
      </c>
      <c r="B6" s="32">
        <f t="shared" si="1"/>
        <v>46150</v>
      </c>
      <c r="C6" s="9" t="s">
        <v>948</v>
      </c>
      <c r="D6" s="9" t="s">
        <v>1018</v>
      </c>
      <c r="E6" s="49" t="s">
        <v>1019</v>
      </c>
      <c r="F6" s="49" t="s">
        <v>1020</v>
      </c>
      <c r="G6" s="9"/>
      <c r="H6" s="52" t="s">
        <v>1021</v>
      </c>
      <c r="I6" s="9">
        <v>1359</v>
      </c>
      <c r="J6" s="9">
        <f t="array" ref="J6">_xlfn.XLOOKUP(D6,'（数据废表）薯条投放明细表'!E:E,'（数据废表）薯条投放明细表'!I:I)</f>
        <v>1486</v>
      </c>
      <c r="K6" s="9">
        <f>'（数据废表）薯条投放明细表'!K17</f>
        <v>2</v>
      </c>
      <c r="L6" s="9">
        <f>'（数据废表）薯条投放明细表'!L17</f>
        <v>1</v>
      </c>
      <c r="M6" s="9">
        <f>'（数据废表）薯条投放明细表'!M17</f>
        <v>2</v>
      </c>
      <c r="N6" s="9">
        <f t="shared" si="2"/>
        <v>5</v>
      </c>
      <c r="O6" s="50">
        <f>'（数据废表）薯条投放明细表'!J17</f>
        <v>200</v>
      </c>
      <c r="P6" s="33">
        <f t="shared" si="0"/>
        <v>40</v>
      </c>
      <c r="Q6" s="54" t="s">
        <v>978</v>
      </c>
      <c r="R6" s="54" t="s">
        <v>979</v>
      </c>
      <c r="S6" s="9"/>
      <c r="T6" s="9" t="str">
        <f t="shared" si="3"/>
        <v>C 级</v>
      </c>
      <c r="U6" s="9"/>
      <c r="V6" s="9"/>
      <c r="W6" s="9"/>
      <c r="X6" s="9"/>
    </row>
    <row r="7" spans="1:24" ht="14">
      <c r="A7" s="32">
        <v>46146</v>
      </c>
      <c r="B7" s="32">
        <f t="shared" si="1"/>
        <v>46153</v>
      </c>
      <c r="C7" s="9" t="s">
        <v>948</v>
      </c>
      <c r="D7" s="9" t="s">
        <v>1022</v>
      </c>
      <c r="E7" s="49" t="s">
        <v>1023</v>
      </c>
      <c r="F7" s="49" t="s">
        <v>1024</v>
      </c>
      <c r="G7" s="9"/>
      <c r="H7" s="9" t="s">
        <v>1025</v>
      </c>
      <c r="I7" s="9">
        <v>1332</v>
      </c>
      <c r="J7" s="9">
        <f t="array" ref="J7">_xlfn.XLOOKUP(D7,'（数据废表）薯条投放明细表'!E:E,'（数据废表）薯条投放明细表'!I:I)</f>
        <v>2617</v>
      </c>
      <c r="K7" s="9">
        <f>'（数据废表）薯条投放明细表'!K18</f>
        <v>6</v>
      </c>
      <c r="L7" s="9">
        <f>'（数据废表）薯条投放明细表'!L18</f>
        <v>1</v>
      </c>
      <c r="M7" s="9">
        <f>'（数据废表）薯条投放明细表'!M18</f>
        <v>0</v>
      </c>
      <c r="N7" s="9">
        <f t="shared" si="2"/>
        <v>7</v>
      </c>
      <c r="O7" s="50">
        <f>'（数据废表）薯条投放明细表'!J18</f>
        <v>179.57</v>
      </c>
      <c r="P7" s="33">
        <f t="shared" si="0"/>
        <v>25.65285714285714</v>
      </c>
      <c r="Q7" s="55" t="s">
        <v>43</v>
      </c>
      <c r="R7" s="55" t="s">
        <v>1026</v>
      </c>
      <c r="S7" s="56" t="s">
        <v>1027</v>
      </c>
      <c r="T7" s="9" t="str">
        <f t="shared" si="3"/>
        <v>C 级</v>
      </c>
      <c r="U7" s="9"/>
      <c r="V7" s="9"/>
      <c r="W7" s="9"/>
      <c r="X7" s="9"/>
    </row>
    <row r="8" spans="1:24" ht="14">
      <c r="A8" s="32">
        <v>46149</v>
      </c>
      <c r="B8" s="32">
        <f t="shared" si="1"/>
        <v>46156</v>
      </c>
      <c r="C8" s="9" t="s">
        <v>948</v>
      </c>
      <c r="D8" s="9" t="s">
        <v>1028</v>
      </c>
      <c r="E8" s="49" t="s">
        <v>1029</v>
      </c>
      <c r="F8" s="49" t="s">
        <v>1030</v>
      </c>
      <c r="G8" s="9"/>
      <c r="H8" s="9" t="s">
        <v>1031</v>
      </c>
      <c r="I8" s="9">
        <v>1</v>
      </c>
      <c r="J8" s="9">
        <f t="array" ref="J8">_xlfn.XLOOKUP(D8,'（数据废表）薯条投放明细表'!E:E,'（数据废表）薯条投放明细表'!I:I)</f>
        <v>34</v>
      </c>
      <c r="K8" s="9">
        <f>'（数据废表）薯条投放明细表'!K19</f>
        <v>29</v>
      </c>
      <c r="L8" s="9">
        <f>'（数据废表）薯条投放明细表'!L19</f>
        <v>0</v>
      </c>
      <c r="M8" s="9">
        <f>'（数据废表）薯条投放明细表'!M19</f>
        <v>2</v>
      </c>
      <c r="N8" s="9">
        <f t="shared" si="2"/>
        <v>31</v>
      </c>
      <c r="O8" s="50">
        <f>'（数据废表）薯条投放明细表'!J19</f>
        <v>200</v>
      </c>
      <c r="P8" s="33">
        <f t="shared" si="0"/>
        <v>6.4516129032258061</v>
      </c>
      <c r="Q8" s="53" t="s">
        <v>34</v>
      </c>
      <c r="R8" s="53" t="s">
        <v>66</v>
      </c>
      <c r="S8" s="56"/>
      <c r="T8" s="9" t="str">
        <f t="shared" si="3"/>
        <v>C 级</v>
      </c>
      <c r="U8" s="9"/>
      <c r="V8" s="9"/>
      <c r="W8" s="9"/>
      <c r="X8" s="9"/>
    </row>
    <row r="9" spans="1:24" ht="14">
      <c r="A9" s="32">
        <v>46148</v>
      </c>
      <c r="B9" s="32">
        <f t="shared" si="1"/>
        <v>46155</v>
      </c>
      <c r="C9" s="9" t="s">
        <v>948</v>
      </c>
      <c r="D9" s="9" t="s">
        <v>1032</v>
      </c>
      <c r="E9" s="49" t="s">
        <v>1033</v>
      </c>
      <c r="F9" s="49" t="s">
        <v>1034</v>
      </c>
      <c r="G9" s="9"/>
      <c r="H9" s="9" t="s">
        <v>1035</v>
      </c>
      <c r="I9" s="9">
        <v>19</v>
      </c>
      <c r="J9" s="9">
        <f t="array" ref="J9">_xlfn.XLOOKUP(D9,'（数据废表）薯条投放明细表'!E:E,'（数据废表）薯条投放明细表'!I:I)</f>
        <v>822</v>
      </c>
      <c r="K9" s="9">
        <f>'（数据废表）薯条投放明细表'!K20+420</f>
        <v>768</v>
      </c>
      <c r="L9" s="9">
        <f>'（数据废表）薯条投放明细表'!L20+2</f>
        <v>5</v>
      </c>
      <c r="M9" s="9">
        <f>'（数据废表）薯条投放明细表'!M20+5</f>
        <v>7</v>
      </c>
      <c r="N9" s="9">
        <f t="shared" si="2"/>
        <v>780</v>
      </c>
      <c r="O9" s="50">
        <f>'（数据废表）薯条投放明细表'!J20+200</f>
        <v>400</v>
      </c>
      <c r="P9" s="33">
        <f t="shared" si="0"/>
        <v>0.51282051282051277</v>
      </c>
      <c r="Q9" s="51" t="s">
        <v>22</v>
      </c>
      <c r="R9" s="51" t="s">
        <v>151</v>
      </c>
      <c r="S9" s="56"/>
      <c r="T9" s="9" t="str">
        <f t="shared" si="3"/>
        <v>B 级</v>
      </c>
      <c r="U9" s="9"/>
      <c r="V9" s="9"/>
      <c r="W9" s="9"/>
      <c r="X9" s="9"/>
    </row>
    <row r="10" spans="1:24" ht="14">
      <c r="A10" s="32">
        <v>46148</v>
      </c>
      <c r="B10" s="32">
        <f t="shared" si="1"/>
        <v>46155</v>
      </c>
      <c r="C10" s="9" t="s">
        <v>948</v>
      </c>
      <c r="D10" s="9" t="s">
        <v>1036</v>
      </c>
      <c r="E10" s="49" t="s">
        <v>1037</v>
      </c>
      <c r="F10" s="49" t="s">
        <v>1038</v>
      </c>
      <c r="G10" s="9"/>
      <c r="H10" s="9" t="s">
        <v>1039</v>
      </c>
      <c r="I10" s="9">
        <v>4</v>
      </c>
      <c r="J10" s="9">
        <f t="array" ref="J10">_xlfn.XLOOKUP(D10,'（数据废表）薯条投放明细表'!E:E,'（数据废表）薯条投放明细表'!I:I)</f>
        <v>67</v>
      </c>
      <c r="K10" s="9">
        <f>'（数据废表）薯条投放明细表'!K21</f>
        <v>52</v>
      </c>
      <c r="L10" s="9">
        <f>'（数据废表）薯条投放明细表'!L21</f>
        <v>0</v>
      </c>
      <c r="M10" s="9">
        <f>'（数据废表）薯条投放明细表'!M21</f>
        <v>4</v>
      </c>
      <c r="N10" s="9">
        <f t="shared" si="2"/>
        <v>56</v>
      </c>
      <c r="O10" s="50">
        <f>'（数据废表）薯条投放明细表'!J21</f>
        <v>200</v>
      </c>
      <c r="P10" s="33">
        <f t="shared" si="0"/>
        <v>3.5714285714285716</v>
      </c>
      <c r="Q10" s="57" t="s">
        <v>290</v>
      </c>
      <c r="R10" s="57" t="s">
        <v>1040</v>
      </c>
      <c r="S10" s="56"/>
      <c r="T10" s="9" t="str">
        <f t="shared" si="3"/>
        <v>C 级</v>
      </c>
      <c r="U10" s="9"/>
      <c r="V10" s="9"/>
      <c r="W10" s="9"/>
      <c r="X10" s="9"/>
    </row>
    <row r="11" spans="1:24" ht="14">
      <c r="A11" s="32">
        <v>46148</v>
      </c>
      <c r="B11" s="32">
        <f t="shared" si="1"/>
        <v>46155</v>
      </c>
      <c r="C11" s="9" t="s">
        <v>948</v>
      </c>
      <c r="D11" s="9" t="s">
        <v>1041</v>
      </c>
      <c r="E11" s="49" t="s">
        <v>1042</v>
      </c>
      <c r="F11" s="49" t="s">
        <v>1043</v>
      </c>
      <c r="G11" s="58">
        <v>46149</v>
      </c>
      <c r="H11" s="9" t="s">
        <v>1044</v>
      </c>
      <c r="I11" s="9">
        <v>30</v>
      </c>
      <c r="J11" s="9">
        <f t="array" ref="J11">_xlfn.XLOOKUP(D11,'（数据废表）薯条投放明细表'!E:E,'（数据废表）薯条投放明细表'!I:I)</f>
        <v>84</v>
      </c>
      <c r="K11" s="9">
        <f>'（数据废表）薯条投放明细表'!K22</f>
        <v>17</v>
      </c>
      <c r="L11" s="9">
        <f>'（数据废表）薯条投放明细表'!L22</f>
        <v>10</v>
      </c>
      <c r="M11" s="9">
        <f>'（数据废表）薯条投放明细表'!M22</f>
        <v>1</v>
      </c>
      <c r="N11" s="9">
        <f t="shared" si="2"/>
        <v>28</v>
      </c>
      <c r="O11" s="50">
        <f>'（数据废表）薯条投放明细表'!J22</f>
        <v>200</v>
      </c>
      <c r="P11" s="33">
        <f t="shared" si="0"/>
        <v>7.1428571428571432</v>
      </c>
      <c r="Q11" s="51" t="s">
        <v>22</v>
      </c>
      <c r="R11" s="51" t="s">
        <v>907</v>
      </c>
      <c r="S11" s="59"/>
      <c r="T11" s="9" t="str">
        <f t="shared" si="3"/>
        <v>C 级</v>
      </c>
      <c r="U11" s="9"/>
      <c r="V11" s="9"/>
      <c r="W11" s="9"/>
      <c r="X11" s="9"/>
    </row>
    <row r="12" spans="1:24" ht="14">
      <c r="A12" s="32">
        <v>46149</v>
      </c>
      <c r="B12" s="32">
        <f t="shared" si="1"/>
        <v>46156</v>
      </c>
      <c r="C12" s="9" t="s">
        <v>948</v>
      </c>
      <c r="D12" s="9" t="s">
        <v>1045</v>
      </c>
      <c r="E12" s="49" t="s">
        <v>1046</v>
      </c>
      <c r="F12" s="49" t="s">
        <v>1047</v>
      </c>
      <c r="G12" s="9"/>
      <c r="H12" s="9" t="s">
        <v>1048</v>
      </c>
      <c r="I12" s="9">
        <v>6</v>
      </c>
      <c r="J12" s="9">
        <f t="array" ref="J12">_xlfn.XLOOKUP(D12,'（数据废表）薯条投放明细表'!E:E,'（数据废表）薯条投放明细表'!I:I)</f>
        <v>17</v>
      </c>
      <c r="K12" s="9">
        <f>'（数据废表）薯条投放明细表'!K23</f>
        <v>1</v>
      </c>
      <c r="L12" s="9">
        <f>'（数据废表）薯条投放明细表'!L23</f>
        <v>0</v>
      </c>
      <c r="M12" s="9">
        <f>'（数据废表）薯条投放明细表'!M23</f>
        <v>0</v>
      </c>
      <c r="N12" s="9">
        <f t="shared" si="2"/>
        <v>1</v>
      </c>
      <c r="O12" s="50">
        <f>'（数据废表）薯条投放明细表'!J23</f>
        <v>200</v>
      </c>
      <c r="P12" s="33">
        <f t="shared" si="0"/>
        <v>200</v>
      </c>
      <c r="Q12" s="51" t="s">
        <v>22</v>
      </c>
      <c r="R12" s="51" t="s">
        <v>441</v>
      </c>
      <c r="S12" s="59"/>
      <c r="T12" s="9" t="str">
        <f t="shared" si="3"/>
        <v>C 级</v>
      </c>
      <c r="U12" s="9"/>
      <c r="V12" s="9"/>
      <c r="W12" s="9"/>
      <c r="X12" s="9"/>
    </row>
    <row r="13" spans="1:24" ht="14">
      <c r="A13" s="32">
        <v>46148</v>
      </c>
      <c r="B13" s="32">
        <f t="shared" si="1"/>
        <v>46155</v>
      </c>
      <c r="C13" s="9" t="s">
        <v>948</v>
      </c>
      <c r="D13" s="9" t="s">
        <v>1049</v>
      </c>
      <c r="E13" s="49" t="s">
        <v>1050</v>
      </c>
      <c r="F13" s="49" t="s">
        <v>1051</v>
      </c>
      <c r="G13" s="9"/>
      <c r="H13" s="9" t="s">
        <v>1052</v>
      </c>
      <c r="I13" s="9">
        <v>14</v>
      </c>
      <c r="J13" s="9">
        <f t="array" ref="J13">_xlfn.XLOOKUP(D13,'（数据废表）薯条投放明细表'!E:E,'（数据废表）薯条投放明细表'!I:I)</f>
        <v>83</v>
      </c>
      <c r="K13" s="9">
        <f>'（数据废表）薯条投放明细表'!K24</f>
        <v>31</v>
      </c>
      <c r="L13" s="9">
        <f>'（数据废表）薯条投放明细表'!L24</f>
        <v>5</v>
      </c>
      <c r="M13" s="9">
        <f>'（数据废表）薯条投放明细表'!M24</f>
        <v>17</v>
      </c>
      <c r="N13" s="9">
        <f t="shared" si="2"/>
        <v>53</v>
      </c>
      <c r="O13" s="50">
        <f>'（数据废表）薯条投放明细表'!J24</f>
        <v>200</v>
      </c>
      <c r="P13" s="33">
        <f t="shared" si="0"/>
        <v>3.7735849056603774</v>
      </c>
      <c r="Q13" s="55" t="s">
        <v>43</v>
      </c>
      <c r="R13" s="55" t="s">
        <v>1053</v>
      </c>
      <c r="S13" s="59"/>
      <c r="T13" s="9" t="str">
        <f t="shared" si="3"/>
        <v>C 级</v>
      </c>
      <c r="U13" s="9"/>
      <c r="V13" s="9"/>
      <c r="W13" s="9"/>
      <c r="X13" s="9"/>
    </row>
    <row r="14" spans="1:24" ht="14">
      <c r="A14" s="32">
        <v>46149</v>
      </c>
      <c r="B14" s="32">
        <f t="shared" si="1"/>
        <v>46156</v>
      </c>
      <c r="C14" s="9" t="s">
        <v>948</v>
      </c>
      <c r="D14" s="9" t="s">
        <v>1054</v>
      </c>
      <c r="E14" s="49" t="s">
        <v>1055</v>
      </c>
      <c r="F14" s="49" t="s">
        <v>1056</v>
      </c>
      <c r="G14" s="9"/>
      <c r="H14" s="9" t="s">
        <v>1057</v>
      </c>
      <c r="I14" s="9">
        <v>6</v>
      </c>
      <c r="J14" s="9">
        <f t="array" ref="J14">_xlfn.XLOOKUP(D14,'（数据废表）薯条投放明细表'!E:E,'（数据废表）薯条投放明细表'!I:I)</f>
        <v>156</v>
      </c>
      <c r="K14" s="9">
        <f>'（数据废表）薯条投放明细表'!K27</f>
        <v>128</v>
      </c>
      <c r="L14" s="9">
        <f>'（数据废表）薯条投放明细表'!L27</f>
        <v>0</v>
      </c>
      <c r="M14" s="9">
        <f>'（数据废表）薯条投放明细表'!M27</f>
        <v>3</v>
      </c>
      <c r="N14" s="9">
        <f t="shared" si="2"/>
        <v>131</v>
      </c>
      <c r="O14" s="50">
        <f>'（数据废表）薯条投放明细表'!J27</f>
        <v>200</v>
      </c>
      <c r="P14" s="33">
        <f t="shared" si="0"/>
        <v>1.5267175572519085</v>
      </c>
      <c r="Q14" s="53" t="s">
        <v>34</v>
      </c>
      <c r="R14" s="53" t="s">
        <v>349</v>
      </c>
      <c r="S14" s="59"/>
      <c r="T14" s="9" t="str">
        <f t="shared" si="3"/>
        <v>C 级</v>
      </c>
      <c r="U14" s="9"/>
      <c r="V14" s="9"/>
      <c r="W14" s="9"/>
      <c r="X14" s="9"/>
    </row>
    <row r="15" spans="1:24" ht="14">
      <c r="A15" s="32">
        <v>46149</v>
      </c>
      <c r="B15" s="32">
        <f t="shared" si="1"/>
        <v>46156</v>
      </c>
      <c r="C15" s="9" t="s">
        <v>948</v>
      </c>
      <c r="D15" s="9" t="s">
        <v>1058</v>
      </c>
      <c r="E15" s="49" t="s">
        <v>1059</v>
      </c>
      <c r="F15" s="49" t="s">
        <v>1060</v>
      </c>
      <c r="G15" s="9"/>
      <c r="H15" s="9" t="s">
        <v>1061</v>
      </c>
      <c r="I15" s="9">
        <v>0</v>
      </c>
      <c r="J15" s="9">
        <f t="array" ref="J15">_xlfn.XLOOKUP(D15,'（数据废表）薯条投放明细表'!E:E,'（数据废表）薯条投放明细表'!I:I)</f>
        <v>20</v>
      </c>
      <c r="K15" s="9">
        <f>'（数据废表）薯条投放明细表'!K28</f>
        <v>8</v>
      </c>
      <c r="L15" s="9">
        <f>'（数据废表）薯条投放明细表'!L28</f>
        <v>0</v>
      </c>
      <c r="M15" s="9">
        <f>'（数据废表）薯条投放明细表'!M28</f>
        <v>0</v>
      </c>
      <c r="N15" s="9">
        <f t="shared" si="2"/>
        <v>8</v>
      </c>
      <c r="O15" s="50">
        <f>'（数据废表）薯条投放明细表'!J28</f>
        <v>200</v>
      </c>
      <c r="P15" s="33">
        <f t="shared" si="0"/>
        <v>25</v>
      </c>
      <c r="Q15" s="51" t="s">
        <v>22</v>
      </c>
      <c r="R15" s="51" t="s">
        <v>48</v>
      </c>
      <c r="S15" s="59"/>
      <c r="T15" s="9" t="str">
        <f t="shared" si="3"/>
        <v>C 级</v>
      </c>
      <c r="U15" s="9"/>
      <c r="V15" s="9"/>
      <c r="W15" s="9"/>
      <c r="X15" s="9"/>
    </row>
    <row r="16" spans="1:24" ht="14">
      <c r="A16" s="32">
        <v>46149</v>
      </c>
      <c r="B16" s="32">
        <f t="shared" si="1"/>
        <v>46156</v>
      </c>
      <c r="C16" s="9" t="s">
        <v>948</v>
      </c>
      <c r="D16" s="9" t="s">
        <v>1062</v>
      </c>
      <c r="E16" s="49" t="s">
        <v>1063</v>
      </c>
      <c r="F16" s="49" t="s">
        <v>1064</v>
      </c>
      <c r="G16" s="58">
        <v>46150</v>
      </c>
      <c r="H16" s="9" t="s">
        <v>1065</v>
      </c>
      <c r="I16" s="9">
        <v>28</v>
      </c>
      <c r="J16" s="9">
        <f t="array" ref="J16">_xlfn.XLOOKUP(D16,'（数据废表）薯条投放明细表'!E:E,'（数据废表）薯条投放明细表'!I:I)</f>
        <v>210</v>
      </c>
      <c r="K16" s="9">
        <f>'（数据废表）薯条投放明细表'!K29</f>
        <v>160</v>
      </c>
      <c r="L16" s="9">
        <f>'（数据废表）薯条投放明细表'!L29</f>
        <v>18</v>
      </c>
      <c r="M16" s="9">
        <f>'（数据废表）薯条投放明细表'!M29</f>
        <v>4</v>
      </c>
      <c r="N16" s="9">
        <f t="shared" si="2"/>
        <v>182</v>
      </c>
      <c r="O16" s="50">
        <f>'（数据废表）薯条投放明细表'!J29</f>
        <v>200</v>
      </c>
      <c r="P16" s="33">
        <f t="shared" si="0"/>
        <v>1.098901098901099</v>
      </c>
      <c r="Q16" s="51" t="s">
        <v>22</v>
      </c>
      <c r="R16" s="51" t="s">
        <v>907</v>
      </c>
      <c r="S16" s="59" t="s">
        <v>1066</v>
      </c>
      <c r="T16" s="9" t="str">
        <f t="shared" si="3"/>
        <v>C 级</v>
      </c>
      <c r="U16" s="9"/>
      <c r="V16" s="9"/>
      <c r="W16" s="9"/>
      <c r="X16" s="9"/>
    </row>
    <row r="17" spans="1:24" ht="14">
      <c r="A17" s="32">
        <v>46148</v>
      </c>
      <c r="B17" s="32">
        <f t="shared" si="1"/>
        <v>46155</v>
      </c>
      <c r="C17" s="9" t="s">
        <v>948</v>
      </c>
      <c r="D17" s="9" t="s">
        <v>1067</v>
      </c>
      <c r="E17" s="49" t="s">
        <v>1068</v>
      </c>
      <c r="F17" s="49" t="s">
        <v>1069</v>
      </c>
      <c r="G17" s="58">
        <v>46150</v>
      </c>
      <c r="H17" s="9" t="s">
        <v>1070</v>
      </c>
      <c r="I17" s="9">
        <v>5</v>
      </c>
      <c r="J17" s="9">
        <f t="array" ref="J17">_xlfn.XLOOKUP(D17,'（数据废表）薯条投放明细表'!E:E,'（数据废表）薯条投放明细表'!I:I)</f>
        <v>195</v>
      </c>
      <c r="K17" s="9">
        <f>'（数据废表）薯条投放明细表'!K30</f>
        <v>18</v>
      </c>
      <c r="L17" s="9">
        <f>'（数据废表）薯条投放明细表'!L30</f>
        <v>0</v>
      </c>
      <c r="M17" s="9">
        <f>'（数据废表）薯条投放明细表'!M30</f>
        <v>1</v>
      </c>
      <c r="N17" s="9">
        <f t="shared" si="2"/>
        <v>19</v>
      </c>
      <c r="O17" s="50">
        <f>'（数据废表）薯条投放明细表'!J30</f>
        <v>169.69</v>
      </c>
      <c r="P17" s="33">
        <f t="shared" si="0"/>
        <v>8.9310526315789467</v>
      </c>
      <c r="Q17" s="51" t="s">
        <v>22</v>
      </c>
      <c r="R17" s="51" t="s">
        <v>907</v>
      </c>
      <c r="S17" s="59"/>
      <c r="T17" s="9" t="str">
        <f t="shared" si="3"/>
        <v>C 级</v>
      </c>
      <c r="U17" s="9"/>
      <c r="V17" s="9"/>
      <c r="W17" s="9"/>
      <c r="X17" s="9"/>
    </row>
    <row r="18" spans="1:24" ht="14">
      <c r="A18" s="32">
        <v>46148</v>
      </c>
      <c r="B18" s="32">
        <f t="shared" si="1"/>
        <v>46155</v>
      </c>
      <c r="C18" s="9" t="s">
        <v>948</v>
      </c>
      <c r="D18" s="9" t="s">
        <v>1071</v>
      </c>
      <c r="E18" s="49" t="s">
        <v>1072</v>
      </c>
      <c r="F18" s="49" t="s">
        <v>1073</v>
      </c>
      <c r="G18" s="58">
        <v>46150</v>
      </c>
      <c r="H18" s="9" t="s">
        <v>1074</v>
      </c>
      <c r="I18" s="9">
        <v>4</v>
      </c>
      <c r="J18" s="9">
        <f t="array" ref="J18">_xlfn.XLOOKUP(D18,'（数据废表）薯条投放明细表'!E:E,'（数据废表）薯条投放明细表'!I:I)</f>
        <v>8</v>
      </c>
      <c r="K18" s="9">
        <f>'（数据废表）薯条投放明细表'!K31</f>
        <v>4</v>
      </c>
      <c r="L18" s="9">
        <f>'（数据废表）薯条投放明细表'!L31</f>
        <v>0</v>
      </c>
      <c r="M18" s="9">
        <f>'（数据废表）薯条投放明细表'!M31</f>
        <v>0</v>
      </c>
      <c r="N18" s="9">
        <f t="shared" si="2"/>
        <v>4</v>
      </c>
      <c r="O18" s="50">
        <f>'（数据废表）薯条投放明细表'!J31</f>
        <v>200</v>
      </c>
      <c r="P18" s="33">
        <f t="shared" si="0"/>
        <v>50</v>
      </c>
      <c r="Q18" s="51" t="s">
        <v>22</v>
      </c>
      <c r="R18" s="51" t="s">
        <v>907</v>
      </c>
      <c r="S18" s="59"/>
      <c r="T18" s="9" t="str">
        <f t="shared" si="3"/>
        <v>C 级</v>
      </c>
      <c r="U18" s="9"/>
      <c r="V18" s="9"/>
      <c r="W18" s="9"/>
      <c r="X18" s="9"/>
    </row>
    <row r="19" spans="1:24" ht="14">
      <c r="A19" s="32">
        <v>46150</v>
      </c>
      <c r="B19" s="32">
        <f t="shared" si="1"/>
        <v>46157</v>
      </c>
      <c r="C19" s="9" t="s">
        <v>948</v>
      </c>
      <c r="D19" s="9" t="s">
        <v>1075</v>
      </c>
      <c r="E19" s="49" t="s">
        <v>1076</v>
      </c>
      <c r="F19" s="49" t="s">
        <v>1077</v>
      </c>
      <c r="G19" s="58">
        <v>46150</v>
      </c>
      <c r="H19" s="9" t="s">
        <v>1078</v>
      </c>
      <c r="I19" s="9">
        <v>163</v>
      </c>
      <c r="J19" s="9">
        <f t="array" ref="J19">_xlfn.XLOOKUP(D19,'（数据废表）薯条投放明细表'!E:E,'（数据废表）薯条投放明细表'!I:I)</f>
        <v>1845</v>
      </c>
      <c r="K19" s="9">
        <f>'（数据废表）薯条投放明细表'!K32</f>
        <v>22</v>
      </c>
      <c r="L19" s="9">
        <f>'（数据废表）薯条投放明细表'!L32</f>
        <v>4</v>
      </c>
      <c r="M19" s="9">
        <f>'（数据废表）薯条投放明细表'!M32</f>
        <v>0</v>
      </c>
      <c r="N19" s="9">
        <f t="shared" si="2"/>
        <v>26</v>
      </c>
      <c r="O19" s="50">
        <f>'（数据废表）薯条投放明细表'!J32</f>
        <v>200</v>
      </c>
      <c r="P19" s="33">
        <f t="shared" si="0"/>
        <v>7.6923076923076925</v>
      </c>
      <c r="Q19" s="51" t="s">
        <v>22</v>
      </c>
      <c r="R19" s="51" t="s">
        <v>44</v>
      </c>
      <c r="S19" s="59"/>
      <c r="T19" s="9" t="str">
        <f t="shared" si="3"/>
        <v>C 级</v>
      </c>
      <c r="U19" s="9"/>
      <c r="V19" s="9"/>
      <c r="W19" s="9"/>
      <c r="X19" s="9"/>
    </row>
    <row r="20" spans="1:24" ht="14">
      <c r="A20" s="32">
        <v>46150</v>
      </c>
      <c r="B20" s="32">
        <f t="shared" si="1"/>
        <v>46157</v>
      </c>
      <c r="C20" s="9" t="s">
        <v>948</v>
      </c>
      <c r="D20" s="60" t="s">
        <v>1079</v>
      </c>
      <c r="E20" s="49" t="s">
        <v>1080</v>
      </c>
      <c r="F20" s="49" t="s">
        <v>1081</v>
      </c>
      <c r="G20" s="9"/>
      <c r="H20" s="9" t="s">
        <v>1082</v>
      </c>
      <c r="I20" s="9">
        <v>354</v>
      </c>
      <c r="J20" s="9">
        <f t="array" ref="J20">_xlfn.XLOOKUP(D20,'（数据废表）薯条投放明细表'!E:E,'（数据废表）薯条投放明细表'!I:I)</f>
        <v>5034</v>
      </c>
      <c r="K20" s="9">
        <f>2107+744</f>
        <v>2851</v>
      </c>
      <c r="L20" s="9">
        <f>4+2</f>
        <v>6</v>
      </c>
      <c r="M20" s="9">
        <f>74+27</f>
        <v>101</v>
      </c>
      <c r="N20" s="9">
        <f t="shared" si="2"/>
        <v>2958</v>
      </c>
      <c r="O20" s="50">
        <f>600+200</f>
        <v>800</v>
      </c>
      <c r="P20" s="33">
        <f t="shared" si="0"/>
        <v>0.27045300878972278</v>
      </c>
      <c r="Q20" s="51" t="s">
        <v>22</v>
      </c>
      <c r="R20" s="51" t="s">
        <v>151</v>
      </c>
      <c r="S20" s="9"/>
      <c r="T20" s="9" t="str">
        <f t="shared" si="3"/>
        <v>A 级</v>
      </c>
      <c r="U20" s="9"/>
      <c r="V20" s="9"/>
      <c r="W20" s="9"/>
      <c r="X20" s="9"/>
    </row>
    <row r="21" spans="1:24" ht="14">
      <c r="A21" s="32">
        <v>46151</v>
      </c>
      <c r="B21" s="32">
        <f t="shared" si="1"/>
        <v>46158</v>
      </c>
      <c r="C21" s="9" t="s">
        <v>948</v>
      </c>
      <c r="D21" s="60" t="s">
        <v>686</v>
      </c>
      <c r="E21" s="49" t="s">
        <v>1083</v>
      </c>
      <c r="F21" s="49" t="s">
        <v>1084</v>
      </c>
      <c r="G21" s="9"/>
      <c r="H21" s="9" t="s">
        <v>1085</v>
      </c>
      <c r="I21" s="9">
        <v>50</v>
      </c>
      <c r="J21" s="9">
        <v>1217</v>
      </c>
      <c r="K21" s="9">
        <f>786+291</f>
        <v>1077</v>
      </c>
      <c r="L21" s="9">
        <f>19+6</f>
        <v>25</v>
      </c>
      <c r="M21" s="9">
        <f>11+6</f>
        <v>17</v>
      </c>
      <c r="N21" s="9">
        <f t="shared" si="2"/>
        <v>1119</v>
      </c>
      <c r="O21" s="50">
        <f>600+200</f>
        <v>800</v>
      </c>
      <c r="P21" s="33">
        <f t="shared" si="0"/>
        <v>0.71492403932082216</v>
      </c>
      <c r="Q21" s="53" t="s">
        <v>34</v>
      </c>
      <c r="R21" s="53" t="s">
        <v>210</v>
      </c>
      <c r="S21" s="59"/>
      <c r="T21" s="9" t="str">
        <f t="shared" si="3"/>
        <v>A 级</v>
      </c>
      <c r="U21" s="9"/>
      <c r="V21" s="9"/>
      <c r="W21" s="9"/>
      <c r="X21" s="9"/>
    </row>
    <row r="22" spans="1:24" ht="14">
      <c r="A22" s="32">
        <v>46153</v>
      </c>
      <c r="B22" s="32">
        <f t="shared" si="1"/>
        <v>46160</v>
      </c>
      <c r="C22" s="9" t="s">
        <v>948</v>
      </c>
      <c r="D22" s="9" t="s">
        <v>1086</v>
      </c>
      <c r="E22" s="49" t="s">
        <v>1087</v>
      </c>
      <c r="F22" s="49" t="s">
        <v>1088</v>
      </c>
      <c r="G22" s="9"/>
      <c r="H22" s="9" t="s">
        <v>1089</v>
      </c>
      <c r="I22" s="9">
        <v>3</v>
      </c>
      <c r="J22" s="9">
        <f t="array" ref="J22">_xlfn.XLOOKUP(D22,'（数据废表）薯条投放明细表'!E:E,'（数据废表）薯条投放明细表'!I:I)</f>
        <v>15</v>
      </c>
      <c r="K22" s="9">
        <f>'（数据废表）薯条投放明细表'!K35</f>
        <v>11</v>
      </c>
      <c r="L22" s="9">
        <f>'（数据废表）薯条投放明细表'!L35</f>
        <v>1</v>
      </c>
      <c r="M22" s="9">
        <f>'（数据废表）薯条投放明细表'!M35</f>
        <v>0</v>
      </c>
      <c r="N22" s="9">
        <f t="shared" si="2"/>
        <v>12</v>
      </c>
      <c r="O22" s="50">
        <f>'（数据废表）薯条投放明细表'!J35</f>
        <v>200</v>
      </c>
      <c r="P22" s="33">
        <f t="shared" si="0"/>
        <v>16.666666666666668</v>
      </c>
      <c r="Q22" s="57" t="s">
        <v>290</v>
      </c>
      <c r="R22" s="57" t="s">
        <v>800</v>
      </c>
      <c r="S22" s="59"/>
      <c r="T22" s="9" t="str">
        <f t="shared" si="3"/>
        <v>C 级</v>
      </c>
      <c r="U22" s="9"/>
      <c r="V22" s="9"/>
      <c r="W22" s="9"/>
      <c r="X22" s="9"/>
    </row>
    <row r="23" spans="1:24" ht="14">
      <c r="A23" s="32">
        <v>46152</v>
      </c>
      <c r="B23" s="32">
        <f t="shared" si="1"/>
        <v>46159</v>
      </c>
      <c r="C23" s="9" t="s">
        <v>948</v>
      </c>
      <c r="D23" s="9" t="s">
        <v>1090</v>
      </c>
      <c r="E23" s="49" t="s">
        <v>1091</v>
      </c>
      <c r="F23" s="49" t="s">
        <v>1092</v>
      </c>
      <c r="G23" s="9"/>
      <c r="H23" s="9" t="s">
        <v>1093</v>
      </c>
      <c r="I23" s="9">
        <v>0</v>
      </c>
      <c r="J23" s="9">
        <f t="array" ref="J23">_xlfn.XLOOKUP(D23,'（数据废表）薯条投放明细表'!E:E,'（数据废表）薯条投放明细表'!I:I)</f>
        <v>48</v>
      </c>
      <c r="K23" s="9">
        <f>'（数据废表）薯条投放明细表'!K36</f>
        <v>43</v>
      </c>
      <c r="L23" s="9">
        <f>'（数据废表）薯条投放明细表'!L36</f>
        <v>0</v>
      </c>
      <c r="M23" s="9">
        <f>'（数据废表）薯条投放明细表'!M36</f>
        <v>4</v>
      </c>
      <c r="N23" s="9">
        <f t="shared" si="2"/>
        <v>47</v>
      </c>
      <c r="O23" s="50">
        <f>'（数据废表）薯条投放明细表'!J36</f>
        <v>200</v>
      </c>
      <c r="P23" s="33">
        <f t="shared" si="0"/>
        <v>4.2553191489361701</v>
      </c>
      <c r="Q23" s="57" t="s">
        <v>290</v>
      </c>
      <c r="R23" s="57" t="s">
        <v>800</v>
      </c>
      <c r="S23" s="9"/>
      <c r="T23" s="9" t="str">
        <f t="shared" si="3"/>
        <v>C 级</v>
      </c>
      <c r="U23" s="9"/>
      <c r="V23" s="9"/>
      <c r="W23" s="9"/>
      <c r="X23" s="9"/>
    </row>
    <row r="24" spans="1:24" ht="14">
      <c r="A24" s="32">
        <v>46153</v>
      </c>
      <c r="B24" s="32">
        <f t="shared" si="1"/>
        <v>46160</v>
      </c>
      <c r="C24" s="9" t="s">
        <v>948</v>
      </c>
      <c r="D24" s="60" t="s">
        <v>1094</v>
      </c>
      <c r="E24" s="49" t="s">
        <v>1095</v>
      </c>
      <c r="F24" s="49" t="s">
        <v>1096</v>
      </c>
      <c r="G24" s="9"/>
      <c r="H24" s="9" t="s">
        <v>1097</v>
      </c>
      <c r="I24" s="9">
        <v>20</v>
      </c>
      <c r="J24" s="9">
        <f t="array" ref="J24">_xlfn.XLOOKUP(D24,'（数据废表）薯条投放明细表'!E:E,'（数据废表）薯条投放明细表'!I:I)</f>
        <v>1350</v>
      </c>
      <c r="K24" s="9">
        <f>869+386</f>
        <v>1255</v>
      </c>
      <c r="L24" s="9">
        <f>1+1</f>
        <v>2</v>
      </c>
      <c r="M24" s="9">
        <f>12+1</f>
        <v>13</v>
      </c>
      <c r="N24" s="9">
        <f t="shared" si="2"/>
        <v>1270</v>
      </c>
      <c r="O24" s="50">
        <f>600+200</f>
        <v>800</v>
      </c>
      <c r="P24" s="33">
        <f t="shared" si="0"/>
        <v>0.62992125984251968</v>
      </c>
      <c r="Q24" s="51" t="s">
        <v>22</v>
      </c>
      <c r="R24" s="51" t="s">
        <v>151</v>
      </c>
      <c r="S24" s="9"/>
      <c r="T24" s="9" t="str">
        <f t="shared" si="3"/>
        <v>A 级</v>
      </c>
      <c r="U24" s="9"/>
      <c r="V24" s="9"/>
      <c r="W24" s="9"/>
      <c r="X24" s="9"/>
    </row>
    <row r="25" spans="1:24" ht="14">
      <c r="A25" s="32">
        <v>46153</v>
      </c>
      <c r="B25" s="32">
        <f t="shared" si="1"/>
        <v>46160</v>
      </c>
      <c r="C25" s="9" t="s">
        <v>948</v>
      </c>
      <c r="D25" s="9" t="s">
        <v>1098</v>
      </c>
      <c r="E25" s="49" t="s">
        <v>1099</v>
      </c>
      <c r="F25" s="49" t="s">
        <v>1100</v>
      </c>
      <c r="G25" s="9"/>
      <c r="H25" s="9" t="s">
        <v>1101</v>
      </c>
      <c r="I25" s="9">
        <v>5</v>
      </c>
      <c r="J25" s="9">
        <f t="array" ref="J25">_xlfn.XLOOKUP(D25,'（数据废表）薯条投放明细表'!E:E,'（数据废表）薯条投放明细表'!I:I)</f>
        <v>94</v>
      </c>
      <c r="K25" s="9">
        <f>'（数据废表）薯条投放明细表'!K38</f>
        <v>86</v>
      </c>
      <c r="L25" s="9">
        <f>'（数据废表）薯条投放明细表'!L38</f>
        <v>0</v>
      </c>
      <c r="M25" s="9">
        <f>'（数据废表）薯条投放明细表'!M38</f>
        <v>2</v>
      </c>
      <c r="N25" s="9">
        <f t="shared" si="2"/>
        <v>88</v>
      </c>
      <c r="O25" s="50">
        <f>'（数据废表）薯条投放明细表'!J38</f>
        <v>200</v>
      </c>
      <c r="P25" s="33">
        <f t="shared" si="0"/>
        <v>2.2727272727272729</v>
      </c>
      <c r="Q25" s="53" t="s">
        <v>34</v>
      </c>
      <c r="R25" s="53" t="s">
        <v>210</v>
      </c>
      <c r="S25" s="59"/>
      <c r="T25" s="9" t="str">
        <f t="shared" si="3"/>
        <v>C 级</v>
      </c>
      <c r="U25" s="9"/>
      <c r="V25" s="9"/>
      <c r="W25" s="9"/>
      <c r="X25" s="9"/>
    </row>
    <row r="26" spans="1:24" ht="14">
      <c r="A26" s="32">
        <v>46152</v>
      </c>
      <c r="B26" s="32">
        <f t="shared" si="1"/>
        <v>46159</v>
      </c>
      <c r="C26" s="9" t="s">
        <v>948</v>
      </c>
      <c r="D26" s="9" t="s">
        <v>1102</v>
      </c>
      <c r="E26" s="49" t="s">
        <v>1103</v>
      </c>
      <c r="F26" s="49" t="s">
        <v>1104</v>
      </c>
      <c r="G26" s="9"/>
      <c r="H26" s="9" t="s">
        <v>1105</v>
      </c>
      <c r="I26" s="9">
        <v>8</v>
      </c>
      <c r="J26" s="9">
        <f t="array" ref="J26">_xlfn.XLOOKUP(D26,'（数据废表）薯条投放明细表'!E:E,'（数据废表）薯条投放明细表'!I:I)</f>
        <v>28</v>
      </c>
      <c r="K26" s="9">
        <f>'（数据废表）薯条投放明细表'!K39</f>
        <v>15</v>
      </c>
      <c r="L26" s="9">
        <f>'（数据废表）薯条投放明细表'!L39</f>
        <v>1</v>
      </c>
      <c r="M26" s="9">
        <f>'（数据废表）薯条投放明细表'!M39</f>
        <v>0</v>
      </c>
      <c r="N26" s="9">
        <f t="shared" si="2"/>
        <v>16</v>
      </c>
      <c r="O26" s="50">
        <f>'（数据废表）薯条投放明细表'!J39</f>
        <v>200</v>
      </c>
      <c r="P26" s="33">
        <f t="shared" si="0"/>
        <v>12.5</v>
      </c>
      <c r="Q26" s="51" t="s">
        <v>22</v>
      </c>
      <c r="R26" s="51" t="s">
        <v>151</v>
      </c>
      <c r="S26" s="59"/>
      <c r="T26" s="9" t="str">
        <f t="shared" si="3"/>
        <v>C 级</v>
      </c>
      <c r="U26" s="9"/>
      <c r="V26" s="9"/>
      <c r="W26" s="9"/>
      <c r="X26" s="9"/>
    </row>
    <row r="27" spans="1:24" ht="14">
      <c r="A27" s="32">
        <v>46153</v>
      </c>
      <c r="B27" s="32">
        <f t="shared" si="1"/>
        <v>46160</v>
      </c>
      <c r="C27" s="9" t="s">
        <v>18</v>
      </c>
      <c r="D27" s="9" t="s">
        <v>1106</v>
      </c>
      <c r="E27" s="49" t="s">
        <v>1107</v>
      </c>
      <c r="F27" s="49" t="s">
        <v>1108</v>
      </c>
      <c r="G27" s="58">
        <v>46153</v>
      </c>
      <c r="H27" s="9" t="s">
        <v>1109</v>
      </c>
      <c r="I27" s="9">
        <v>10</v>
      </c>
      <c r="J27" s="9">
        <f t="array" ref="J27">_xlfn.XLOOKUP(D27,'（数据废表）薯条投放明细表'!E:E,'（数据废表）薯条投放明细表'!I:I)</f>
        <v>10</v>
      </c>
      <c r="K27" s="9" t="str">
        <f>'（数据废表）薯条投放明细表'!K40</f>
        <v>/</v>
      </c>
      <c r="L27" s="9" t="str">
        <f>'（数据废表）薯条投放明细表'!L40</f>
        <v>/</v>
      </c>
      <c r="M27" s="9" t="str">
        <f>'（数据废表）薯条投放明细表'!M40</f>
        <v>/</v>
      </c>
      <c r="N27" s="9">
        <f t="shared" si="2"/>
        <v>0</v>
      </c>
      <c r="O27" s="50" t="str">
        <f>'（数据废表）薯条投放明细表'!J40</f>
        <v>/</v>
      </c>
      <c r="P27" s="33" t="e">
        <f t="shared" si="0"/>
        <v>#VALUE!</v>
      </c>
      <c r="Q27" s="51" t="s">
        <v>22</v>
      </c>
      <c r="R27" s="51" t="s">
        <v>907</v>
      </c>
      <c r="S27" s="9" t="s">
        <v>1110</v>
      </c>
      <c r="T27" s="9" t="str">
        <f t="shared" si="3"/>
        <v>C 级</v>
      </c>
      <c r="U27" s="9"/>
      <c r="V27" s="9"/>
      <c r="W27" s="9"/>
      <c r="X27" s="9"/>
    </row>
    <row r="28" spans="1:24" ht="14">
      <c r="A28" s="32">
        <v>46152</v>
      </c>
      <c r="B28" s="32">
        <f t="shared" si="1"/>
        <v>46159</v>
      </c>
      <c r="C28" s="9" t="s">
        <v>948</v>
      </c>
      <c r="D28" s="9" t="s">
        <v>943</v>
      </c>
      <c r="E28" s="61" t="s">
        <v>1111</v>
      </c>
      <c r="F28" s="49" t="s">
        <v>945</v>
      </c>
      <c r="G28" s="58">
        <v>46153</v>
      </c>
      <c r="H28" s="9" t="s">
        <v>1112</v>
      </c>
      <c r="I28" s="9">
        <v>12</v>
      </c>
      <c r="J28" s="9">
        <v>27</v>
      </c>
      <c r="K28" s="9">
        <f>'（数据废表）薯条投放明细表'!K41</f>
        <v>12</v>
      </c>
      <c r="L28" s="9">
        <f>'（数据废表）薯条投放明细表'!L41</f>
        <v>0</v>
      </c>
      <c r="M28" s="9">
        <f>'（数据废表）薯条投放明细表'!M41</f>
        <v>0</v>
      </c>
      <c r="N28" s="9">
        <f t="shared" si="2"/>
        <v>12</v>
      </c>
      <c r="O28" s="50">
        <f>'（数据废表）薯条投放明细表'!J41</f>
        <v>200</v>
      </c>
      <c r="P28" s="33">
        <f t="shared" si="0"/>
        <v>16.666666666666668</v>
      </c>
      <c r="Q28" s="51" t="s">
        <v>22</v>
      </c>
      <c r="R28" s="51" t="s">
        <v>907</v>
      </c>
      <c r="S28" s="9"/>
      <c r="T28" s="9" t="str">
        <f t="shared" si="3"/>
        <v>C 级</v>
      </c>
      <c r="U28" s="9"/>
      <c r="V28" s="9"/>
      <c r="W28" s="9"/>
      <c r="X28" s="9"/>
    </row>
    <row r="29" spans="1:24" ht="14">
      <c r="A29" s="32">
        <v>46153</v>
      </c>
      <c r="B29" s="32">
        <f t="shared" si="1"/>
        <v>46160</v>
      </c>
      <c r="C29" s="9" t="s">
        <v>948</v>
      </c>
      <c r="D29" s="9" t="s">
        <v>1113</v>
      </c>
      <c r="E29" s="49" t="s">
        <v>1114</v>
      </c>
      <c r="F29" s="49" t="s">
        <v>1115</v>
      </c>
      <c r="G29" s="9"/>
      <c r="H29" s="9" t="s">
        <v>1116</v>
      </c>
      <c r="I29" s="9">
        <v>0</v>
      </c>
      <c r="J29" s="9">
        <f t="array" ref="J29">_xlfn.XLOOKUP(D29,'（数据废表）薯条投放明细表'!E:E,'（数据废表）薯条投放明细表'!I:I)</f>
        <v>8</v>
      </c>
      <c r="K29" s="9">
        <f>'（数据废表）薯条投放明细表'!K42</f>
        <v>6</v>
      </c>
      <c r="L29" s="9">
        <f>'（数据废表）薯条投放明细表'!L42</f>
        <v>0</v>
      </c>
      <c r="M29" s="9">
        <f>'（数据废表）薯条投放明细表'!M42</f>
        <v>1</v>
      </c>
      <c r="N29" s="9">
        <f t="shared" si="2"/>
        <v>7</v>
      </c>
      <c r="O29" s="50">
        <f>'（数据废表）薯条投放明细表'!J42</f>
        <v>200</v>
      </c>
      <c r="P29" s="33">
        <f t="shared" si="0"/>
        <v>28.571428571428573</v>
      </c>
      <c r="Q29" s="57" t="s">
        <v>290</v>
      </c>
      <c r="R29" s="57" t="s">
        <v>295</v>
      </c>
      <c r="S29" s="9"/>
      <c r="T29" s="9" t="str">
        <f t="shared" si="3"/>
        <v>C 级</v>
      </c>
      <c r="U29" s="9"/>
      <c r="V29" s="9"/>
      <c r="W29" s="9"/>
      <c r="X29" s="9"/>
    </row>
    <row r="30" spans="1:24" ht="14">
      <c r="A30" s="32">
        <v>46153</v>
      </c>
      <c r="B30" s="32">
        <f t="shared" si="1"/>
        <v>46160</v>
      </c>
      <c r="C30" s="9" t="s">
        <v>948</v>
      </c>
      <c r="D30" s="9" t="s">
        <v>1117</v>
      </c>
      <c r="E30" s="49" t="s">
        <v>1118</v>
      </c>
      <c r="F30" s="49" t="s">
        <v>1119</v>
      </c>
      <c r="G30" s="9"/>
      <c r="H30" s="9" t="s">
        <v>1120</v>
      </c>
      <c r="I30" s="9">
        <v>4</v>
      </c>
      <c r="J30" s="9">
        <f t="array" ref="J30">_xlfn.XLOOKUP(D30,'（数据废表）薯条投放明细表'!E:E,'（数据废表）薯条投放明细表'!I:I)</f>
        <v>68</v>
      </c>
      <c r="K30" s="9">
        <f>'（数据废表）薯条投放明细表'!K43</f>
        <v>54</v>
      </c>
      <c r="L30" s="9">
        <f>'（数据废表）薯条投放明细表'!L43</f>
        <v>1</v>
      </c>
      <c r="M30" s="9">
        <f>'（数据废表）薯条投放明细表'!M43</f>
        <v>3</v>
      </c>
      <c r="N30" s="9">
        <f t="shared" si="2"/>
        <v>58</v>
      </c>
      <c r="O30" s="50">
        <f>'（数据废表）薯条投放明细表'!J43</f>
        <v>200</v>
      </c>
      <c r="P30" s="33">
        <f t="shared" si="0"/>
        <v>3.4482758620689653</v>
      </c>
      <c r="Q30" s="51" t="s">
        <v>22</v>
      </c>
      <c r="R30" s="51" t="s">
        <v>48</v>
      </c>
      <c r="S30" s="9"/>
      <c r="T30" s="9" t="str">
        <f t="shared" si="3"/>
        <v>C 级</v>
      </c>
      <c r="U30" s="9"/>
      <c r="V30" s="9"/>
      <c r="W30" s="9"/>
      <c r="X30" s="9"/>
    </row>
    <row r="31" spans="1:24" ht="14">
      <c r="A31" s="32">
        <v>46154</v>
      </c>
      <c r="B31" s="32">
        <f t="shared" si="1"/>
        <v>46161</v>
      </c>
      <c r="C31" s="9" t="s">
        <v>948</v>
      </c>
      <c r="D31" s="9" t="s">
        <v>1121</v>
      </c>
      <c r="E31" s="49" t="s">
        <v>1122</v>
      </c>
      <c r="F31" s="49" t="s">
        <v>1123</v>
      </c>
      <c r="G31" s="9"/>
      <c r="H31" s="9" t="s">
        <v>1124</v>
      </c>
      <c r="I31" s="9">
        <v>3</v>
      </c>
      <c r="J31" s="9">
        <f t="array" ref="J31">_xlfn.XLOOKUP(D31,'（数据废表）薯条投放明细表'!E:E,'（数据废表）薯条投放明细表'!I:I)</f>
        <v>87</v>
      </c>
      <c r="K31" s="9">
        <f>'（数据废表）薯条投放明细表'!K44</f>
        <v>71</v>
      </c>
      <c r="L31" s="9">
        <f>'（数据废表）薯条投放明细表'!L44</f>
        <v>0</v>
      </c>
      <c r="M31" s="9">
        <f>'（数据废表）薯条投放明细表'!M44</f>
        <v>3</v>
      </c>
      <c r="N31" s="9">
        <f t="shared" si="2"/>
        <v>74</v>
      </c>
      <c r="O31" s="50">
        <f>'（数据废表）薯条投放明细表'!J44</f>
        <v>200</v>
      </c>
      <c r="P31" s="33">
        <f t="shared" si="0"/>
        <v>2.7027027027027026</v>
      </c>
      <c r="Q31" s="51" t="s">
        <v>22</v>
      </c>
      <c r="R31" s="51" t="s">
        <v>151</v>
      </c>
      <c r="S31" s="9"/>
      <c r="T31" s="9" t="str">
        <f t="shared" si="3"/>
        <v>C 级</v>
      </c>
      <c r="U31" s="9"/>
      <c r="V31" s="9"/>
      <c r="W31" s="9"/>
      <c r="X31" s="9"/>
    </row>
    <row r="32" spans="1:24" ht="14">
      <c r="A32" s="32">
        <v>46153</v>
      </c>
      <c r="B32" s="32">
        <f t="shared" si="1"/>
        <v>46160</v>
      </c>
      <c r="C32" s="9" t="s">
        <v>948</v>
      </c>
      <c r="D32" s="62" t="s">
        <v>1079</v>
      </c>
      <c r="E32" s="49" t="s">
        <v>1125</v>
      </c>
      <c r="F32" s="49" t="s">
        <v>1126</v>
      </c>
      <c r="G32" s="9"/>
      <c r="H32" s="9" t="s">
        <v>1127</v>
      </c>
      <c r="I32" s="9">
        <v>2</v>
      </c>
      <c r="J32" s="9">
        <f t="array" ref="J32">_xlfn.XLOOKUP(D32,'（数据废表）薯条投放明细表'!E:E,'（数据废表）薯条投放明细表'!I:I)</f>
        <v>5034</v>
      </c>
      <c r="K32" s="9">
        <f>175+222</f>
        <v>397</v>
      </c>
      <c r="L32" s="9">
        <f>'（数据废表）薯条投放明细表'!L45</f>
        <v>1</v>
      </c>
      <c r="M32" s="9">
        <f>'（数据废表）薯条投放明细表'!M45</f>
        <v>0</v>
      </c>
      <c r="N32" s="9">
        <f t="shared" si="2"/>
        <v>398</v>
      </c>
      <c r="O32" s="50">
        <f>200+200</f>
        <v>400</v>
      </c>
      <c r="P32" s="33">
        <f t="shared" si="0"/>
        <v>1.0050251256281406</v>
      </c>
      <c r="Q32" s="53" t="s">
        <v>34</v>
      </c>
      <c r="R32" s="53" t="s">
        <v>210</v>
      </c>
      <c r="S32" s="59"/>
      <c r="T32" s="9" t="str">
        <f t="shared" si="3"/>
        <v>C 级</v>
      </c>
      <c r="U32" s="9"/>
      <c r="V32" s="9"/>
      <c r="W32" s="9"/>
      <c r="X32" s="9"/>
    </row>
    <row r="33" spans="1:24" ht="14">
      <c r="A33" s="32">
        <v>46153</v>
      </c>
      <c r="B33" s="32">
        <f t="shared" si="1"/>
        <v>46160</v>
      </c>
      <c r="C33" s="9" t="s">
        <v>948</v>
      </c>
      <c r="D33" s="9" t="s">
        <v>1128</v>
      </c>
      <c r="E33" s="49" t="s">
        <v>1129</v>
      </c>
      <c r="F33" s="49" t="s">
        <v>1130</v>
      </c>
      <c r="G33" s="9"/>
      <c r="H33" s="9" t="s">
        <v>1131</v>
      </c>
      <c r="I33" s="9">
        <v>12</v>
      </c>
      <c r="J33" s="9">
        <f t="array" ref="J33">_xlfn.XLOOKUP(D33,'（数据废表）薯条投放明细表'!E:E,'（数据废表）薯条投放明细表'!I:I)</f>
        <v>161</v>
      </c>
      <c r="K33" s="9">
        <f>'（数据废表）薯条投放明细表'!K46</f>
        <v>132</v>
      </c>
      <c r="L33" s="9">
        <f>'（数据废表）薯条投放明细表'!L46</f>
        <v>0</v>
      </c>
      <c r="M33" s="9">
        <f>'（数据废表）薯条投放明细表'!M46</f>
        <v>2</v>
      </c>
      <c r="N33" s="9">
        <f t="shared" si="2"/>
        <v>134</v>
      </c>
      <c r="O33" s="50">
        <f>'（数据废表）薯条投放明细表'!J46</f>
        <v>200</v>
      </c>
      <c r="P33" s="33">
        <f t="shared" si="0"/>
        <v>1.4925373134328359</v>
      </c>
      <c r="Q33" s="53" t="s">
        <v>34</v>
      </c>
      <c r="R33" s="53" t="s">
        <v>210</v>
      </c>
      <c r="S33" s="9"/>
      <c r="T33" s="9" t="str">
        <f t="shared" si="3"/>
        <v>C 级</v>
      </c>
      <c r="U33" s="9"/>
      <c r="V33" s="9"/>
      <c r="W33" s="9"/>
      <c r="X33" s="9"/>
    </row>
    <row r="34" spans="1:24" ht="14">
      <c r="A34" s="32">
        <v>46153</v>
      </c>
      <c r="B34" s="32">
        <f t="shared" si="1"/>
        <v>46160</v>
      </c>
      <c r="C34" s="9" t="s">
        <v>948</v>
      </c>
      <c r="D34" s="9" t="s">
        <v>1132</v>
      </c>
      <c r="E34" s="49" t="s">
        <v>1133</v>
      </c>
      <c r="F34" s="49" t="s">
        <v>1134</v>
      </c>
      <c r="G34" s="9"/>
      <c r="H34" s="9" t="s">
        <v>1135</v>
      </c>
      <c r="I34" s="9">
        <v>17</v>
      </c>
      <c r="J34" s="9">
        <f t="array" ref="J34">_xlfn.XLOOKUP(D34,'（数据废表）薯条投放明细表'!E:E,'（数据废表）薯条投放明细表'!I:I)</f>
        <v>52</v>
      </c>
      <c r="K34" s="9">
        <f>'（数据废表）薯条投放明细表'!K47</f>
        <v>31</v>
      </c>
      <c r="L34" s="9">
        <f>'（数据废表）薯条投放明细表'!L47</f>
        <v>0</v>
      </c>
      <c r="M34" s="9">
        <f>'（数据废表）薯条投放明细表'!M47</f>
        <v>1</v>
      </c>
      <c r="N34" s="9">
        <f t="shared" si="2"/>
        <v>32</v>
      </c>
      <c r="O34" s="50">
        <f>'（数据废表）薯条投放明细表'!J47</f>
        <v>200</v>
      </c>
      <c r="P34" s="33">
        <f t="shared" ref="P34:P65" si="4">O34/N34</f>
        <v>6.25</v>
      </c>
      <c r="Q34" s="53" t="s">
        <v>34</v>
      </c>
      <c r="R34" s="53" t="s">
        <v>66</v>
      </c>
      <c r="S34" s="59"/>
      <c r="T34" s="9" t="str">
        <f t="shared" si="3"/>
        <v>C 级</v>
      </c>
      <c r="U34" s="9"/>
      <c r="V34" s="9"/>
      <c r="W34" s="9"/>
      <c r="X34" s="9"/>
    </row>
    <row r="35" spans="1:24" ht="14">
      <c r="A35" s="32">
        <v>46153</v>
      </c>
      <c r="B35" s="32">
        <f t="shared" ref="B35:B66" si="5">A35+7</f>
        <v>46160</v>
      </c>
      <c r="C35" s="9" t="s">
        <v>948</v>
      </c>
      <c r="D35" s="60" t="s">
        <v>762</v>
      </c>
      <c r="E35" s="49" t="s">
        <v>1136</v>
      </c>
      <c r="F35" s="49" t="s">
        <v>1137</v>
      </c>
      <c r="G35" s="9"/>
      <c r="H35" s="9" t="s">
        <v>1138</v>
      </c>
      <c r="I35" s="9">
        <v>39</v>
      </c>
      <c r="J35" s="9">
        <f t="array" ref="J35">_xlfn.XLOOKUP(D35,'（数据废表）薯条投放明细表'!E:E,'（数据废表）薯条投放明细表'!I:I)</f>
        <v>1044</v>
      </c>
      <c r="K35" s="9">
        <f>538+442</f>
        <v>980</v>
      </c>
      <c r="L35" s="9">
        <f>1+2</f>
        <v>3</v>
      </c>
      <c r="M35" s="9">
        <f>5+5</f>
        <v>10</v>
      </c>
      <c r="N35" s="9">
        <f t="shared" ref="N35:N66" si="6">SUM(K35:M35)</f>
        <v>993</v>
      </c>
      <c r="O35" s="50">
        <f>400+200</f>
        <v>600</v>
      </c>
      <c r="P35" s="33">
        <f t="shared" si="4"/>
        <v>0.60422960725075525</v>
      </c>
      <c r="Q35" s="51" t="s">
        <v>22</v>
      </c>
      <c r="R35" s="51" t="s">
        <v>151</v>
      </c>
      <c r="S35" s="59"/>
      <c r="T35" s="9" t="str">
        <f t="shared" ref="T35:T57" si="7">IF(N35="","",IF(N35&gt;=5000,"S 级",IF(N35&gt;=1000,"A 级",IF(N35&gt;=500,"B 级","C 级"))))</f>
        <v>B 级</v>
      </c>
      <c r="U35" s="9"/>
      <c r="V35" s="9"/>
      <c r="W35" s="9"/>
      <c r="X35" s="9"/>
    </row>
    <row r="36" spans="1:24" ht="14">
      <c r="A36" s="32">
        <v>46154</v>
      </c>
      <c r="B36" s="32">
        <f t="shared" si="5"/>
        <v>46161</v>
      </c>
      <c r="C36" s="9" t="s">
        <v>18</v>
      </c>
      <c r="D36" s="9" t="s">
        <v>1139</v>
      </c>
      <c r="E36" s="49" t="s">
        <v>1140</v>
      </c>
      <c r="F36" s="49" t="s">
        <v>1141</v>
      </c>
      <c r="G36" s="9"/>
      <c r="H36" s="9" t="s">
        <v>1142</v>
      </c>
      <c r="I36" s="9">
        <v>4</v>
      </c>
      <c r="J36" s="9">
        <f t="array" ref="J36">_xlfn.XLOOKUP(D36,'（数据废表）薯条投放明细表'!E:E,'（数据废表）薯条投放明细表'!I:I)</f>
        <v>62</v>
      </c>
      <c r="K36" s="9">
        <f>'（数据废表）薯条投放明细表'!K52</f>
        <v>7</v>
      </c>
      <c r="L36" s="9">
        <f>'（数据废表）薯条投放明细表'!L52</f>
        <v>0</v>
      </c>
      <c r="M36" s="9">
        <f>'（数据废表）薯条投放明细表'!M52</f>
        <v>1</v>
      </c>
      <c r="N36" s="9">
        <f t="shared" si="6"/>
        <v>8</v>
      </c>
      <c r="O36" s="50">
        <f>'（数据废表）薯条投放明细表'!J52</f>
        <v>21.7</v>
      </c>
      <c r="P36" s="33">
        <f t="shared" si="4"/>
        <v>2.7124999999999999</v>
      </c>
      <c r="Q36" s="53" t="s">
        <v>34</v>
      </c>
      <c r="R36" s="53" t="s">
        <v>210</v>
      </c>
      <c r="S36" s="9" t="s">
        <v>1110</v>
      </c>
      <c r="T36" s="9" t="str">
        <f t="shared" si="7"/>
        <v>C 级</v>
      </c>
      <c r="U36" s="9"/>
      <c r="V36" s="9"/>
      <c r="W36" s="9"/>
      <c r="X36" s="9"/>
    </row>
    <row r="37" spans="1:24">
      <c r="A37" s="32">
        <v>46154</v>
      </c>
      <c r="B37" s="32">
        <f t="shared" si="5"/>
        <v>46161</v>
      </c>
      <c r="C37" s="9" t="s">
        <v>948</v>
      </c>
      <c r="D37" s="60" t="s">
        <v>1143</v>
      </c>
      <c r="E37" s="49" t="s">
        <v>1144</v>
      </c>
      <c r="F37" s="49" t="s">
        <v>1145</v>
      </c>
      <c r="G37" s="9"/>
      <c r="H37" s="9" t="s">
        <v>1146</v>
      </c>
      <c r="I37" s="9">
        <v>2036</v>
      </c>
      <c r="J37" s="9">
        <f t="array" ref="J37">_xlfn.XLOOKUP(D37,'（数据废表）薯条投放明细表'!E:E,'（数据废表）薯条投放明细表'!I:I)</f>
        <v>3299</v>
      </c>
      <c r="K37" s="9">
        <f>387+548</f>
        <v>935</v>
      </c>
      <c r="L37" s="9">
        <f>4+6</f>
        <v>10</v>
      </c>
      <c r="M37" s="9">
        <f>3+10</f>
        <v>13</v>
      </c>
      <c r="N37" s="9">
        <f t="shared" si="6"/>
        <v>958</v>
      </c>
      <c r="O37" s="50">
        <f>200+290</f>
        <v>490</v>
      </c>
      <c r="P37" s="33">
        <f t="shared" si="4"/>
        <v>0.51148225469728603</v>
      </c>
      <c r="Q37" s="49" t="s">
        <v>22</v>
      </c>
      <c r="R37" s="49" t="s">
        <v>718</v>
      </c>
      <c r="S37" s="59"/>
      <c r="T37" s="9" t="str">
        <f t="shared" si="7"/>
        <v>B 级</v>
      </c>
      <c r="U37" s="9"/>
      <c r="V37" s="9"/>
      <c r="W37" s="9"/>
      <c r="X37" s="9"/>
    </row>
    <row r="38" spans="1:24" ht="14">
      <c r="A38" s="32">
        <v>46155</v>
      </c>
      <c r="B38" s="32">
        <f t="shared" si="5"/>
        <v>46162</v>
      </c>
      <c r="C38" s="9" t="s">
        <v>948</v>
      </c>
      <c r="D38" s="9" t="s">
        <v>1147</v>
      </c>
      <c r="E38" s="49" t="s">
        <v>1148</v>
      </c>
      <c r="F38" s="49" t="s">
        <v>1149</v>
      </c>
      <c r="G38" s="9"/>
      <c r="H38" s="9" t="s">
        <v>1150</v>
      </c>
      <c r="I38" s="9">
        <v>11</v>
      </c>
      <c r="J38" s="9">
        <f t="array" ref="J38">_xlfn.XLOOKUP(D38,'（数据废表）薯条投放明细表'!E:E,'（数据废表）薯条投放明细表'!I:I)</f>
        <v>288</v>
      </c>
      <c r="K38" s="9">
        <f>'（数据废表）薯条投放明细表'!K59</f>
        <v>251</v>
      </c>
      <c r="L38" s="9">
        <f>'（数据废表）薯条投放明细表'!L59</f>
        <v>0</v>
      </c>
      <c r="M38" s="9">
        <f>'（数据废表）薯条投放明细表'!M59</f>
        <v>5</v>
      </c>
      <c r="N38" s="9">
        <f t="shared" si="6"/>
        <v>256</v>
      </c>
      <c r="O38" s="50">
        <f>'（数据废表）薯条投放明细表'!J59</f>
        <v>200</v>
      </c>
      <c r="P38" s="33">
        <f t="shared" si="4"/>
        <v>0.78125</v>
      </c>
      <c r="Q38" s="53" t="s">
        <v>34</v>
      </c>
      <c r="R38" s="53" t="s">
        <v>210</v>
      </c>
      <c r="S38" s="59"/>
      <c r="T38" s="9" t="str">
        <f t="shared" si="7"/>
        <v>C 级</v>
      </c>
      <c r="U38" s="9"/>
      <c r="V38" s="9"/>
      <c r="W38" s="9"/>
      <c r="X38" s="9"/>
    </row>
    <row r="39" spans="1:24" ht="14">
      <c r="A39" s="32">
        <v>46155</v>
      </c>
      <c r="B39" s="32">
        <f t="shared" si="5"/>
        <v>46162</v>
      </c>
      <c r="C39" s="9" t="s">
        <v>948</v>
      </c>
      <c r="D39" s="9" t="s">
        <v>1151</v>
      </c>
      <c r="E39" s="49" t="s">
        <v>1152</v>
      </c>
      <c r="F39" s="49" t="s">
        <v>1153</v>
      </c>
      <c r="G39" s="9"/>
      <c r="H39" s="9" t="s">
        <v>1154</v>
      </c>
      <c r="I39" s="9">
        <v>7</v>
      </c>
      <c r="J39" s="9">
        <f t="array" ref="J39">_xlfn.XLOOKUP(D39,'（数据废表）薯条投放明细表'!E:E,'（数据废表）薯条投放明细表'!I:I)</f>
        <v>147</v>
      </c>
      <c r="K39" s="9">
        <f>'（数据废表）薯条投放明细表'!K60</f>
        <v>128</v>
      </c>
      <c r="L39" s="9">
        <f>'（数据废表）薯条投放明细表'!L60</f>
        <v>1</v>
      </c>
      <c r="M39" s="9">
        <f>'（数据废表）薯条投放明细表'!M60</f>
        <v>2</v>
      </c>
      <c r="N39" s="9">
        <f t="shared" si="6"/>
        <v>131</v>
      </c>
      <c r="O39" s="50">
        <f>'（数据废表）薯条投放明细表'!J60</f>
        <v>200</v>
      </c>
      <c r="P39" s="33">
        <f t="shared" si="4"/>
        <v>1.5267175572519085</v>
      </c>
      <c r="Q39" s="53" t="s">
        <v>290</v>
      </c>
      <c r="R39" s="53" t="s">
        <v>35</v>
      </c>
      <c r="S39" s="59"/>
      <c r="T39" s="9" t="str">
        <f t="shared" si="7"/>
        <v>C 级</v>
      </c>
      <c r="U39" s="9"/>
      <c r="V39" s="9"/>
      <c r="W39" s="9"/>
      <c r="X39" s="9"/>
    </row>
    <row r="40" spans="1:24" ht="14">
      <c r="A40" s="32">
        <v>46155</v>
      </c>
      <c r="B40" s="32">
        <f t="shared" si="5"/>
        <v>46162</v>
      </c>
      <c r="C40" s="9" t="s">
        <v>948</v>
      </c>
      <c r="D40" s="52" t="s">
        <v>1155</v>
      </c>
      <c r="E40" s="49" t="s">
        <v>1156</v>
      </c>
      <c r="F40" s="49" t="s">
        <v>1157</v>
      </c>
      <c r="G40" s="9"/>
      <c r="H40" s="9" t="s">
        <v>1158</v>
      </c>
      <c r="I40" s="9">
        <v>5</v>
      </c>
      <c r="J40" s="9">
        <f t="array" ref="J40">_xlfn.XLOOKUP(D40,'（数据废表）薯条投放明细表'!E:E,'（数据废表）薯条投放明细表'!I:I)</f>
        <v>50</v>
      </c>
      <c r="K40" s="9">
        <f>'（数据废表）薯条投放明细表'!K61</f>
        <v>45</v>
      </c>
      <c r="L40" s="9">
        <f>'（数据废表）薯条投放明细表'!L61</f>
        <v>1</v>
      </c>
      <c r="M40" s="9">
        <f>'（数据废表）薯条投放明细表'!M61</f>
        <v>0</v>
      </c>
      <c r="N40" s="9">
        <f t="shared" si="6"/>
        <v>46</v>
      </c>
      <c r="O40" s="50">
        <f>'（数据废表）薯条投放明细表'!J61</f>
        <v>200</v>
      </c>
      <c r="P40" s="33">
        <f t="shared" si="4"/>
        <v>4.3478260869565215</v>
      </c>
      <c r="Q40" s="53" t="s">
        <v>290</v>
      </c>
      <c r="R40" s="53" t="s">
        <v>35</v>
      </c>
      <c r="S40" s="59"/>
      <c r="T40" s="9" t="str">
        <f t="shared" si="7"/>
        <v>C 级</v>
      </c>
      <c r="U40" s="9"/>
      <c r="V40" s="9"/>
      <c r="W40" s="9"/>
      <c r="X40" s="9"/>
    </row>
    <row r="41" spans="1:24" ht="14">
      <c r="A41" s="32">
        <v>46155</v>
      </c>
      <c r="B41" s="32">
        <f t="shared" si="5"/>
        <v>46162</v>
      </c>
      <c r="C41" s="9" t="s">
        <v>948</v>
      </c>
      <c r="D41" s="9" t="s">
        <v>1159</v>
      </c>
      <c r="E41" s="49" t="s">
        <v>1160</v>
      </c>
      <c r="F41" s="49" t="s">
        <v>1161</v>
      </c>
      <c r="G41" s="9"/>
      <c r="H41" s="9" t="s">
        <v>1162</v>
      </c>
      <c r="I41" s="9">
        <v>14</v>
      </c>
      <c r="J41" s="9">
        <f t="array" ref="J41">_xlfn.XLOOKUP(D41,'（数据废表）薯条投放明细表'!E:E,'（数据废表）薯条投放明细表'!I:I)</f>
        <v>270</v>
      </c>
      <c r="K41" s="9">
        <f>'（数据废表）薯条投放明细表'!K62</f>
        <v>216</v>
      </c>
      <c r="L41" s="9">
        <f>'（数据废表）薯条投放明细表'!L62</f>
        <v>0</v>
      </c>
      <c r="M41" s="9">
        <f>'（数据废表）薯条投放明细表'!M62</f>
        <v>5</v>
      </c>
      <c r="N41" s="9">
        <f t="shared" si="6"/>
        <v>221</v>
      </c>
      <c r="O41" s="50">
        <f>'（数据废表）薯条投放明细表'!J62</f>
        <v>200</v>
      </c>
      <c r="P41" s="33">
        <f t="shared" si="4"/>
        <v>0.90497737556561086</v>
      </c>
      <c r="Q41" s="53" t="s">
        <v>34</v>
      </c>
      <c r="R41" s="53" t="s">
        <v>210</v>
      </c>
      <c r="S41" s="9"/>
      <c r="T41" s="9" t="str">
        <f t="shared" si="7"/>
        <v>C 级</v>
      </c>
      <c r="U41" s="9"/>
      <c r="V41" s="9"/>
      <c r="W41" s="9"/>
      <c r="X41" s="9"/>
    </row>
    <row r="42" spans="1:24" ht="14">
      <c r="A42" s="32">
        <v>46155</v>
      </c>
      <c r="B42" s="32">
        <f t="shared" si="5"/>
        <v>46162</v>
      </c>
      <c r="C42" s="9" t="s">
        <v>948</v>
      </c>
      <c r="D42" s="9" t="s">
        <v>1163</v>
      </c>
      <c r="E42" s="49" t="s">
        <v>1164</v>
      </c>
      <c r="F42" s="49" t="s">
        <v>1165</v>
      </c>
      <c r="G42" s="9"/>
      <c r="H42" s="9" t="s">
        <v>1166</v>
      </c>
      <c r="I42" s="9">
        <v>67</v>
      </c>
      <c r="J42" s="9">
        <f t="array" ref="J42">_xlfn.XLOOKUP(D42,'（数据废表）薯条投放明细表'!E:E,'（数据废表）薯条投放明细表'!I:I)</f>
        <v>304</v>
      </c>
      <c r="K42" s="9">
        <f>'（数据废表）薯条投放明细表'!K63</f>
        <v>234</v>
      </c>
      <c r="L42" s="9">
        <f>'（数据废表）薯条投放明细表'!L63</f>
        <v>0</v>
      </c>
      <c r="M42" s="9">
        <f>'（数据废表）薯条投放明细表'!M63</f>
        <v>3</v>
      </c>
      <c r="N42" s="9">
        <f t="shared" si="6"/>
        <v>237</v>
      </c>
      <c r="O42" s="50">
        <f>'（数据废表）薯条投放明细表'!J63</f>
        <v>200</v>
      </c>
      <c r="P42" s="33">
        <f t="shared" si="4"/>
        <v>0.84388185654008441</v>
      </c>
      <c r="Q42" s="51" t="s">
        <v>22</v>
      </c>
      <c r="R42" s="51" t="s">
        <v>151</v>
      </c>
      <c r="S42" s="59" t="s">
        <v>1066</v>
      </c>
      <c r="T42" s="9" t="str">
        <f t="shared" si="7"/>
        <v>C 级</v>
      </c>
      <c r="U42" s="9"/>
      <c r="V42" s="9"/>
      <c r="W42" s="9"/>
      <c r="X42" s="9"/>
    </row>
    <row r="43" spans="1:24" ht="14">
      <c r="A43" s="32">
        <v>46155</v>
      </c>
      <c r="B43" s="32">
        <f t="shared" si="5"/>
        <v>46162</v>
      </c>
      <c r="C43" s="9" t="s">
        <v>948</v>
      </c>
      <c r="D43" s="9" t="s">
        <v>1117</v>
      </c>
      <c r="E43" s="49" t="s">
        <v>1167</v>
      </c>
      <c r="F43" s="49" t="s">
        <v>1168</v>
      </c>
      <c r="G43" s="9"/>
      <c r="H43" s="9" t="s">
        <v>1169</v>
      </c>
      <c r="I43" s="9">
        <v>2</v>
      </c>
      <c r="J43" s="9">
        <f t="array" ref="J43">_xlfn.XLOOKUP(D43,'（数据废表）薯条投放明细表'!E:E,'（数据废表）薯条投放明细表'!I:I)</f>
        <v>68</v>
      </c>
      <c r="K43" s="9">
        <f>'（数据废表）薯条投放明细表'!K64</f>
        <v>248</v>
      </c>
      <c r="L43" s="9">
        <f>'（数据废表）薯条投放明细表'!L64</f>
        <v>1</v>
      </c>
      <c r="M43" s="9">
        <f>'（数据废表）薯条投放明细表'!M64</f>
        <v>1</v>
      </c>
      <c r="N43" s="9">
        <f t="shared" si="6"/>
        <v>250</v>
      </c>
      <c r="O43" s="50">
        <f>'（数据废表）薯条投放明细表'!J64</f>
        <v>200</v>
      </c>
      <c r="P43" s="33">
        <f t="shared" si="4"/>
        <v>0.8</v>
      </c>
      <c r="Q43" s="53" t="s">
        <v>34</v>
      </c>
      <c r="R43" s="53" t="s">
        <v>210</v>
      </c>
      <c r="S43" s="9"/>
      <c r="T43" s="9" t="str">
        <f t="shared" si="7"/>
        <v>C 级</v>
      </c>
      <c r="U43" s="9"/>
      <c r="V43" s="9"/>
      <c r="W43" s="9"/>
      <c r="X43" s="9"/>
    </row>
    <row r="44" spans="1:24" ht="14">
      <c r="A44" s="32">
        <v>46155</v>
      </c>
      <c r="B44" s="32">
        <f t="shared" si="5"/>
        <v>46162</v>
      </c>
      <c r="C44" s="9" t="s">
        <v>948</v>
      </c>
      <c r="D44" s="9" t="s">
        <v>1170</v>
      </c>
      <c r="E44" s="49" t="s">
        <v>1171</v>
      </c>
      <c r="F44" s="49" t="s">
        <v>1172</v>
      </c>
      <c r="G44" s="9"/>
      <c r="H44" s="9" t="s">
        <v>1173</v>
      </c>
      <c r="I44" s="9">
        <v>17</v>
      </c>
      <c r="J44" s="9">
        <f t="array" ref="J44">_xlfn.XLOOKUP(D44,'（数据废表）薯条投放明细表'!E:E,'（数据废表）薯条投放明细表'!I:I)</f>
        <v>237</v>
      </c>
      <c r="K44" s="9">
        <f>'（数据废表）薯条投放明细表'!K65</f>
        <v>209</v>
      </c>
      <c r="L44" s="9">
        <f>'（数据废表）薯条投放明细表'!L65</f>
        <v>2</v>
      </c>
      <c r="M44" s="9">
        <f>'（数据废表）薯条投放明细表'!M65</f>
        <v>9</v>
      </c>
      <c r="N44" s="9">
        <f t="shared" si="6"/>
        <v>220</v>
      </c>
      <c r="O44" s="50">
        <f>'（数据废表）薯条投放明细表'!J65</f>
        <v>200</v>
      </c>
      <c r="P44" s="33">
        <f t="shared" si="4"/>
        <v>0.90909090909090906</v>
      </c>
      <c r="Q44" s="53" t="s">
        <v>34</v>
      </c>
      <c r="R44" s="53" t="s">
        <v>210</v>
      </c>
      <c r="S44" s="59" t="s">
        <v>1066</v>
      </c>
      <c r="T44" s="9" t="str">
        <f t="shared" si="7"/>
        <v>C 级</v>
      </c>
      <c r="U44" s="9"/>
      <c r="V44" s="9"/>
      <c r="W44" s="9"/>
      <c r="X44" s="9"/>
    </row>
    <row r="45" spans="1:24" ht="14">
      <c r="A45" s="32">
        <v>46156</v>
      </c>
      <c r="B45" s="32">
        <f t="shared" si="5"/>
        <v>46163</v>
      </c>
      <c r="C45" s="9" t="s">
        <v>948</v>
      </c>
      <c r="D45" s="9" t="s">
        <v>728</v>
      </c>
      <c r="E45" s="49" t="s">
        <v>1174</v>
      </c>
      <c r="F45" s="49" t="s">
        <v>1175</v>
      </c>
      <c r="G45" s="9"/>
      <c r="H45" s="9" t="s">
        <v>1176</v>
      </c>
      <c r="I45" s="9">
        <v>32</v>
      </c>
      <c r="J45" s="9">
        <v>371</v>
      </c>
      <c r="K45" s="9">
        <f>'（数据废表）薯条投放明细表'!K66</f>
        <v>326</v>
      </c>
      <c r="L45" s="9">
        <f>'（数据废表）薯条投放明细表'!L66</f>
        <v>2</v>
      </c>
      <c r="M45" s="9">
        <f>'（数据废表）薯条投放明细表'!M66</f>
        <v>3</v>
      </c>
      <c r="N45" s="9">
        <f t="shared" si="6"/>
        <v>331</v>
      </c>
      <c r="O45" s="50">
        <f>'（数据废表）薯条投放明细表'!J66</f>
        <v>200</v>
      </c>
      <c r="P45" s="33">
        <f t="shared" si="4"/>
        <v>0.60422960725075525</v>
      </c>
      <c r="Q45" s="51" t="s">
        <v>22</v>
      </c>
      <c r="R45" s="51" t="s">
        <v>48</v>
      </c>
      <c r="S45" s="9"/>
      <c r="T45" s="9" t="str">
        <f t="shared" si="7"/>
        <v>C 级</v>
      </c>
      <c r="U45" s="9"/>
      <c r="V45" s="9"/>
      <c r="W45" s="9"/>
      <c r="X45" s="9"/>
    </row>
    <row r="46" spans="1:24" ht="14">
      <c r="A46" s="32">
        <v>46155</v>
      </c>
      <c r="B46" s="32">
        <f t="shared" si="5"/>
        <v>46162</v>
      </c>
      <c r="C46" s="9" t="s">
        <v>948</v>
      </c>
      <c r="D46" s="9" t="s">
        <v>1177</v>
      </c>
      <c r="E46" s="49" t="s">
        <v>1178</v>
      </c>
      <c r="F46" s="49" t="s">
        <v>1179</v>
      </c>
      <c r="G46" s="9"/>
      <c r="H46" s="9" t="s">
        <v>1180</v>
      </c>
      <c r="I46" s="9">
        <v>26</v>
      </c>
      <c r="J46" s="9">
        <f t="array" ref="J46">_xlfn.XLOOKUP(D46,'（数据废表）薯条投放明细表'!E:E,'（数据废表）薯条投放明细表'!I:I)</f>
        <v>170</v>
      </c>
      <c r="K46" s="9">
        <f>'（数据废表）薯条投放明细表'!K67</f>
        <v>130</v>
      </c>
      <c r="L46" s="9">
        <f>'（数据废表）薯条投放明细表'!L67</f>
        <v>1</v>
      </c>
      <c r="M46" s="9">
        <f>'（数据废表）薯条投放明细表'!M67</f>
        <v>2</v>
      </c>
      <c r="N46" s="9">
        <f t="shared" si="6"/>
        <v>133</v>
      </c>
      <c r="O46" s="50">
        <f>'（数据废表）薯条投放明细表'!J67</f>
        <v>200</v>
      </c>
      <c r="P46" s="33">
        <f t="shared" si="4"/>
        <v>1.5037593984962405</v>
      </c>
      <c r="Q46" s="51" t="s">
        <v>22</v>
      </c>
      <c r="R46" s="51" t="s">
        <v>48</v>
      </c>
      <c r="S46" s="9"/>
      <c r="T46" s="9" t="str">
        <f t="shared" si="7"/>
        <v>C 级</v>
      </c>
      <c r="U46" s="9"/>
      <c r="V46" s="9"/>
      <c r="W46" s="9"/>
      <c r="X46" s="9"/>
    </row>
    <row r="47" spans="1:24">
      <c r="A47" s="32">
        <v>46155</v>
      </c>
      <c r="B47" s="32">
        <f t="shared" si="5"/>
        <v>46162</v>
      </c>
      <c r="C47" s="9" t="s">
        <v>948</v>
      </c>
      <c r="D47" s="9" t="s">
        <v>608</v>
      </c>
      <c r="E47" s="49" t="s">
        <v>1181</v>
      </c>
      <c r="F47" s="49" t="s">
        <v>1182</v>
      </c>
      <c r="G47" s="9"/>
      <c r="H47" s="9" t="s">
        <v>1183</v>
      </c>
      <c r="I47" s="9">
        <v>32</v>
      </c>
      <c r="J47" s="9">
        <v>173</v>
      </c>
      <c r="K47" s="9">
        <f>'（数据废表）薯条投放明细表'!K68</f>
        <v>128</v>
      </c>
      <c r="L47" s="9">
        <f>'（数据废表）薯条投放明细表'!L68</f>
        <v>0</v>
      </c>
      <c r="M47" s="9">
        <f>'（数据废表）薯条投放明细表'!M68</f>
        <v>1</v>
      </c>
      <c r="N47" s="9">
        <f t="shared" si="6"/>
        <v>129</v>
      </c>
      <c r="O47" s="50">
        <f>'（数据废表）薯条投放明细表'!J68</f>
        <v>200</v>
      </c>
      <c r="P47" s="33">
        <f t="shared" si="4"/>
        <v>1.5503875968992249</v>
      </c>
      <c r="Q47" s="49" t="s">
        <v>22</v>
      </c>
      <c r="R47" s="49" t="s">
        <v>718</v>
      </c>
      <c r="S47" s="9"/>
      <c r="T47" s="9" t="str">
        <f t="shared" si="7"/>
        <v>C 级</v>
      </c>
      <c r="U47" s="9"/>
      <c r="V47" s="9"/>
      <c r="W47" s="9"/>
      <c r="X47" s="9"/>
    </row>
    <row r="48" spans="1:24" ht="14">
      <c r="A48" s="32">
        <v>46156</v>
      </c>
      <c r="B48" s="32">
        <f t="shared" si="5"/>
        <v>46163</v>
      </c>
      <c r="C48" s="9" t="s">
        <v>948</v>
      </c>
      <c r="D48" s="9" t="s">
        <v>1184</v>
      </c>
      <c r="E48" s="49" t="s">
        <v>1185</v>
      </c>
      <c r="F48" s="49" t="s">
        <v>1186</v>
      </c>
      <c r="G48" s="9"/>
      <c r="H48" s="9" t="s">
        <v>1187</v>
      </c>
      <c r="I48" s="9">
        <v>16</v>
      </c>
      <c r="J48" s="9">
        <f t="array" ref="J48">_xlfn.XLOOKUP(D48,'（数据废表）薯条投放明细表'!E:E,'（数据废表）薯条投放明细表'!I:I)</f>
        <v>108</v>
      </c>
      <c r="K48" s="9">
        <f>'（数据废表）薯条投放明细表'!K74</f>
        <v>92</v>
      </c>
      <c r="L48" s="9">
        <f>'（数据废表）薯条投放明细表'!L74</f>
        <v>0</v>
      </c>
      <c r="M48" s="9">
        <f>'（数据废表）薯条投放明细表'!M74</f>
        <v>0</v>
      </c>
      <c r="N48" s="9">
        <f t="shared" si="6"/>
        <v>92</v>
      </c>
      <c r="O48" s="50">
        <f>'（数据废表）薯条投放明细表'!J74</f>
        <v>200</v>
      </c>
      <c r="P48" s="33">
        <f t="shared" si="4"/>
        <v>2.1739130434782608</v>
      </c>
      <c r="Q48" s="53" t="s">
        <v>34</v>
      </c>
      <c r="R48" s="53" t="s">
        <v>349</v>
      </c>
      <c r="S48" s="9"/>
      <c r="T48" s="9" t="str">
        <f t="shared" si="7"/>
        <v>C 级</v>
      </c>
      <c r="U48" s="9"/>
      <c r="V48" s="9"/>
      <c r="W48" s="9"/>
      <c r="X48" s="9"/>
    </row>
    <row r="49" spans="1:24" ht="14">
      <c r="A49" s="32">
        <v>46157</v>
      </c>
      <c r="B49" s="32">
        <f t="shared" si="5"/>
        <v>46164</v>
      </c>
      <c r="C49" s="9" t="s">
        <v>948</v>
      </c>
      <c r="D49" s="9" t="s">
        <v>1188</v>
      </c>
      <c r="E49" s="49" t="s">
        <v>1189</v>
      </c>
      <c r="F49" s="49" t="s">
        <v>1190</v>
      </c>
      <c r="G49" s="9"/>
      <c r="H49" s="9" t="s">
        <v>1191</v>
      </c>
      <c r="I49" s="9">
        <v>17</v>
      </c>
      <c r="J49" s="9">
        <f t="array" ref="J49">_xlfn.XLOOKUP(D49,'（数据废表）薯条投放明细表'!E:E,'（数据废表）薯条投放明细表'!I:I)</f>
        <v>37</v>
      </c>
      <c r="K49" s="9">
        <f>'（数据废表）薯条投放明细表'!K75</f>
        <v>33</v>
      </c>
      <c r="L49" s="9">
        <f>'（数据废表）薯条投放明细表'!L75</f>
        <v>0</v>
      </c>
      <c r="M49" s="9">
        <f>'（数据废表）薯条投放明细表'!M75</f>
        <v>0</v>
      </c>
      <c r="N49" s="9">
        <f t="shared" si="6"/>
        <v>33</v>
      </c>
      <c r="O49" s="50">
        <f>'（数据废表）薯条投放明细表'!J75</f>
        <v>200</v>
      </c>
      <c r="P49" s="33">
        <f t="shared" si="4"/>
        <v>6.0606060606060606</v>
      </c>
      <c r="Q49" s="51" t="s">
        <v>22</v>
      </c>
      <c r="R49" s="51" t="s">
        <v>48</v>
      </c>
      <c r="S49" s="9"/>
      <c r="T49" s="9" t="str">
        <f t="shared" si="7"/>
        <v>C 级</v>
      </c>
      <c r="U49" s="9"/>
      <c r="V49" s="9"/>
      <c r="W49" s="9"/>
      <c r="X49" s="9"/>
    </row>
    <row r="50" spans="1:24" ht="14">
      <c r="A50" s="32">
        <v>46156</v>
      </c>
      <c r="B50" s="32">
        <f t="shared" si="5"/>
        <v>46163</v>
      </c>
      <c r="C50" s="9" t="s">
        <v>948</v>
      </c>
      <c r="D50" s="9" t="s">
        <v>1192</v>
      </c>
      <c r="E50" s="49" t="s">
        <v>1193</v>
      </c>
      <c r="F50" s="49" t="s">
        <v>1194</v>
      </c>
      <c r="G50" s="9"/>
      <c r="H50" s="9" t="s">
        <v>1195</v>
      </c>
      <c r="I50" s="9">
        <v>18</v>
      </c>
      <c r="J50" s="9">
        <f t="array" ref="J50">_xlfn.XLOOKUP(D50,'（数据废表）薯条投放明细表'!E:E,'（数据废表）薯条投放明细表'!I:I)</f>
        <v>26</v>
      </c>
      <c r="K50" s="9">
        <f>'（数据废表）薯条投放明细表'!K76</f>
        <v>18</v>
      </c>
      <c r="L50" s="9">
        <f>'（数据废表）薯条投放明细表'!L76</f>
        <v>0</v>
      </c>
      <c r="M50" s="9">
        <f>'（数据废表）薯条投放明细表'!M76</f>
        <v>2</v>
      </c>
      <c r="N50" s="9">
        <f t="shared" si="6"/>
        <v>20</v>
      </c>
      <c r="O50" s="50">
        <f>'（数据废表）薯条投放明细表'!J76</f>
        <v>200</v>
      </c>
      <c r="P50" s="33">
        <f t="shared" si="4"/>
        <v>10</v>
      </c>
      <c r="Q50" s="53" t="s">
        <v>34</v>
      </c>
      <c r="R50" s="53" t="s">
        <v>210</v>
      </c>
      <c r="S50" s="9"/>
      <c r="T50" s="9" t="str">
        <f t="shared" si="7"/>
        <v>C 级</v>
      </c>
      <c r="X50" s="9"/>
    </row>
    <row r="51" spans="1:24" ht="14">
      <c r="A51" s="32">
        <v>46160</v>
      </c>
      <c r="B51" s="32">
        <f t="shared" si="5"/>
        <v>46167</v>
      </c>
      <c r="C51" s="9" t="s">
        <v>948</v>
      </c>
      <c r="D51" s="9" t="s">
        <v>1196</v>
      </c>
      <c r="E51" s="49" t="s">
        <v>1197</v>
      </c>
      <c r="F51" s="49" t="s">
        <v>1198</v>
      </c>
      <c r="G51" s="9"/>
      <c r="H51" s="9" t="s">
        <v>1199</v>
      </c>
      <c r="I51" s="9">
        <v>16</v>
      </c>
      <c r="J51" s="9">
        <f t="array" ref="J51">_xlfn.XLOOKUP(D51,'（数据废表）薯条投放明细表'!E:E,'（数据废表）薯条投放明细表'!I:I)</f>
        <v>1027</v>
      </c>
      <c r="K51" s="9">
        <f>'（数据废表）薯条投放明细表'!K77</f>
        <v>447</v>
      </c>
      <c r="L51" s="9">
        <f>'（数据废表）薯条投放明细表'!L77</f>
        <v>20</v>
      </c>
      <c r="M51" s="9">
        <f>'（数据废表）薯条投放明细表'!M77</f>
        <v>5</v>
      </c>
      <c r="N51" s="9">
        <f t="shared" si="6"/>
        <v>472</v>
      </c>
      <c r="O51" s="50">
        <f>'（数据废表）薯条投放明细表'!J77</f>
        <v>200</v>
      </c>
      <c r="P51" s="33">
        <f t="shared" si="4"/>
        <v>0.42372881355932202</v>
      </c>
      <c r="Q51" s="51" t="s">
        <v>22</v>
      </c>
      <c r="R51" s="51" t="s">
        <v>137</v>
      </c>
      <c r="S51" s="9"/>
      <c r="T51" s="9" t="str">
        <f t="shared" si="7"/>
        <v>C 级</v>
      </c>
    </row>
    <row r="52" spans="1:24" ht="14">
      <c r="A52" s="32">
        <v>46164</v>
      </c>
      <c r="B52" s="32">
        <f t="shared" si="5"/>
        <v>46171</v>
      </c>
      <c r="C52" s="9" t="s">
        <v>948</v>
      </c>
      <c r="D52" s="9" t="s">
        <v>1200</v>
      </c>
      <c r="E52" s="49" t="s">
        <v>1201</v>
      </c>
      <c r="F52" s="49" t="s">
        <v>1202</v>
      </c>
      <c r="G52" s="9"/>
      <c r="H52" s="9" t="s">
        <v>1203</v>
      </c>
      <c r="I52" s="9">
        <v>2856</v>
      </c>
      <c r="J52" s="9">
        <f t="array" ref="J52">_xlfn.XLOOKUP(D52,'（数据废表）薯条投放明细表'!E:E,'（数据废表）薯条投放明细表'!I:I)</f>
        <v>23070</v>
      </c>
      <c r="K52" s="9">
        <f>'（数据废表）薯条投放明细表'!K78</f>
        <v>863</v>
      </c>
      <c r="L52" s="9">
        <f>'（数据废表）薯条投放明细表'!L78</f>
        <v>4</v>
      </c>
      <c r="M52" s="9">
        <f>'（数据废表）薯条投放明细表'!M78</f>
        <v>9</v>
      </c>
      <c r="N52" s="9">
        <f t="shared" si="6"/>
        <v>876</v>
      </c>
      <c r="O52" s="50">
        <f>'（数据废表）薯条投放明细表'!J78</f>
        <v>200</v>
      </c>
      <c r="P52" s="33">
        <f t="shared" si="4"/>
        <v>0.22831050228310501</v>
      </c>
      <c r="Q52" s="53" t="s">
        <v>34</v>
      </c>
      <c r="R52" s="53" t="s">
        <v>210</v>
      </c>
      <c r="S52" s="9"/>
      <c r="T52" s="9" t="str">
        <f t="shared" si="7"/>
        <v>B 级</v>
      </c>
    </row>
    <row r="53" spans="1:24" ht="14">
      <c r="A53" s="32">
        <v>46164</v>
      </c>
      <c r="B53" s="32">
        <f t="shared" si="5"/>
        <v>46171</v>
      </c>
      <c r="C53" s="9" t="s">
        <v>948</v>
      </c>
      <c r="D53" s="9" t="s">
        <v>1204</v>
      </c>
      <c r="E53" s="49" t="s">
        <v>1205</v>
      </c>
      <c r="F53" s="49" t="s">
        <v>1206</v>
      </c>
      <c r="G53" s="9"/>
      <c r="H53" s="9" t="s">
        <v>1207</v>
      </c>
      <c r="I53" s="9">
        <v>14700</v>
      </c>
      <c r="J53" s="9">
        <f t="array" ref="J53">_xlfn.XLOOKUP(D53,'（数据废表）薯条投放明细表'!E:E,'（数据废表）薯条投放明细表'!I:I)</f>
        <v>33506</v>
      </c>
      <c r="K53" s="9">
        <v>2303</v>
      </c>
      <c r="L53" s="9">
        <v>29</v>
      </c>
      <c r="M53" s="9">
        <v>43</v>
      </c>
      <c r="N53" s="9">
        <f t="shared" si="6"/>
        <v>2375</v>
      </c>
      <c r="O53" s="50">
        <v>700</v>
      </c>
      <c r="P53" s="33">
        <f t="shared" si="4"/>
        <v>0.29473684210526313</v>
      </c>
      <c r="Q53" s="53" t="s">
        <v>34</v>
      </c>
      <c r="R53" s="53" t="s">
        <v>210</v>
      </c>
      <c r="S53" s="9"/>
      <c r="T53" s="9" t="str">
        <f t="shared" si="7"/>
        <v>A 级</v>
      </c>
    </row>
    <row r="54" spans="1:24" ht="14">
      <c r="A54" s="32">
        <v>46169</v>
      </c>
      <c r="B54" s="32">
        <f t="shared" si="5"/>
        <v>46176</v>
      </c>
      <c r="C54" s="9" t="s">
        <v>948</v>
      </c>
      <c r="D54" s="9" t="s">
        <v>1208</v>
      </c>
      <c r="E54" s="49" t="s">
        <v>1209</v>
      </c>
      <c r="F54" s="49" t="s">
        <v>1210</v>
      </c>
      <c r="G54" s="9"/>
      <c r="H54" s="9" t="s">
        <v>1211</v>
      </c>
      <c r="I54" s="9">
        <v>8478</v>
      </c>
      <c r="J54" s="9">
        <f t="array" ref="J54">_xlfn.XLOOKUP(D54,'（数据废表）薯条投放明细表'!E:E,'（数据废表）薯条投放明细表'!I:I)</f>
        <v>20253</v>
      </c>
      <c r="K54" s="9">
        <f>'（数据废表）薯条投放明细表'!K81+'（数据废表）薯条投放明细表'!K84</f>
        <v>1217</v>
      </c>
      <c r="L54" s="9">
        <f>'（数据废表）薯条投放明细表'!L81+'（数据废表）薯条投放明细表'!L84</f>
        <v>190</v>
      </c>
      <c r="M54" s="9">
        <f>'（数据废表）薯条投放明细表'!M81+'（数据废表）薯条投放明细表'!M84</f>
        <v>14</v>
      </c>
      <c r="N54" s="9">
        <f t="shared" si="6"/>
        <v>1421</v>
      </c>
      <c r="O54" s="50">
        <f>'（数据废表）薯条投放明细表'!J81+'（数据废表）薯条投放明细表'!J84</f>
        <v>1100</v>
      </c>
      <c r="P54" s="63">
        <f t="shared" si="4"/>
        <v>0.77410274454609429</v>
      </c>
      <c r="Q54" s="53" t="s">
        <v>34</v>
      </c>
      <c r="R54" s="53" t="s">
        <v>66</v>
      </c>
      <c r="S54" s="9"/>
      <c r="T54" s="9" t="str">
        <f t="shared" si="7"/>
        <v>A 级</v>
      </c>
    </row>
    <row r="55" spans="1:24" ht="14">
      <c r="A55" s="32">
        <v>46171</v>
      </c>
      <c r="B55" s="32">
        <f t="shared" si="5"/>
        <v>46178</v>
      </c>
      <c r="C55" s="9" t="s">
        <v>948</v>
      </c>
      <c r="D55" s="9" t="s">
        <v>1212</v>
      </c>
      <c r="E55" s="49" t="s">
        <v>1213</v>
      </c>
      <c r="F55" s="49" t="s">
        <v>1214</v>
      </c>
      <c r="G55" s="9"/>
      <c r="H55" s="9" t="s">
        <v>1215</v>
      </c>
      <c r="I55" s="9">
        <v>159</v>
      </c>
      <c r="J55" s="9">
        <f t="array" ref="J55">_xlfn.XLOOKUP(D55,'（数据废表）薯条投放明细表'!E:E,'（数据废表）薯条投放明细表'!I:I)</f>
        <v>594</v>
      </c>
      <c r="K55" s="9">
        <f>'（数据废表）薯条投放明细表'!K82</f>
        <v>402</v>
      </c>
      <c r="L55" s="9">
        <f>'（数据废表）薯条投放明细表'!L82</f>
        <v>3</v>
      </c>
      <c r="M55" s="9">
        <f>'（数据废表）薯条投放明细表'!M82</f>
        <v>30</v>
      </c>
      <c r="N55" s="9">
        <f t="shared" si="6"/>
        <v>435</v>
      </c>
      <c r="O55" s="50">
        <v>200</v>
      </c>
      <c r="P55" s="63">
        <f>O55/J55</f>
        <v>0.33670033670033672</v>
      </c>
      <c r="Q55" s="51" t="s">
        <v>22</v>
      </c>
      <c r="R55" s="51" t="s">
        <v>151</v>
      </c>
      <c r="S55" s="59" t="s">
        <v>1066</v>
      </c>
      <c r="T55" s="9" t="str">
        <f t="shared" si="7"/>
        <v>C 级</v>
      </c>
    </row>
    <row r="56" spans="1:24" ht="14">
      <c r="A56" s="32">
        <v>46170</v>
      </c>
      <c r="B56" s="32">
        <f t="shared" si="5"/>
        <v>46177</v>
      </c>
      <c r="C56" s="9" t="s">
        <v>948</v>
      </c>
      <c r="D56" s="9" t="s">
        <v>1216</v>
      </c>
      <c r="E56" s="49" t="s">
        <v>1217</v>
      </c>
      <c r="F56" s="49" t="s">
        <v>1218</v>
      </c>
      <c r="G56" s="9"/>
      <c r="H56" s="9" t="s">
        <v>1219</v>
      </c>
      <c r="I56" s="9">
        <v>4</v>
      </c>
      <c r="J56" s="9">
        <f t="array" ref="J56">_xlfn.XLOOKUP(D56,'（数据废表）薯条投放明细表'!E:E,'（数据废表）薯条投放明细表'!I:I)</f>
        <v>12</v>
      </c>
      <c r="K56" s="9">
        <f>'（数据废表）薯条投放明细表'!K83</f>
        <v>6</v>
      </c>
      <c r="L56" s="9">
        <f>'（数据废表）薯条投放明细表'!L83</f>
        <v>1</v>
      </c>
      <c r="M56" s="9">
        <f>'（数据废表）薯条投放明细表'!M83</f>
        <v>0</v>
      </c>
      <c r="N56" s="9">
        <f t="shared" si="6"/>
        <v>7</v>
      </c>
      <c r="O56" s="50">
        <v>200</v>
      </c>
      <c r="P56" s="63">
        <f>O56/J56</f>
        <v>16.666666666666668</v>
      </c>
      <c r="Q56" s="51" t="s">
        <v>22</v>
      </c>
      <c r="R56" s="51" t="s">
        <v>23</v>
      </c>
      <c r="S56" s="9"/>
      <c r="T56" s="9" t="str">
        <f t="shared" si="7"/>
        <v>C 级</v>
      </c>
      <c r="U56" s="9"/>
      <c r="V56" s="9"/>
    </row>
    <row r="57" spans="1:24" ht="14">
      <c r="A57" s="32">
        <v>46172</v>
      </c>
      <c r="B57" s="32">
        <f t="shared" si="5"/>
        <v>46179</v>
      </c>
      <c r="C57" s="9" t="s">
        <v>948</v>
      </c>
      <c r="D57" s="9" t="s">
        <v>1220</v>
      </c>
      <c r="E57" s="49" t="s">
        <v>1221</v>
      </c>
      <c r="F57" s="49" t="s">
        <v>1222</v>
      </c>
      <c r="G57" s="9"/>
      <c r="H57" s="9" t="s">
        <v>1223</v>
      </c>
      <c r="I57" s="9">
        <v>54</v>
      </c>
      <c r="J57" s="9">
        <f t="array" ref="J57">_xlfn.XLOOKUP(D57,'（数据废表）薯条投放明细表'!E:E,'（数据废表）薯条投放明细表'!I:I)</f>
        <v>144</v>
      </c>
      <c r="K57" s="9">
        <v>45</v>
      </c>
      <c r="L57" s="9">
        <v>25</v>
      </c>
      <c r="M57" s="9">
        <v>1</v>
      </c>
      <c r="N57" s="9">
        <f t="shared" si="6"/>
        <v>71</v>
      </c>
      <c r="O57" s="64">
        <v>200</v>
      </c>
      <c r="P57" s="63">
        <f>O57/J57</f>
        <v>1.3888888888888888</v>
      </c>
      <c r="Q57" s="51" t="s">
        <v>22</v>
      </c>
      <c r="R57" s="51" t="s">
        <v>44</v>
      </c>
      <c r="S57" s="9"/>
      <c r="T57" s="9" t="str">
        <f t="shared" si="7"/>
        <v>C 级</v>
      </c>
      <c r="U57" s="9"/>
      <c r="V57" s="9"/>
    </row>
    <row r="58" spans="1:24">
      <c r="A58" s="32"/>
      <c r="B58" s="32"/>
      <c r="C58" s="9"/>
      <c r="D58" s="52"/>
      <c r="E58" s="49"/>
      <c r="F58" s="49"/>
      <c r="G58" s="9"/>
      <c r="H58" s="9"/>
      <c r="I58" s="9"/>
      <c r="J58" s="9"/>
      <c r="K58" s="9"/>
      <c r="L58" s="9"/>
      <c r="M58" s="9"/>
      <c r="N58" s="9"/>
      <c r="O58" s="50"/>
      <c r="P58" s="33"/>
      <c r="Q58" s="49"/>
      <c r="R58" s="49"/>
      <c r="S58" s="9"/>
      <c r="T58" s="9"/>
      <c r="U58" s="9"/>
      <c r="V58" s="9"/>
    </row>
    <row r="59" spans="1:24">
      <c r="A59" s="32"/>
      <c r="B59" s="32"/>
      <c r="C59" s="9"/>
      <c r="D59" s="9"/>
      <c r="E59" s="49"/>
      <c r="F59" s="49"/>
      <c r="G59" s="9"/>
      <c r="H59" s="9"/>
      <c r="I59" s="9"/>
      <c r="J59" s="9"/>
      <c r="K59" s="9"/>
      <c r="L59" s="9"/>
      <c r="M59" s="9"/>
      <c r="N59" s="9"/>
      <c r="O59" s="50"/>
      <c r="P59" s="9"/>
      <c r="Q59" s="49"/>
      <c r="R59" s="49"/>
      <c r="S59" s="9"/>
      <c r="T59" s="9"/>
      <c r="U59" s="9"/>
      <c r="V59" s="9"/>
      <c r="W59" s="9"/>
      <c r="X59" s="9"/>
    </row>
    <row r="60" spans="1:24">
      <c r="A60" s="32"/>
      <c r="B60" s="32"/>
      <c r="C60" s="9"/>
      <c r="D60" s="9"/>
      <c r="E60" s="49"/>
      <c r="F60" s="49"/>
      <c r="G60" s="9"/>
      <c r="H60" s="9"/>
      <c r="I60" s="9"/>
      <c r="J60" s="9"/>
      <c r="K60" s="9"/>
      <c r="L60" s="9"/>
      <c r="M60" s="9"/>
      <c r="N60" s="9"/>
      <c r="O60" s="50"/>
      <c r="P60" s="9"/>
      <c r="Q60" s="49"/>
      <c r="R60" s="49"/>
      <c r="S60" s="9"/>
      <c r="T60" s="9"/>
      <c r="U60" s="9"/>
      <c r="V60" s="9"/>
      <c r="W60" s="9"/>
      <c r="X60" s="9"/>
    </row>
    <row r="61" spans="1:24">
      <c r="A61" s="32"/>
      <c r="B61" s="32"/>
      <c r="C61" s="9"/>
      <c r="D61" s="9"/>
      <c r="E61" s="49"/>
      <c r="F61" s="49"/>
      <c r="G61" s="9"/>
      <c r="H61" s="9"/>
      <c r="I61" s="9"/>
      <c r="J61" s="9"/>
      <c r="K61" s="9"/>
      <c r="L61" s="9"/>
      <c r="M61" s="9"/>
      <c r="N61" s="9"/>
      <c r="O61" s="50"/>
      <c r="P61" s="9"/>
      <c r="Q61" s="49"/>
      <c r="R61" s="49"/>
      <c r="S61" s="9"/>
      <c r="T61" s="9"/>
      <c r="W61" s="9"/>
      <c r="X61" s="9"/>
    </row>
    <row r="62" spans="1:24">
      <c r="A62" s="32"/>
      <c r="B62" s="32"/>
      <c r="C62" s="9"/>
      <c r="D62" s="9"/>
      <c r="E62" s="49"/>
      <c r="F62" s="49"/>
      <c r="G62" s="9"/>
      <c r="H62" s="9"/>
      <c r="I62" s="9"/>
      <c r="J62" s="9"/>
      <c r="K62" s="9"/>
      <c r="L62" s="9"/>
      <c r="M62" s="9"/>
      <c r="N62" s="9"/>
      <c r="O62" s="50"/>
      <c r="P62" s="9"/>
      <c r="Q62" s="49"/>
      <c r="R62" s="49"/>
      <c r="S62" s="9"/>
      <c r="T62" s="9"/>
      <c r="W62" s="9"/>
      <c r="X62" s="9"/>
    </row>
    <row r="63" spans="1:24">
      <c r="A63" s="32"/>
      <c r="B63" s="32"/>
      <c r="C63" s="9"/>
      <c r="D63" s="9"/>
      <c r="E63" s="49"/>
      <c r="F63" s="49"/>
      <c r="G63" s="9"/>
      <c r="H63" s="9"/>
      <c r="I63" s="9"/>
      <c r="J63" s="9"/>
      <c r="K63" s="9"/>
      <c r="L63" s="9"/>
      <c r="M63" s="9"/>
      <c r="N63" s="9"/>
      <c r="O63" s="50"/>
      <c r="P63" s="9"/>
      <c r="Q63" s="49"/>
      <c r="R63" s="49"/>
      <c r="S63" s="9"/>
      <c r="T63" s="9"/>
      <c r="U63" s="9"/>
      <c r="V63" s="9"/>
      <c r="W63" s="9"/>
      <c r="X63" s="9"/>
    </row>
    <row r="64" spans="1:24">
      <c r="A64" s="32"/>
      <c r="B64" s="32"/>
      <c r="C64" s="9"/>
      <c r="D64" s="9"/>
      <c r="E64" s="49"/>
      <c r="F64" s="49"/>
      <c r="G64" s="9"/>
      <c r="H64" s="9"/>
      <c r="I64" s="9"/>
      <c r="J64" s="9"/>
      <c r="K64" s="9"/>
      <c r="L64" s="9"/>
      <c r="M64" s="9"/>
      <c r="N64" s="9"/>
      <c r="O64" s="50"/>
      <c r="P64" s="9"/>
      <c r="Q64" s="49"/>
      <c r="R64" s="49"/>
      <c r="S64" s="9"/>
      <c r="T64" s="9"/>
      <c r="U64" s="9"/>
      <c r="V64" s="9"/>
      <c r="W64" s="9"/>
      <c r="X64" s="9"/>
    </row>
    <row r="65" spans="1:24">
      <c r="A65" s="32"/>
      <c r="B65" s="32"/>
      <c r="C65" s="9"/>
      <c r="D65" s="9"/>
      <c r="E65" s="49"/>
      <c r="F65" s="49"/>
      <c r="G65" s="9"/>
      <c r="H65" s="9"/>
      <c r="I65" s="9"/>
      <c r="J65" s="9"/>
      <c r="K65" s="9"/>
      <c r="L65" s="9"/>
      <c r="M65" s="9"/>
      <c r="N65" s="9"/>
      <c r="O65" s="50"/>
      <c r="P65" s="9"/>
      <c r="Q65" s="49"/>
      <c r="R65" s="49"/>
      <c r="S65" s="9"/>
      <c r="T65" s="9"/>
      <c r="U65" s="9"/>
      <c r="V65" s="9"/>
      <c r="W65" s="9"/>
      <c r="X65" s="9"/>
    </row>
    <row r="66" spans="1:24">
      <c r="A66" s="32"/>
      <c r="B66" s="32"/>
      <c r="C66" s="9"/>
      <c r="D66" s="9"/>
      <c r="E66" s="49"/>
      <c r="F66" s="49"/>
      <c r="G66" s="9"/>
      <c r="H66" s="9"/>
      <c r="I66" s="9"/>
      <c r="J66" s="9"/>
      <c r="K66" s="9"/>
      <c r="L66" s="9"/>
      <c r="M66" s="9"/>
      <c r="N66" s="9"/>
      <c r="O66" s="50"/>
      <c r="P66" s="9"/>
      <c r="Q66" s="49"/>
      <c r="R66" s="49"/>
      <c r="S66" s="9"/>
      <c r="T66" s="9"/>
      <c r="U66" s="9"/>
      <c r="V66" s="9"/>
      <c r="W66" s="9"/>
      <c r="X66" s="9"/>
    </row>
    <row r="67" spans="1:24">
      <c r="A67" s="32"/>
      <c r="B67" s="32"/>
      <c r="C67" s="9"/>
      <c r="D67" s="9"/>
      <c r="E67" s="49"/>
      <c r="F67" s="49"/>
      <c r="G67" s="9"/>
      <c r="H67" s="9"/>
      <c r="I67" s="9"/>
      <c r="J67" s="9"/>
      <c r="K67" s="9"/>
      <c r="L67" s="9"/>
      <c r="M67" s="9"/>
      <c r="N67" s="9"/>
      <c r="O67" s="50"/>
      <c r="P67" s="33"/>
      <c r="Q67" s="49"/>
      <c r="R67" s="49"/>
      <c r="S67" s="9"/>
      <c r="T67" s="9"/>
      <c r="U67" s="9"/>
      <c r="V67" s="9"/>
      <c r="W67" s="9"/>
      <c r="X67" s="9"/>
    </row>
    <row r="68" spans="1:24">
      <c r="A68" s="32"/>
      <c r="B68" s="32"/>
      <c r="C68" s="9"/>
      <c r="D68" s="9"/>
      <c r="E68" s="49"/>
      <c r="F68" s="49"/>
      <c r="G68" s="9"/>
      <c r="H68" s="9"/>
      <c r="I68" s="9"/>
      <c r="J68" s="9"/>
      <c r="K68" s="9"/>
      <c r="L68" s="9"/>
      <c r="M68" s="9"/>
      <c r="N68" s="9"/>
      <c r="O68" s="50"/>
      <c r="P68" s="33"/>
      <c r="Q68" s="49"/>
      <c r="R68" s="49"/>
      <c r="S68" s="9"/>
      <c r="T68" s="9"/>
      <c r="U68" s="9"/>
      <c r="V68" s="9"/>
      <c r="W68" s="9"/>
      <c r="X68" s="9"/>
    </row>
    <row r="69" spans="1:24">
      <c r="A69" s="32"/>
      <c r="B69" s="32"/>
      <c r="C69" s="9"/>
      <c r="D69" s="9"/>
      <c r="E69" s="49"/>
      <c r="F69" s="49"/>
      <c r="G69" s="9"/>
      <c r="H69" s="9"/>
      <c r="I69" s="9"/>
      <c r="J69" s="9"/>
      <c r="K69" s="9"/>
      <c r="L69" s="9"/>
      <c r="M69" s="9"/>
      <c r="N69" s="9"/>
      <c r="O69" s="50"/>
      <c r="P69" s="9"/>
      <c r="Q69" s="49"/>
      <c r="R69" s="49"/>
      <c r="S69" s="9"/>
      <c r="T69" s="9"/>
      <c r="U69" s="9"/>
      <c r="V69" s="9"/>
      <c r="W69" s="9"/>
      <c r="X69" s="9"/>
    </row>
    <row r="70" spans="1:24">
      <c r="A70" s="32"/>
      <c r="B70" s="32"/>
      <c r="C70" s="9"/>
      <c r="D70" s="9"/>
      <c r="E70" s="49"/>
      <c r="F70" s="49"/>
      <c r="G70" s="9"/>
      <c r="H70" s="9"/>
      <c r="I70" s="9"/>
      <c r="J70" s="9"/>
      <c r="K70" s="9"/>
      <c r="L70" s="9"/>
      <c r="M70" s="9"/>
      <c r="N70" s="9"/>
      <c r="O70" s="50"/>
      <c r="P70" s="33"/>
      <c r="Q70" s="49"/>
      <c r="R70" s="49"/>
      <c r="S70" s="9"/>
      <c r="T70" s="9"/>
      <c r="U70" s="9"/>
      <c r="V70" s="9"/>
      <c r="W70" s="9"/>
      <c r="X70" s="9"/>
    </row>
    <row r="71" spans="1:24">
      <c r="A71" s="32"/>
      <c r="B71" s="32"/>
      <c r="C71" s="9"/>
      <c r="D71" s="9"/>
      <c r="E71" s="49"/>
      <c r="F71" s="49"/>
      <c r="G71" s="9"/>
      <c r="H71" s="9"/>
      <c r="I71" s="9"/>
      <c r="J71" s="9"/>
      <c r="K71" s="9"/>
      <c r="L71" s="9"/>
      <c r="M71" s="9"/>
      <c r="N71" s="9"/>
      <c r="O71" s="50"/>
      <c r="P71" s="9"/>
      <c r="Q71" s="49"/>
      <c r="R71" s="49"/>
      <c r="S71" s="9"/>
      <c r="T71" s="9"/>
      <c r="U71" s="9"/>
      <c r="V71" s="9"/>
      <c r="W71" s="9"/>
      <c r="X71" s="9"/>
    </row>
    <row r="72" spans="1:24">
      <c r="A72" s="32"/>
      <c r="B72" s="32"/>
      <c r="C72" s="9"/>
      <c r="D72" s="9"/>
      <c r="E72" s="49"/>
      <c r="F72" s="49"/>
      <c r="G72" s="9"/>
      <c r="H72" s="9"/>
      <c r="I72" s="9"/>
      <c r="J72" s="9"/>
      <c r="K72" s="9"/>
      <c r="L72" s="9"/>
      <c r="M72" s="9"/>
      <c r="N72" s="9"/>
      <c r="O72" s="50"/>
      <c r="P72" s="9"/>
      <c r="Q72" s="49"/>
      <c r="R72" s="49"/>
      <c r="S72" s="9"/>
      <c r="T72" s="9"/>
      <c r="U72" s="9"/>
      <c r="V72" s="9"/>
      <c r="W72" s="9"/>
      <c r="X72" s="9"/>
    </row>
    <row r="73" spans="1:24">
      <c r="A73" s="32"/>
      <c r="B73" s="32"/>
      <c r="C73" s="9"/>
      <c r="D73" s="9"/>
      <c r="E73" s="49"/>
      <c r="F73" s="49"/>
      <c r="G73" s="9"/>
      <c r="H73" s="9"/>
      <c r="I73" s="9"/>
      <c r="J73" s="9"/>
      <c r="K73" s="9"/>
      <c r="L73" s="9"/>
      <c r="M73" s="9"/>
      <c r="N73" s="9"/>
      <c r="O73" s="50"/>
      <c r="P73" s="9"/>
      <c r="Q73" s="49"/>
      <c r="R73" s="49"/>
      <c r="S73" s="56"/>
      <c r="T73" s="9"/>
      <c r="U73" s="9"/>
      <c r="V73" s="9"/>
      <c r="W73" s="9"/>
      <c r="X73" s="9"/>
    </row>
    <row r="74" spans="1:24">
      <c r="A74" s="32"/>
      <c r="B74" s="32"/>
      <c r="C74" s="9"/>
      <c r="D74" s="9"/>
      <c r="E74" s="49"/>
      <c r="F74" s="49"/>
      <c r="G74" s="9"/>
      <c r="H74" s="9"/>
      <c r="I74" s="9"/>
      <c r="J74" s="9"/>
      <c r="K74" s="9"/>
      <c r="L74" s="9"/>
      <c r="M74" s="9"/>
      <c r="N74" s="9"/>
      <c r="O74" s="50"/>
      <c r="P74" s="9"/>
      <c r="Q74" s="49"/>
      <c r="R74" s="49"/>
      <c r="S74" s="9"/>
      <c r="T74" s="9"/>
      <c r="U74" s="9"/>
      <c r="V74" s="9"/>
      <c r="W74" s="9"/>
      <c r="X74" s="9"/>
    </row>
    <row r="75" spans="1:24">
      <c r="A75" s="32"/>
      <c r="B75" s="32"/>
      <c r="C75" s="9"/>
      <c r="D75" s="9"/>
      <c r="E75" s="49"/>
      <c r="F75" s="49"/>
      <c r="G75" s="9"/>
      <c r="H75" s="9"/>
      <c r="I75" s="9"/>
      <c r="J75" s="9"/>
      <c r="K75" s="9"/>
      <c r="L75" s="9"/>
      <c r="M75" s="9"/>
      <c r="N75" s="9"/>
      <c r="O75" s="50"/>
      <c r="P75" s="9"/>
      <c r="Q75" s="49"/>
      <c r="R75" s="49"/>
      <c r="S75" s="9"/>
      <c r="T75" s="9"/>
      <c r="U75" s="9"/>
      <c r="V75" s="9"/>
      <c r="W75" s="9"/>
      <c r="X75" s="9"/>
    </row>
    <row r="76" spans="1:24">
      <c r="A76" s="32"/>
      <c r="B76" s="32"/>
      <c r="C76" s="9"/>
      <c r="D76" s="9"/>
      <c r="E76" s="49"/>
      <c r="F76" s="49"/>
      <c r="G76" s="9"/>
      <c r="H76" s="9"/>
      <c r="I76" s="9"/>
      <c r="J76" s="9"/>
      <c r="K76" s="9"/>
      <c r="L76" s="9"/>
      <c r="M76" s="9"/>
      <c r="N76" s="9"/>
      <c r="O76" s="50"/>
      <c r="P76" s="9"/>
      <c r="Q76" s="49"/>
      <c r="R76" s="49"/>
      <c r="S76" s="9"/>
      <c r="T76" s="9"/>
      <c r="U76" s="9"/>
      <c r="V76" s="9"/>
      <c r="W76" s="9"/>
      <c r="X76" s="9"/>
    </row>
    <row r="77" spans="1:24">
      <c r="A77" s="32"/>
      <c r="B77" s="32"/>
      <c r="C77" s="9"/>
      <c r="D77" s="9"/>
      <c r="E77" s="49"/>
      <c r="F77" s="49"/>
      <c r="G77" s="9"/>
      <c r="H77" s="9"/>
      <c r="I77" s="9"/>
      <c r="J77" s="9"/>
      <c r="K77" s="9"/>
      <c r="L77" s="9"/>
      <c r="M77" s="9"/>
      <c r="N77" s="9"/>
      <c r="O77" s="50"/>
      <c r="P77" s="9"/>
      <c r="Q77" s="49"/>
      <c r="R77" s="49"/>
      <c r="S77" s="9"/>
      <c r="T77" s="9"/>
      <c r="U77" s="9"/>
      <c r="V77" s="9"/>
      <c r="W77" s="9"/>
      <c r="X77" s="9"/>
    </row>
    <row r="78" spans="1:24">
      <c r="A78" s="32"/>
      <c r="B78" s="32"/>
      <c r="C78" s="9"/>
      <c r="D78" s="9"/>
      <c r="E78" s="49"/>
      <c r="F78" s="49"/>
      <c r="G78" s="9"/>
      <c r="H78" s="9"/>
      <c r="I78" s="9"/>
      <c r="J78" s="9"/>
      <c r="K78" s="9"/>
      <c r="L78" s="9"/>
      <c r="M78" s="9"/>
      <c r="N78" s="9"/>
      <c r="O78" s="50"/>
      <c r="P78" s="33"/>
      <c r="Q78" s="49"/>
      <c r="R78" s="49"/>
      <c r="S78" s="9"/>
      <c r="T78" s="9"/>
      <c r="U78" s="9"/>
      <c r="V78" s="9"/>
      <c r="W78" s="9"/>
      <c r="X78" s="9"/>
    </row>
    <row r="79" spans="1:24">
      <c r="A79" s="32"/>
      <c r="B79" s="32"/>
      <c r="C79" s="9"/>
      <c r="D79" s="9"/>
      <c r="E79" s="49"/>
      <c r="F79" s="49"/>
      <c r="G79" s="9"/>
      <c r="H79" s="9"/>
      <c r="I79" s="9"/>
      <c r="J79" s="9"/>
      <c r="K79" s="9"/>
      <c r="L79" s="9"/>
      <c r="M79" s="9"/>
      <c r="N79" s="9"/>
      <c r="O79" s="50"/>
      <c r="P79" s="9"/>
      <c r="Q79" s="49"/>
      <c r="R79" s="49"/>
      <c r="S79" s="9"/>
      <c r="T79" s="9"/>
      <c r="U79" s="9"/>
      <c r="V79" s="9"/>
      <c r="W79" s="9"/>
      <c r="X79" s="9"/>
    </row>
    <row r="80" spans="1:24">
      <c r="A80" s="32"/>
      <c r="B80" s="32"/>
      <c r="C80" s="9"/>
      <c r="D80" s="9"/>
      <c r="E80" s="49"/>
      <c r="F80" s="49"/>
      <c r="G80" s="9"/>
      <c r="H80" s="9"/>
      <c r="I80" s="9"/>
      <c r="J80" s="9"/>
      <c r="K80" s="9"/>
      <c r="L80" s="9"/>
      <c r="M80" s="9"/>
      <c r="N80" s="9"/>
      <c r="O80" s="50"/>
      <c r="P80" s="9"/>
      <c r="Q80" s="49"/>
      <c r="R80" s="49"/>
      <c r="S80" s="9"/>
      <c r="T80" s="9"/>
      <c r="U80" s="9"/>
      <c r="V80" s="9"/>
      <c r="W80" s="9"/>
      <c r="X80" s="9"/>
    </row>
    <row r="81" spans="1:24">
      <c r="A81" s="32"/>
      <c r="B81" s="32"/>
      <c r="C81" s="9"/>
      <c r="D81" s="9"/>
      <c r="E81" s="49"/>
      <c r="F81" s="49"/>
      <c r="G81" s="9"/>
      <c r="H81" s="9"/>
      <c r="I81" s="9"/>
      <c r="J81" s="9"/>
      <c r="K81" s="9"/>
      <c r="L81" s="9"/>
      <c r="M81" s="9"/>
      <c r="N81" s="9"/>
      <c r="O81" s="50"/>
      <c r="P81" s="9"/>
      <c r="Q81" s="49"/>
      <c r="R81" s="49"/>
      <c r="S81" s="9"/>
      <c r="T81" s="9"/>
      <c r="U81" s="9"/>
      <c r="V81" s="9"/>
      <c r="W81" s="9"/>
      <c r="X81" s="9"/>
    </row>
    <row r="82" spans="1:24">
      <c r="A82" s="32"/>
      <c r="B82" s="32"/>
      <c r="C82" s="9"/>
      <c r="D82" s="9"/>
      <c r="E82" s="49"/>
      <c r="F82" s="49"/>
      <c r="G82" s="9"/>
      <c r="H82" s="9"/>
      <c r="I82" s="9"/>
      <c r="J82" s="9"/>
      <c r="K82" s="9"/>
      <c r="L82" s="9"/>
      <c r="M82" s="9"/>
      <c r="N82" s="9"/>
      <c r="O82" s="50"/>
      <c r="P82" s="9"/>
      <c r="Q82" s="49"/>
      <c r="R82" s="49"/>
      <c r="S82" s="9"/>
      <c r="T82" s="9"/>
      <c r="U82" s="9"/>
      <c r="V82" s="9"/>
      <c r="W82" s="9"/>
      <c r="X82" s="9"/>
    </row>
    <row r="83" spans="1:24">
      <c r="A83" s="32"/>
      <c r="B83" s="32"/>
      <c r="C83" s="9"/>
      <c r="D83" s="9"/>
      <c r="E83" s="49"/>
      <c r="F83" s="49"/>
      <c r="G83" s="9"/>
      <c r="H83" s="9"/>
      <c r="I83" s="9"/>
      <c r="J83" s="9"/>
      <c r="K83" s="9"/>
      <c r="L83" s="9"/>
      <c r="M83" s="9"/>
      <c r="N83" s="9"/>
      <c r="O83" s="65"/>
      <c r="P83" s="33"/>
      <c r="Q83" s="49"/>
      <c r="T83" s="9"/>
      <c r="U83" s="9"/>
      <c r="V83" s="9"/>
      <c r="W83" s="9"/>
      <c r="X83" s="9"/>
    </row>
    <row r="84" spans="1:24">
      <c r="A84" s="32"/>
      <c r="B84" s="32"/>
      <c r="C84" s="9"/>
      <c r="D84" s="9"/>
      <c r="E84" s="49"/>
      <c r="F84" s="49"/>
      <c r="G84" s="9"/>
      <c r="H84" s="9"/>
      <c r="I84" s="9"/>
      <c r="J84" s="9"/>
      <c r="K84" s="9"/>
      <c r="L84" s="9"/>
      <c r="M84" s="9"/>
      <c r="N84" s="9"/>
      <c r="O84" s="50"/>
      <c r="P84" s="49"/>
      <c r="Q84" s="9"/>
      <c r="T84" s="9"/>
      <c r="U84" s="9"/>
      <c r="V84" s="9"/>
      <c r="W84" s="9"/>
      <c r="X84" s="9"/>
    </row>
    <row r="85" spans="1:24">
      <c r="A85" s="32"/>
      <c r="B85" s="32"/>
      <c r="C85" s="9"/>
      <c r="D85" s="9"/>
      <c r="E85" s="49"/>
      <c r="F85" s="49"/>
      <c r="G85" s="9"/>
      <c r="H85" s="9"/>
      <c r="I85" s="9"/>
      <c r="J85" s="9"/>
      <c r="K85" s="9"/>
      <c r="L85" s="9"/>
      <c r="M85" s="9"/>
      <c r="N85" s="9"/>
      <c r="O85" s="50"/>
      <c r="P85" s="49"/>
      <c r="Q85" s="9"/>
      <c r="T85" s="9"/>
      <c r="U85" s="9"/>
      <c r="V85" s="9"/>
      <c r="W85" s="9"/>
      <c r="X85" s="9"/>
    </row>
    <row r="86" spans="1:24">
      <c r="A86" s="32"/>
      <c r="B86" s="32"/>
      <c r="C86" s="9"/>
      <c r="D86" s="9"/>
      <c r="E86" s="49"/>
      <c r="F86" s="49"/>
      <c r="G86" s="9"/>
      <c r="H86" s="9"/>
      <c r="I86" s="9"/>
      <c r="J86" s="9"/>
      <c r="K86" s="9"/>
      <c r="L86" s="9"/>
      <c r="M86" s="9"/>
      <c r="N86" s="9"/>
      <c r="O86" s="50"/>
      <c r="P86" s="49"/>
      <c r="Q86" s="9"/>
      <c r="T86" s="9"/>
      <c r="U86" s="9"/>
      <c r="V86" s="9"/>
      <c r="W86" s="9"/>
      <c r="X86" s="9"/>
    </row>
    <row r="87" spans="1:24">
      <c r="A87" s="32"/>
      <c r="B87" s="32"/>
      <c r="C87" s="9"/>
      <c r="D87" s="9"/>
      <c r="E87" s="49"/>
      <c r="F87" s="49"/>
      <c r="G87" s="9"/>
      <c r="H87" s="9"/>
      <c r="I87" s="9"/>
      <c r="J87" s="9"/>
      <c r="K87" s="9"/>
      <c r="L87" s="9"/>
      <c r="M87" s="9"/>
      <c r="N87" s="9"/>
      <c r="O87" s="50"/>
      <c r="P87" s="49"/>
      <c r="Q87" s="9"/>
      <c r="R87" s="49"/>
      <c r="S87" s="9"/>
      <c r="T87" s="9"/>
      <c r="U87" s="9"/>
      <c r="V87" s="9"/>
      <c r="W87" s="9"/>
      <c r="X87" s="9"/>
    </row>
    <row r="88" spans="1:24">
      <c r="A88" s="32"/>
      <c r="B88" s="32"/>
      <c r="C88" s="9"/>
      <c r="D88" s="9"/>
      <c r="E88" s="49"/>
      <c r="F88" s="49"/>
      <c r="G88" s="9"/>
      <c r="H88" s="9"/>
      <c r="I88" s="9"/>
      <c r="J88" s="9"/>
      <c r="K88" s="9"/>
      <c r="L88" s="9"/>
      <c r="M88" s="9"/>
      <c r="N88" s="9"/>
      <c r="O88" s="50"/>
      <c r="P88" s="33"/>
      <c r="Q88" s="49"/>
      <c r="R88" s="49"/>
      <c r="S88" s="9"/>
      <c r="T88" s="9"/>
      <c r="U88" s="9"/>
      <c r="V88" s="9"/>
      <c r="W88" s="9"/>
      <c r="X88" s="9"/>
    </row>
    <row r="89" spans="1:24">
      <c r="A89" s="32"/>
      <c r="B89" s="32"/>
      <c r="C89" s="9"/>
      <c r="D89" s="9"/>
      <c r="E89" s="49"/>
      <c r="F89" s="49"/>
      <c r="G89" s="9"/>
      <c r="H89" s="9"/>
      <c r="I89" s="9"/>
      <c r="J89" s="9"/>
      <c r="K89" s="9"/>
      <c r="L89" s="9"/>
      <c r="M89" s="9"/>
      <c r="N89" s="9"/>
      <c r="O89" s="50"/>
      <c r="P89" s="33"/>
      <c r="Q89" s="49"/>
      <c r="R89" s="49"/>
      <c r="S89" s="9"/>
      <c r="T89" s="9"/>
      <c r="U89" s="9"/>
      <c r="V89" s="9"/>
      <c r="W89" s="9"/>
      <c r="X89" s="9"/>
    </row>
    <row r="90" spans="1:24">
      <c r="A90" s="32"/>
      <c r="B90" s="32"/>
      <c r="C90" s="9"/>
      <c r="D90" s="9"/>
      <c r="E90" s="49"/>
      <c r="F90" s="49"/>
      <c r="G90" s="9"/>
      <c r="H90" s="9"/>
      <c r="I90" s="9"/>
      <c r="J90" s="9"/>
      <c r="K90" s="9"/>
      <c r="L90" s="9"/>
      <c r="M90" s="9"/>
      <c r="N90" s="9"/>
      <c r="O90" s="50"/>
      <c r="P90" s="33"/>
      <c r="Q90" s="49"/>
      <c r="R90" s="49"/>
      <c r="S90" s="9"/>
      <c r="T90" s="9"/>
      <c r="U90" s="9"/>
      <c r="V90" s="9"/>
      <c r="W90" s="9"/>
      <c r="X90" s="9"/>
    </row>
    <row r="91" spans="1:24">
      <c r="A91" s="32"/>
      <c r="B91" s="32"/>
      <c r="C91" s="9"/>
      <c r="D91" s="9"/>
      <c r="E91" s="49"/>
      <c r="F91" s="49"/>
      <c r="G91" s="9"/>
      <c r="H91" s="9"/>
      <c r="I91" s="9"/>
      <c r="J91" s="9"/>
      <c r="K91" s="9"/>
      <c r="L91" s="9"/>
      <c r="M91" s="9"/>
      <c r="N91" s="9"/>
      <c r="O91" s="50"/>
      <c r="P91" s="33"/>
      <c r="Q91" s="49"/>
      <c r="R91" s="49"/>
      <c r="S91" s="9"/>
      <c r="T91" s="9"/>
      <c r="U91" s="9"/>
      <c r="V91" s="9"/>
      <c r="W91" s="9"/>
      <c r="X91" s="9"/>
    </row>
    <row r="92" spans="1:24">
      <c r="A92" s="32"/>
      <c r="B92" s="32"/>
      <c r="C92" s="9"/>
      <c r="D92" s="9"/>
      <c r="E92" s="49"/>
      <c r="F92" s="49"/>
      <c r="G92" s="9"/>
      <c r="H92" s="9"/>
      <c r="I92" s="9"/>
      <c r="J92" s="9"/>
      <c r="K92" s="9"/>
      <c r="L92" s="9"/>
      <c r="M92" s="9"/>
      <c r="N92" s="9"/>
      <c r="O92" s="50"/>
      <c r="P92" s="33"/>
      <c r="Q92" s="49"/>
      <c r="R92" s="49"/>
      <c r="S92" s="9"/>
      <c r="T92" s="9"/>
      <c r="U92" s="9"/>
      <c r="V92" s="9"/>
      <c r="W92" s="9"/>
      <c r="X92" s="9"/>
    </row>
    <row r="93" spans="1:24">
      <c r="A93" s="32"/>
      <c r="B93" s="32"/>
      <c r="C93" s="9"/>
      <c r="D93" s="9"/>
      <c r="E93" s="49"/>
      <c r="F93" s="49"/>
      <c r="G93" s="9"/>
      <c r="H93" s="9"/>
      <c r="I93" s="9"/>
      <c r="J93" s="9"/>
      <c r="K93" s="9"/>
      <c r="L93" s="9"/>
      <c r="M93" s="9"/>
      <c r="N93" s="9"/>
      <c r="O93" s="50"/>
      <c r="P93" s="33"/>
      <c r="Q93" s="49"/>
      <c r="R93" s="49"/>
      <c r="S93" s="9"/>
      <c r="T93" s="9"/>
      <c r="U93" s="9"/>
      <c r="V93" s="9"/>
      <c r="W93" s="9"/>
      <c r="X93" s="9"/>
    </row>
    <row r="94" spans="1:24">
      <c r="A94" s="32"/>
      <c r="B94" s="32"/>
      <c r="C94" s="9"/>
      <c r="D94" s="9"/>
      <c r="E94" s="49"/>
      <c r="F94" s="49"/>
      <c r="G94" s="9"/>
      <c r="H94" s="9"/>
      <c r="I94" s="9"/>
      <c r="J94" s="9"/>
      <c r="K94" s="9"/>
      <c r="L94" s="9"/>
      <c r="M94" s="9"/>
      <c r="N94" s="9"/>
      <c r="O94" s="50"/>
      <c r="P94" s="33"/>
      <c r="Q94" s="49"/>
      <c r="R94" s="49"/>
      <c r="S94" s="9"/>
      <c r="T94" s="9"/>
      <c r="U94" s="9"/>
      <c r="V94" s="9"/>
      <c r="W94" s="9"/>
      <c r="X94" s="9"/>
    </row>
    <row r="95" spans="1:24">
      <c r="A95" s="32"/>
      <c r="B95" s="32"/>
      <c r="C95" s="9"/>
      <c r="D95" s="9"/>
      <c r="E95" s="49"/>
      <c r="F95" s="49"/>
      <c r="G95" s="9"/>
      <c r="H95" s="9"/>
      <c r="I95" s="9"/>
      <c r="J95" s="9"/>
      <c r="K95" s="9"/>
      <c r="L95" s="9"/>
      <c r="M95" s="9"/>
      <c r="N95" s="9"/>
      <c r="O95" s="50"/>
      <c r="P95" s="33"/>
      <c r="Q95" s="49"/>
      <c r="R95" s="49"/>
      <c r="S95" s="9"/>
      <c r="T95" s="9"/>
      <c r="U95" s="9"/>
      <c r="V95" s="9"/>
      <c r="W95" s="9"/>
      <c r="X95" s="9"/>
    </row>
    <row r="96" spans="1:24">
      <c r="A96" s="32"/>
      <c r="B96" s="32"/>
      <c r="C96" s="9"/>
      <c r="D96" s="9"/>
      <c r="E96" s="49"/>
      <c r="F96" s="49"/>
      <c r="G96" s="9"/>
      <c r="H96" s="9"/>
      <c r="I96" s="9"/>
      <c r="J96" s="9"/>
      <c r="K96" s="9"/>
      <c r="L96" s="9"/>
      <c r="M96" s="9"/>
      <c r="N96" s="9"/>
      <c r="O96" s="50"/>
      <c r="P96" s="33"/>
      <c r="Q96" s="49"/>
      <c r="R96" s="49"/>
      <c r="S96" s="9"/>
      <c r="T96" s="9"/>
      <c r="U96" s="9"/>
      <c r="V96" s="9"/>
      <c r="W96" s="9"/>
      <c r="X96" s="9"/>
    </row>
    <row r="97" spans="1:24">
      <c r="A97" s="32"/>
      <c r="B97" s="32"/>
      <c r="C97" s="9"/>
      <c r="D97" s="9"/>
      <c r="E97" s="49"/>
      <c r="F97" s="49"/>
      <c r="G97" s="9"/>
      <c r="H97" s="9"/>
      <c r="I97" s="9"/>
      <c r="J97" s="9"/>
      <c r="K97" s="9"/>
      <c r="L97" s="9"/>
      <c r="M97" s="9"/>
      <c r="N97" s="9"/>
      <c r="O97" s="50"/>
      <c r="P97" s="33"/>
      <c r="Q97" s="49"/>
      <c r="R97" s="49"/>
      <c r="S97" s="9"/>
      <c r="T97" s="9"/>
      <c r="U97" s="9"/>
      <c r="V97" s="9"/>
      <c r="W97" s="9"/>
      <c r="X97" s="9"/>
    </row>
    <row r="98" spans="1:24">
      <c r="A98" s="32"/>
      <c r="B98" s="32"/>
      <c r="C98" s="9"/>
      <c r="D98" s="9"/>
      <c r="E98" s="49"/>
      <c r="F98" s="49"/>
      <c r="G98" s="9"/>
      <c r="H98" s="9"/>
      <c r="I98" s="9"/>
      <c r="J98" s="9"/>
      <c r="K98" s="9"/>
      <c r="L98" s="9"/>
      <c r="M98" s="9"/>
      <c r="N98" s="9"/>
      <c r="O98" s="50"/>
      <c r="P98" s="33"/>
      <c r="Q98" s="49"/>
      <c r="R98" s="49"/>
      <c r="S98" s="9"/>
      <c r="T98" s="9"/>
      <c r="U98" s="9"/>
      <c r="V98" s="9"/>
      <c r="W98" s="9"/>
      <c r="X98" s="9"/>
    </row>
    <row r="99" spans="1:24">
      <c r="A99" s="32"/>
      <c r="B99" s="32"/>
      <c r="C99" s="9"/>
      <c r="D99" s="9"/>
      <c r="E99" s="49"/>
      <c r="F99" s="49"/>
      <c r="G99" s="9"/>
      <c r="H99" s="9"/>
      <c r="I99" s="9"/>
      <c r="J99" s="9"/>
      <c r="K99" s="9"/>
      <c r="L99" s="9"/>
      <c r="M99" s="9"/>
      <c r="N99" s="9"/>
      <c r="O99" s="50"/>
      <c r="P99" s="33"/>
      <c r="Q99" s="49"/>
      <c r="R99" s="49"/>
      <c r="S99" s="9"/>
      <c r="T99" s="9"/>
      <c r="U99" s="9"/>
      <c r="V99" s="9"/>
      <c r="W99" s="9"/>
      <c r="X99" s="9"/>
    </row>
    <row r="100" spans="1:24">
      <c r="A100" s="32"/>
      <c r="B100" s="32"/>
      <c r="C100" s="9"/>
      <c r="D100" s="9"/>
      <c r="E100" s="49"/>
      <c r="F100" s="49"/>
      <c r="G100" s="9"/>
      <c r="H100" s="9"/>
      <c r="I100" s="9"/>
      <c r="J100" s="9"/>
      <c r="K100" s="9"/>
      <c r="L100" s="9"/>
      <c r="M100" s="9"/>
      <c r="N100" s="9"/>
      <c r="O100" s="50"/>
      <c r="P100" s="33"/>
      <c r="Q100" s="49"/>
      <c r="R100" s="49"/>
      <c r="S100" s="9"/>
      <c r="T100" s="9"/>
      <c r="U100" s="9"/>
      <c r="V100" s="9"/>
      <c r="W100" s="9"/>
      <c r="X100" s="9"/>
    </row>
    <row r="101" spans="1:24">
      <c r="A101" s="9"/>
      <c r="B101" s="9"/>
      <c r="C101" s="9"/>
      <c r="D101" s="9"/>
      <c r="E101" s="49"/>
      <c r="F101" s="49"/>
      <c r="G101" s="9"/>
      <c r="H101" s="9"/>
      <c r="I101" s="9"/>
      <c r="J101" s="9"/>
      <c r="K101" s="9"/>
      <c r="L101" s="9"/>
      <c r="M101" s="9"/>
      <c r="N101" s="9"/>
      <c r="O101" s="50"/>
      <c r="P101" s="9"/>
      <c r="Q101" s="49"/>
      <c r="R101" s="49"/>
      <c r="S101" s="9"/>
      <c r="T101" s="9"/>
      <c r="U101" s="9"/>
      <c r="V101" s="9"/>
      <c r="W101" s="9"/>
      <c r="X101" s="9"/>
    </row>
    <row r="102" spans="1:24">
      <c r="A102" s="9"/>
      <c r="B102" s="9"/>
      <c r="C102" s="9"/>
      <c r="D102" s="9"/>
      <c r="E102" s="49"/>
      <c r="F102" s="49"/>
      <c r="G102" s="9"/>
      <c r="H102" s="9"/>
      <c r="I102" s="9"/>
      <c r="J102" s="9"/>
      <c r="K102" s="9"/>
      <c r="L102" s="9"/>
      <c r="M102" s="9"/>
      <c r="N102" s="9"/>
      <c r="O102" s="50"/>
      <c r="P102" s="9"/>
      <c r="Q102" s="49"/>
      <c r="R102" s="49"/>
      <c r="S102" s="9"/>
      <c r="T102" s="9"/>
      <c r="U102" s="9"/>
      <c r="V102" s="9"/>
      <c r="W102" s="9"/>
      <c r="X102" s="9"/>
    </row>
    <row r="103" spans="1:24">
      <c r="A103" s="9"/>
      <c r="B103" s="9"/>
      <c r="C103" s="9"/>
      <c r="D103" s="9"/>
      <c r="E103" s="49"/>
      <c r="F103" s="49"/>
      <c r="G103" s="9"/>
      <c r="H103" s="9"/>
      <c r="I103" s="9"/>
      <c r="J103" s="9"/>
      <c r="K103" s="9"/>
      <c r="L103" s="9"/>
      <c r="M103" s="9"/>
      <c r="N103" s="9"/>
      <c r="O103" s="50"/>
      <c r="P103" s="9"/>
      <c r="Q103" s="49"/>
      <c r="R103" s="49"/>
      <c r="S103" s="9"/>
      <c r="T103" s="9"/>
      <c r="U103" s="9"/>
      <c r="V103" s="9"/>
      <c r="W103" s="9"/>
      <c r="X103" s="9"/>
    </row>
    <row r="104" spans="1:24">
      <c r="A104" s="9"/>
      <c r="B104" s="9"/>
      <c r="C104" s="9"/>
      <c r="D104" s="9"/>
      <c r="E104" s="49"/>
      <c r="F104" s="49"/>
      <c r="G104" s="9"/>
      <c r="H104" s="9"/>
      <c r="I104" s="9"/>
      <c r="J104" s="9"/>
      <c r="K104" s="9"/>
      <c r="L104" s="9"/>
      <c r="M104" s="9"/>
      <c r="N104" s="9"/>
      <c r="O104" s="50"/>
      <c r="P104" s="9"/>
      <c r="Q104" s="49"/>
      <c r="R104" s="49"/>
      <c r="S104" s="9"/>
      <c r="T104" s="9"/>
      <c r="U104" s="9"/>
      <c r="V104" s="9"/>
      <c r="W104" s="9"/>
      <c r="X104" s="9"/>
    </row>
    <row r="105" spans="1:24">
      <c r="A105" s="9"/>
      <c r="B105" s="9"/>
      <c r="C105" s="9"/>
      <c r="D105" s="9"/>
      <c r="E105" s="49"/>
      <c r="F105" s="49"/>
      <c r="G105" s="9"/>
      <c r="H105" s="9"/>
      <c r="I105" s="9"/>
      <c r="J105" s="9"/>
      <c r="K105" s="9"/>
      <c r="L105" s="9"/>
      <c r="M105" s="9"/>
      <c r="N105" s="9"/>
      <c r="O105" s="50"/>
      <c r="P105" s="9"/>
      <c r="Q105" s="49"/>
      <c r="R105" s="49"/>
      <c r="S105" s="9"/>
      <c r="T105" s="9"/>
      <c r="U105" s="9"/>
      <c r="V105" s="9"/>
      <c r="W105" s="9"/>
      <c r="X105" s="9"/>
    </row>
    <row r="106" spans="1:24">
      <c r="A106" s="9"/>
      <c r="B106" s="9"/>
      <c r="C106" s="9"/>
      <c r="D106" s="9"/>
      <c r="E106" s="49"/>
      <c r="F106" s="49"/>
      <c r="G106" s="9"/>
      <c r="H106" s="9"/>
      <c r="I106" s="9"/>
      <c r="J106" s="9"/>
      <c r="K106" s="9"/>
      <c r="L106" s="9"/>
      <c r="M106" s="9"/>
      <c r="N106" s="9"/>
      <c r="O106" s="50"/>
      <c r="P106" s="9"/>
      <c r="Q106" s="49"/>
      <c r="R106" s="49"/>
      <c r="S106" s="9"/>
      <c r="T106" s="9"/>
      <c r="U106" s="9"/>
      <c r="V106" s="9"/>
      <c r="W106" s="9"/>
      <c r="X106" s="9"/>
    </row>
    <row r="107" spans="1:24">
      <c r="A107" s="9"/>
      <c r="B107" s="9"/>
      <c r="C107" s="9"/>
      <c r="D107" s="9"/>
      <c r="E107" s="49"/>
      <c r="F107" s="49"/>
      <c r="G107" s="9"/>
      <c r="H107" s="9"/>
      <c r="I107" s="9"/>
      <c r="J107" s="9"/>
      <c r="K107" s="9"/>
      <c r="L107" s="9"/>
      <c r="M107" s="9"/>
      <c r="N107" s="9"/>
      <c r="O107" s="50"/>
      <c r="P107" s="9"/>
      <c r="Q107" s="49"/>
      <c r="R107" s="49"/>
      <c r="S107" s="9"/>
      <c r="T107" s="9"/>
      <c r="U107" s="9"/>
      <c r="V107" s="9"/>
      <c r="W107" s="9"/>
      <c r="X107" s="9"/>
    </row>
    <row r="108" spans="1:24">
      <c r="A108" s="9"/>
      <c r="B108" s="9"/>
      <c r="C108" s="9"/>
      <c r="D108" s="9"/>
      <c r="E108" s="49"/>
      <c r="F108" s="49"/>
      <c r="G108" s="9"/>
      <c r="H108" s="9"/>
      <c r="I108" s="9"/>
      <c r="J108" s="9"/>
      <c r="K108" s="9"/>
      <c r="L108" s="9"/>
      <c r="M108" s="9"/>
      <c r="N108" s="9"/>
      <c r="O108" s="50"/>
      <c r="P108" s="9"/>
      <c r="Q108" s="49"/>
      <c r="R108" s="49"/>
      <c r="S108" s="9"/>
      <c r="T108" s="9"/>
      <c r="U108" s="9"/>
      <c r="V108" s="9"/>
      <c r="W108" s="9"/>
      <c r="X108" s="9"/>
    </row>
    <row r="109" spans="1:24">
      <c r="A109" s="9"/>
      <c r="B109" s="9"/>
      <c r="C109" s="9"/>
      <c r="D109" s="9"/>
      <c r="E109" s="49"/>
      <c r="F109" s="49"/>
      <c r="G109" s="9"/>
      <c r="H109" s="9"/>
      <c r="I109" s="9"/>
      <c r="J109" s="9"/>
      <c r="K109" s="9"/>
      <c r="L109" s="9"/>
      <c r="M109" s="9"/>
      <c r="N109" s="9"/>
      <c r="O109" s="50"/>
      <c r="P109" s="9"/>
      <c r="Q109" s="49"/>
      <c r="R109" s="49"/>
      <c r="S109" s="9"/>
      <c r="T109" s="9"/>
      <c r="U109" s="9"/>
      <c r="V109" s="9"/>
      <c r="W109" s="9"/>
      <c r="X109" s="9"/>
    </row>
    <row r="110" spans="1:24">
      <c r="A110" s="9"/>
      <c r="B110" s="9"/>
      <c r="C110" s="9"/>
      <c r="D110" s="9"/>
      <c r="E110" s="49"/>
      <c r="F110" s="49"/>
      <c r="G110" s="9"/>
      <c r="H110" s="9"/>
      <c r="I110" s="9"/>
      <c r="J110" s="9"/>
      <c r="K110" s="9"/>
      <c r="L110" s="9"/>
      <c r="M110" s="9"/>
      <c r="N110" s="9"/>
      <c r="O110" s="50"/>
      <c r="P110" s="9"/>
      <c r="Q110" s="49"/>
      <c r="R110" s="49"/>
      <c r="S110" s="9"/>
      <c r="T110" s="9"/>
      <c r="U110" s="9"/>
      <c r="V110" s="9"/>
      <c r="W110" s="9"/>
      <c r="X110" s="9"/>
    </row>
    <row r="111" spans="1:24">
      <c r="A111" s="9"/>
      <c r="B111" s="9"/>
      <c r="C111" s="9"/>
      <c r="D111" s="9"/>
      <c r="E111" s="49"/>
      <c r="F111" s="49"/>
      <c r="G111" s="9"/>
      <c r="H111" s="9"/>
      <c r="I111" s="9"/>
      <c r="J111" s="9"/>
      <c r="K111" s="9"/>
      <c r="L111" s="9"/>
      <c r="M111" s="9"/>
      <c r="N111" s="9"/>
      <c r="O111" s="50"/>
      <c r="P111" s="9"/>
      <c r="Q111" s="49"/>
      <c r="R111" s="49"/>
      <c r="S111" s="9"/>
      <c r="T111" s="9"/>
      <c r="U111" s="9"/>
      <c r="V111" s="9"/>
      <c r="W111" s="9"/>
      <c r="X111" s="9"/>
    </row>
    <row r="112" spans="1:24">
      <c r="A112" s="9"/>
      <c r="B112" s="9"/>
      <c r="C112" s="9"/>
      <c r="D112" s="9"/>
      <c r="E112" s="49"/>
      <c r="F112" s="49"/>
      <c r="G112" s="9"/>
      <c r="H112" s="9"/>
      <c r="I112" s="9"/>
      <c r="J112" s="9"/>
      <c r="K112" s="9"/>
      <c r="L112" s="9"/>
      <c r="M112" s="9"/>
      <c r="N112" s="9"/>
      <c r="O112" s="50"/>
      <c r="P112" s="9"/>
      <c r="Q112" s="49"/>
      <c r="R112" s="49"/>
      <c r="S112" s="9"/>
      <c r="T112" s="9"/>
      <c r="U112" s="9"/>
      <c r="V112" s="9"/>
      <c r="W112" s="9"/>
      <c r="X112" s="9"/>
    </row>
    <row r="113" spans="1:24">
      <c r="A113" s="9"/>
      <c r="B113" s="9"/>
      <c r="C113" s="9"/>
      <c r="D113" s="9"/>
      <c r="E113" s="49"/>
      <c r="F113" s="49"/>
      <c r="G113" s="9"/>
      <c r="H113" s="9"/>
      <c r="I113" s="9"/>
      <c r="J113" s="9"/>
      <c r="K113" s="9"/>
      <c r="L113" s="9"/>
      <c r="M113" s="9"/>
      <c r="N113" s="9"/>
      <c r="O113" s="50"/>
      <c r="P113" s="9"/>
      <c r="Q113" s="49"/>
      <c r="R113" s="49"/>
      <c r="S113" s="9"/>
      <c r="T113" s="9"/>
      <c r="U113" s="9"/>
      <c r="V113" s="9"/>
      <c r="W113" s="9"/>
      <c r="X113" s="9"/>
    </row>
    <row r="114" spans="1:24">
      <c r="A114" s="9"/>
      <c r="B114" s="9"/>
      <c r="C114" s="9"/>
      <c r="D114" s="9"/>
      <c r="E114" s="49"/>
      <c r="F114" s="49"/>
      <c r="G114" s="9"/>
      <c r="H114" s="9"/>
      <c r="I114" s="9"/>
      <c r="J114" s="9"/>
      <c r="K114" s="9"/>
      <c r="L114" s="9"/>
      <c r="M114" s="9"/>
      <c r="N114" s="9"/>
      <c r="O114" s="50"/>
      <c r="P114" s="9"/>
      <c r="Q114" s="49"/>
      <c r="R114" s="49"/>
      <c r="S114" s="9"/>
      <c r="T114" s="9"/>
      <c r="U114" s="9"/>
      <c r="V114" s="9"/>
      <c r="W114" s="9"/>
      <c r="X114" s="9"/>
    </row>
    <row r="115" spans="1:24">
      <c r="A115" s="9"/>
      <c r="B115" s="9"/>
      <c r="C115" s="9"/>
      <c r="D115" s="9"/>
      <c r="E115" s="49"/>
      <c r="F115" s="49"/>
      <c r="G115" s="9"/>
      <c r="H115" s="9"/>
      <c r="I115" s="9"/>
      <c r="J115" s="9"/>
      <c r="K115" s="9"/>
      <c r="L115" s="9"/>
      <c r="M115" s="9"/>
      <c r="N115" s="9"/>
      <c r="O115" s="50"/>
      <c r="P115" s="9"/>
      <c r="Q115" s="49"/>
      <c r="R115" s="49"/>
      <c r="S115" s="9"/>
      <c r="T115" s="9"/>
      <c r="U115" s="9"/>
      <c r="V115" s="9"/>
      <c r="W115" s="9"/>
      <c r="X115" s="9"/>
    </row>
    <row r="116" spans="1:24">
      <c r="A116" s="9"/>
      <c r="B116" s="9"/>
      <c r="C116" s="9"/>
      <c r="D116" s="9"/>
      <c r="E116" s="49"/>
      <c r="F116" s="49"/>
      <c r="G116" s="9"/>
      <c r="H116" s="9"/>
      <c r="I116" s="9"/>
      <c r="J116" s="9"/>
      <c r="K116" s="9"/>
      <c r="L116" s="9"/>
      <c r="M116" s="9"/>
      <c r="N116" s="9"/>
      <c r="O116" s="50"/>
      <c r="P116" s="9"/>
      <c r="Q116" s="49"/>
      <c r="R116" s="49"/>
      <c r="S116" s="9"/>
      <c r="T116" s="9"/>
      <c r="U116" s="9"/>
      <c r="V116" s="9"/>
      <c r="W116" s="9"/>
      <c r="X116" s="9"/>
    </row>
    <row r="117" spans="1:24">
      <c r="A117" s="9"/>
      <c r="B117" s="9"/>
      <c r="C117" s="9"/>
      <c r="D117" s="9"/>
      <c r="E117" s="49"/>
      <c r="F117" s="49"/>
      <c r="G117" s="9"/>
      <c r="H117" s="9"/>
      <c r="I117" s="9"/>
      <c r="J117" s="9"/>
      <c r="K117" s="9"/>
      <c r="L117" s="9"/>
      <c r="M117" s="9"/>
      <c r="N117" s="9"/>
      <c r="O117" s="50"/>
      <c r="P117" s="9"/>
      <c r="Q117" s="49"/>
      <c r="R117" s="49"/>
      <c r="S117" s="9"/>
      <c r="T117" s="9"/>
      <c r="U117" s="9"/>
      <c r="V117" s="9"/>
      <c r="W117" s="9"/>
      <c r="X117" s="9"/>
    </row>
    <row r="118" spans="1:24">
      <c r="A118" s="9"/>
      <c r="B118" s="9"/>
      <c r="C118" s="9"/>
      <c r="D118" s="9"/>
      <c r="E118" s="49"/>
      <c r="F118" s="49"/>
      <c r="G118" s="9"/>
      <c r="H118" s="9"/>
      <c r="I118" s="9"/>
      <c r="J118" s="9"/>
      <c r="K118" s="9"/>
      <c r="L118" s="9"/>
      <c r="M118" s="9"/>
      <c r="N118" s="9"/>
      <c r="O118" s="50"/>
      <c r="P118" s="9"/>
      <c r="Q118" s="49"/>
      <c r="R118" s="49"/>
      <c r="S118" s="9"/>
      <c r="T118" s="9"/>
      <c r="U118" s="9"/>
      <c r="V118" s="9"/>
      <c r="W118" s="9"/>
      <c r="X118" s="9"/>
    </row>
    <row r="119" spans="1:24">
      <c r="A119" s="9"/>
      <c r="B119" s="9"/>
      <c r="C119" s="9"/>
      <c r="D119" s="9"/>
      <c r="E119" s="49"/>
      <c r="F119" s="49"/>
      <c r="G119" s="9"/>
      <c r="H119" s="9"/>
      <c r="I119" s="9"/>
      <c r="J119" s="9"/>
      <c r="K119" s="9"/>
      <c r="L119" s="9"/>
      <c r="M119" s="9"/>
      <c r="N119" s="9"/>
      <c r="O119" s="50"/>
      <c r="P119" s="9"/>
      <c r="Q119" s="49"/>
      <c r="R119" s="49"/>
      <c r="S119" s="9"/>
      <c r="T119" s="9"/>
      <c r="U119" s="9"/>
      <c r="V119" s="9"/>
      <c r="W119" s="9"/>
      <c r="X119" s="9"/>
    </row>
    <row r="120" spans="1:24">
      <c r="A120" s="9"/>
      <c r="B120" s="9"/>
      <c r="C120" s="9"/>
      <c r="D120" s="9"/>
      <c r="E120" s="49"/>
      <c r="F120" s="49"/>
      <c r="G120" s="9"/>
      <c r="H120" s="9"/>
      <c r="I120" s="9"/>
      <c r="J120" s="9"/>
      <c r="K120" s="9"/>
      <c r="L120" s="9"/>
      <c r="M120" s="9"/>
      <c r="N120" s="9"/>
      <c r="O120" s="50"/>
      <c r="P120" s="9"/>
      <c r="Q120" s="49"/>
      <c r="R120" s="49"/>
      <c r="S120" s="9"/>
      <c r="T120" s="9"/>
      <c r="U120" s="9"/>
      <c r="V120" s="9"/>
      <c r="W120" s="9"/>
      <c r="X120" s="9"/>
    </row>
    <row r="121" spans="1:24">
      <c r="A121" s="9"/>
      <c r="B121" s="9"/>
      <c r="C121" s="9"/>
      <c r="D121" s="9"/>
      <c r="E121" s="49"/>
      <c r="F121" s="49"/>
      <c r="G121" s="9"/>
      <c r="H121" s="9"/>
      <c r="I121" s="9"/>
      <c r="J121" s="9"/>
      <c r="K121" s="9"/>
      <c r="L121" s="9"/>
      <c r="M121" s="9"/>
      <c r="N121" s="9"/>
      <c r="O121" s="50"/>
      <c r="P121" s="9"/>
      <c r="Q121" s="49"/>
      <c r="R121" s="49"/>
      <c r="S121" s="9"/>
      <c r="T121" s="9"/>
      <c r="U121" s="9"/>
      <c r="V121" s="9"/>
      <c r="W121" s="9"/>
      <c r="X121" s="9"/>
    </row>
    <row r="122" spans="1:24">
      <c r="A122" s="9"/>
      <c r="B122" s="9"/>
      <c r="C122" s="9"/>
      <c r="D122" s="9"/>
      <c r="E122" s="49"/>
      <c r="F122" s="49"/>
      <c r="G122" s="9"/>
      <c r="H122" s="9"/>
      <c r="I122" s="9"/>
      <c r="J122" s="9"/>
      <c r="K122" s="9"/>
      <c r="L122" s="9"/>
      <c r="M122" s="9"/>
      <c r="N122" s="9"/>
      <c r="O122" s="50"/>
      <c r="P122" s="9"/>
      <c r="Q122" s="49"/>
      <c r="R122" s="49"/>
      <c r="S122" s="9"/>
      <c r="T122" s="9"/>
      <c r="U122" s="9"/>
      <c r="V122" s="9"/>
      <c r="W122" s="9"/>
      <c r="X122" s="9"/>
    </row>
    <row r="123" spans="1:24">
      <c r="A123" s="9"/>
      <c r="B123" s="9"/>
      <c r="C123" s="9"/>
      <c r="D123" s="9"/>
      <c r="E123" s="49"/>
      <c r="F123" s="49"/>
      <c r="G123" s="9"/>
      <c r="H123" s="9"/>
      <c r="I123" s="9"/>
      <c r="J123" s="9"/>
      <c r="K123" s="9"/>
      <c r="L123" s="9"/>
      <c r="M123" s="9"/>
      <c r="N123" s="9"/>
      <c r="O123" s="50"/>
      <c r="P123" s="9"/>
      <c r="Q123" s="49"/>
      <c r="R123" s="49"/>
      <c r="S123" s="9"/>
      <c r="T123" s="9"/>
      <c r="U123" s="9"/>
      <c r="V123" s="9"/>
      <c r="W123" s="9"/>
      <c r="X123" s="9"/>
    </row>
    <row r="124" spans="1:24">
      <c r="A124" s="9"/>
      <c r="B124" s="9"/>
      <c r="C124" s="9"/>
      <c r="D124" s="9"/>
      <c r="E124" s="49"/>
      <c r="F124" s="49"/>
      <c r="G124" s="9"/>
      <c r="H124" s="9"/>
      <c r="I124" s="9"/>
      <c r="J124" s="9"/>
      <c r="K124" s="9"/>
      <c r="L124" s="9"/>
      <c r="M124" s="9"/>
      <c r="N124" s="9"/>
      <c r="O124" s="50"/>
      <c r="P124" s="9"/>
      <c r="Q124" s="49"/>
      <c r="R124" s="49"/>
      <c r="S124" s="9"/>
      <c r="T124" s="9"/>
      <c r="U124" s="9"/>
      <c r="V124" s="9"/>
      <c r="W124" s="9"/>
      <c r="X124" s="9"/>
    </row>
    <row r="125" spans="1:24">
      <c r="A125" s="9"/>
      <c r="B125" s="9"/>
      <c r="C125" s="9"/>
      <c r="D125" s="9"/>
      <c r="E125" s="49"/>
      <c r="F125" s="49"/>
      <c r="G125" s="9"/>
      <c r="H125" s="9"/>
      <c r="I125" s="9"/>
      <c r="J125" s="9"/>
      <c r="K125" s="9"/>
      <c r="L125" s="9"/>
      <c r="M125" s="9"/>
      <c r="N125" s="9"/>
      <c r="O125" s="50"/>
      <c r="P125" s="9"/>
      <c r="Q125" s="49"/>
      <c r="R125" s="49"/>
      <c r="S125" s="9"/>
      <c r="T125" s="9"/>
      <c r="U125" s="9"/>
      <c r="V125" s="9"/>
      <c r="W125" s="9"/>
      <c r="X125" s="9"/>
    </row>
    <row r="126" spans="1:24">
      <c r="A126" s="9"/>
      <c r="B126" s="9"/>
      <c r="C126" s="9"/>
      <c r="D126" s="9"/>
      <c r="E126" s="49"/>
      <c r="F126" s="49"/>
      <c r="G126" s="9"/>
      <c r="H126" s="9"/>
      <c r="I126" s="9"/>
      <c r="J126" s="9"/>
      <c r="K126" s="9"/>
      <c r="L126" s="9"/>
      <c r="M126" s="9"/>
      <c r="N126" s="9"/>
      <c r="O126" s="50"/>
      <c r="P126" s="9"/>
      <c r="Q126" s="49"/>
      <c r="R126" s="49"/>
      <c r="S126" s="9"/>
      <c r="T126" s="9"/>
      <c r="U126" s="9"/>
      <c r="V126" s="9"/>
      <c r="W126" s="9"/>
      <c r="X126" s="9"/>
    </row>
    <row r="127" spans="1:24">
      <c r="A127" s="9"/>
      <c r="B127" s="9"/>
      <c r="C127" s="9"/>
      <c r="D127" s="9"/>
      <c r="E127" s="49"/>
      <c r="F127" s="49"/>
      <c r="G127" s="9"/>
      <c r="H127" s="9"/>
      <c r="I127" s="9"/>
      <c r="J127" s="9"/>
      <c r="K127" s="9"/>
      <c r="L127" s="9"/>
      <c r="M127" s="9"/>
      <c r="N127" s="9"/>
      <c r="O127" s="50"/>
      <c r="P127" s="9"/>
      <c r="Q127" s="49"/>
      <c r="R127" s="49"/>
      <c r="S127" s="9"/>
      <c r="T127" s="9"/>
      <c r="U127" s="9"/>
      <c r="V127" s="9"/>
      <c r="W127" s="9"/>
      <c r="X127" s="9"/>
    </row>
    <row r="128" spans="1:24">
      <c r="A128" s="9"/>
      <c r="B128" s="9"/>
      <c r="C128" s="9"/>
      <c r="D128" s="9"/>
      <c r="E128" s="49"/>
      <c r="F128" s="49"/>
      <c r="G128" s="9"/>
      <c r="H128" s="9"/>
      <c r="I128" s="9"/>
      <c r="J128" s="9"/>
      <c r="K128" s="9"/>
      <c r="L128" s="9"/>
      <c r="M128" s="9"/>
      <c r="N128" s="9"/>
      <c r="O128" s="50"/>
      <c r="P128" s="9"/>
      <c r="Q128" s="49"/>
      <c r="R128" s="49"/>
      <c r="S128" s="9"/>
      <c r="T128" s="9"/>
      <c r="U128" s="9"/>
      <c r="V128" s="9"/>
      <c r="W128" s="9"/>
      <c r="X128" s="9"/>
    </row>
    <row r="129" spans="1:24">
      <c r="A129" s="9"/>
      <c r="B129" s="9"/>
      <c r="C129" s="9"/>
      <c r="D129" s="9"/>
      <c r="E129" s="49"/>
      <c r="F129" s="49"/>
      <c r="G129" s="9"/>
      <c r="H129" s="9"/>
      <c r="I129" s="9"/>
      <c r="J129" s="9"/>
      <c r="K129" s="9"/>
      <c r="L129" s="9"/>
      <c r="M129" s="9"/>
      <c r="N129" s="9"/>
      <c r="O129" s="50"/>
      <c r="P129" s="9"/>
      <c r="Q129" s="49"/>
      <c r="R129" s="49"/>
      <c r="S129" s="9"/>
      <c r="T129" s="9"/>
      <c r="U129" s="9"/>
      <c r="V129" s="9"/>
      <c r="W129" s="9"/>
      <c r="X129" s="9"/>
    </row>
    <row r="130" spans="1:24">
      <c r="A130" s="9"/>
      <c r="B130" s="9"/>
      <c r="C130" s="9"/>
      <c r="D130" s="9"/>
      <c r="E130" s="49"/>
      <c r="F130" s="49"/>
      <c r="G130" s="9"/>
      <c r="H130" s="9"/>
      <c r="I130" s="9"/>
      <c r="J130" s="9"/>
      <c r="K130" s="9"/>
      <c r="L130" s="9"/>
      <c r="M130" s="9"/>
      <c r="N130" s="9"/>
      <c r="O130" s="50"/>
      <c r="P130" s="9"/>
      <c r="Q130" s="49"/>
      <c r="R130" s="49"/>
      <c r="S130" s="9"/>
      <c r="T130" s="9"/>
      <c r="U130" s="9"/>
      <c r="V130" s="9"/>
      <c r="W130" s="9"/>
      <c r="X130" s="9"/>
    </row>
    <row r="131" spans="1:24">
      <c r="A131" s="9"/>
      <c r="B131" s="9"/>
      <c r="C131" s="9"/>
      <c r="D131" s="9"/>
      <c r="E131" s="49"/>
      <c r="F131" s="49"/>
      <c r="G131" s="9"/>
      <c r="H131" s="9"/>
      <c r="I131" s="9"/>
      <c r="J131" s="9"/>
      <c r="K131" s="9"/>
      <c r="L131" s="9"/>
      <c r="M131" s="9"/>
      <c r="N131" s="9"/>
      <c r="O131" s="50"/>
      <c r="P131" s="9"/>
      <c r="Q131" s="49"/>
      <c r="R131" s="49"/>
      <c r="S131" s="9"/>
      <c r="T131" s="9"/>
      <c r="U131" s="9"/>
      <c r="V131" s="9"/>
      <c r="W131" s="9"/>
      <c r="X131" s="9"/>
    </row>
    <row r="132" spans="1:24">
      <c r="A132" s="9"/>
      <c r="B132" s="9"/>
      <c r="C132" s="9"/>
      <c r="D132" s="9"/>
      <c r="E132" s="49"/>
      <c r="F132" s="49"/>
      <c r="G132" s="9"/>
      <c r="H132" s="9"/>
      <c r="I132" s="9"/>
      <c r="J132" s="9"/>
      <c r="K132" s="9"/>
      <c r="L132" s="9"/>
      <c r="M132" s="9"/>
      <c r="N132" s="9"/>
      <c r="O132" s="50"/>
      <c r="P132" s="9"/>
      <c r="Q132" s="49"/>
      <c r="R132" s="49"/>
      <c r="S132" s="9"/>
      <c r="T132" s="9"/>
      <c r="U132" s="9"/>
      <c r="V132" s="9"/>
      <c r="W132" s="9"/>
      <c r="X132" s="9"/>
    </row>
    <row r="133" spans="1:24">
      <c r="A133" s="9"/>
      <c r="B133" s="9"/>
      <c r="C133" s="9"/>
      <c r="D133" s="9"/>
      <c r="E133" s="49"/>
      <c r="F133" s="49"/>
      <c r="G133" s="9"/>
      <c r="H133" s="9"/>
      <c r="I133" s="9"/>
      <c r="J133" s="9"/>
      <c r="K133" s="9"/>
      <c r="L133" s="9"/>
      <c r="M133" s="9"/>
      <c r="N133" s="9"/>
      <c r="O133" s="50"/>
      <c r="P133" s="9"/>
      <c r="Q133" s="49"/>
      <c r="R133" s="49"/>
      <c r="S133" s="9"/>
      <c r="T133" s="9"/>
      <c r="U133" s="9"/>
      <c r="V133" s="9"/>
      <c r="W133" s="9"/>
      <c r="X133" s="9"/>
    </row>
    <row r="134" spans="1:24">
      <c r="A134" s="9"/>
      <c r="B134" s="9"/>
      <c r="C134" s="9"/>
      <c r="D134" s="9"/>
      <c r="E134" s="49"/>
      <c r="F134" s="49"/>
      <c r="G134" s="9"/>
      <c r="H134" s="9"/>
      <c r="I134" s="9"/>
      <c r="J134" s="9"/>
      <c r="K134" s="9"/>
      <c r="L134" s="9"/>
      <c r="M134" s="9"/>
      <c r="N134" s="9"/>
      <c r="O134" s="50"/>
      <c r="P134" s="9"/>
      <c r="Q134" s="49"/>
      <c r="R134" s="49"/>
      <c r="S134" s="9"/>
      <c r="T134" s="9"/>
      <c r="U134" s="9"/>
      <c r="V134" s="9"/>
      <c r="W134" s="9"/>
      <c r="X134" s="9"/>
    </row>
    <row r="135" spans="1:24">
      <c r="A135" s="9"/>
      <c r="B135" s="9"/>
      <c r="C135" s="9"/>
      <c r="D135" s="9"/>
      <c r="E135" s="49"/>
      <c r="F135" s="49"/>
      <c r="G135" s="9"/>
      <c r="H135" s="9"/>
      <c r="I135" s="9"/>
      <c r="J135" s="9"/>
      <c r="K135" s="9"/>
      <c r="L135" s="9"/>
      <c r="M135" s="9"/>
      <c r="N135" s="9"/>
      <c r="O135" s="50"/>
      <c r="P135" s="9"/>
      <c r="Q135" s="49"/>
      <c r="R135" s="49"/>
      <c r="S135" s="9"/>
      <c r="T135" s="9"/>
      <c r="U135" s="9"/>
      <c r="V135" s="9"/>
      <c r="W135" s="9"/>
      <c r="X135" s="9"/>
    </row>
    <row r="136" spans="1:24">
      <c r="A136" s="9"/>
      <c r="B136" s="9"/>
      <c r="C136" s="9"/>
      <c r="D136" s="9"/>
      <c r="E136" s="49"/>
      <c r="F136" s="49"/>
      <c r="G136" s="9"/>
      <c r="H136" s="9"/>
      <c r="I136" s="9"/>
      <c r="J136" s="9"/>
      <c r="K136" s="9"/>
      <c r="L136" s="9"/>
      <c r="M136" s="9"/>
      <c r="N136" s="9"/>
      <c r="O136" s="50"/>
      <c r="P136" s="9"/>
      <c r="Q136" s="49"/>
      <c r="R136" s="49"/>
      <c r="S136" s="9"/>
      <c r="T136" s="9"/>
      <c r="U136" s="9"/>
      <c r="V136" s="9"/>
      <c r="W136" s="9"/>
      <c r="X136" s="9"/>
    </row>
    <row r="137" spans="1:24">
      <c r="A137" s="9"/>
      <c r="B137" s="9"/>
      <c r="C137" s="9"/>
      <c r="D137" s="9"/>
      <c r="E137" s="49"/>
      <c r="F137" s="49"/>
      <c r="G137" s="9"/>
      <c r="H137" s="9"/>
      <c r="I137" s="9"/>
      <c r="J137" s="9"/>
      <c r="K137" s="9"/>
      <c r="L137" s="9"/>
      <c r="M137" s="9"/>
      <c r="N137" s="9"/>
      <c r="O137" s="50"/>
      <c r="P137" s="9"/>
      <c r="Q137" s="49"/>
      <c r="R137" s="49"/>
      <c r="S137" s="9"/>
      <c r="T137" s="9"/>
      <c r="U137" s="9"/>
      <c r="V137" s="9"/>
      <c r="W137" s="9"/>
      <c r="X137" s="9"/>
    </row>
    <row r="138" spans="1:24">
      <c r="A138" s="9"/>
      <c r="B138" s="9"/>
      <c r="C138" s="9"/>
      <c r="D138" s="9"/>
      <c r="E138" s="49"/>
      <c r="F138" s="49"/>
      <c r="G138" s="9"/>
      <c r="H138" s="9"/>
      <c r="I138" s="9"/>
      <c r="J138" s="9"/>
      <c r="K138" s="9"/>
      <c r="L138" s="9"/>
      <c r="M138" s="9"/>
      <c r="N138" s="9"/>
      <c r="O138" s="50"/>
      <c r="P138" s="9"/>
      <c r="Q138" s="49"/>
      <c r="R138" s="49"/>
      <c r="S138" s="9"/>
      <c r="T138" s="9"/>
      <c r="U138" s="9"/>
      <c r="V138" s="9"/>
      <c r="W138" s="9"/>
      <c r="X138" s="9"/>
    </row>
    <row r="139" spans="1:24">
      <c r="A139" s="9"/>
      <c r="B139" s="9"/>
      <c r="C139" s="9"/>
      <c r="D139" s="9"/>
      <c r="E139" s="49"/>
      <c r="F139" s="49"/>
      <c r="G139" s="9"/>
      <c r="H139" s="9"/>
      <c r="I139" s="9"/>
      <c r="J139" s="9"/>
      <c r="K139" s="9"/>
      <c r="L139" s="9"/>
      <c r="M139" s="9"/>
      <c r="N139" s="9"/>
      <c r="O139" s="50"/>
      <c r="P139" s="9"/>
      <c r="Q139" s="49"/>
      <c r="R139" s="49"/>
      <c r="S139" s="9"/>
      <c r="T139" s="9"/>
      <c r="U139" s="9"/>
      <c r="V139" s="9"/>
      <c r="W139" s="9"/>
      <c r="X139" s="9"/>
    </row>
    <row r="140" spans="1:24">
      <c r="A140" s="9"/>
      <c r="B140" s="9"/>
      <c r="C140" s="9"/>
      <c r="D140" s="9"/>
      <c r="E140" s="49"/>
      <c r="F140" s="49"/>
      <c r="G140" s="9"/>
      <c r="H140" s="9"/>
      <c r="I140" s="9"/>
      <c r="J140" s="9"/>
      <c r="K140" s="9"/>
      <c r="L140" s="9"/>
      <c r="M140" s="9"/>
      <c r="N140" s="9"/>
      <c r="O140" s="50"/>
      <c r="P140" s="9"/>
      <c r="Q140" s="49"/>
      <c r="R140" s="49"/>
      <c r="S140" s="9"/>
      <c r="T140" s="9"/>
      <c r="U140" s="9"/>
      <c r="V140" s="9"/>
      <c r="W140" s="9"/>
      <c r="X140" s="9"/>
    </row>
    <row r="141" spans="1:24">
      <c r="A141" s="9"/>
      <c r="B141" s="9"/>
      <c r="C141" s="9"/>
      <c r="D141" s="9"/>
      <c r="E141" s="49"/>
      <c r="F141" s="49"/>
      <c r="G141" s="9"/>
      <c r="H141" s="9"/>
      <c r="I141" s="9"/>
      <c r="J141" s="9"/>
      <c r="K141" s="9"/>
      <c r="L141" s="9"/>
      <c r="M141" s="9"/>
      <c r="N141" s="9"/>
      <c r="O141" s="50"/>
      <c r="P141" s="9"/>
      <c r="Q141" s="49"/>
      <c r="R141" s="49"/>
      <c r="S141" s="9"/>
      <c r="T141" s="9"/>
      <c r="U141" s="9"/>
      <c r="V141" s="9"/>
      <c r="W141" s="9"/>
      <c r="X141" s="9"/>
    </row>
    <row r="142" spans="1:24">
      <c r="A142" s="9"/>
      <c r="B142" s="9"/>
      <c r="C142" s="9"/>
      <c r="D142" s="9"/>
      <c r="E142" s="49"/>
      <c r="F142" s="49"/>
      <c r="G142" s="9"/>
      <c r="H142" s="9"/>
      <c r="I142" s="9"/>
      <c r="J142" s="9"/>
      <c r="K142" s="9"/>
      <c r="L142" s="9"/>
      <c r="M142" s="9"/>
      <c r="N142" s="9"/>
      <c r="O142" s="50"/>
      <c r="P142" s="9"/>
      <c r="Q142" s="49"/>
      <c r="R142" s="49"/>
      <c r="S142" s="9"/>
      <c r="T142" s="9"/>
      <c r="U142" s="9"/>
      <c r="V142" s="9"/>
      <c r="W142" s="9"/>
      <c r="X142" s="9"/>
    </row>
    <row r="143" spans="1:24">
      <c r="A143" s="9"/>
      <c r="B143" s="9"/>
      <c r="C143" s="9"/>
      <c r="D143" s="9"/>
      <c r="E143" s="49"/>
      <c r="F143" s="49"/>
      <c r="G143" s="9"/>
      <c r="H143" s="9"/>
      <c r="I143" s="9"/>
      <c r="J143" s="9"/>
      <c r="K143" s="9"/>
      <c r="L143" s="9"/>
      <c r="M143" s="9"/>
      <c r="N143" s="9"/>
      <c r="O143" s="50"/>
      <c r="P143" s="9"/>
      <c r="Q143" s="49"/>
      <c r="R143" s="49"/>
      <c r="S143" s="9"/>
      <c r="T143" s="9"/>
      <c r="U143" s="9"/>
      <c r="V143" s="9"/>
      <c r="W143" s="9"/>
      <c r="X143" s="9"/>
    </row>
    <row r="144" spans="1:24">
      <c r="A144" s="9"/>
      <c r="B144" s="9"/>
      <c r="C144" s="9"/>
      <c r="D144" s="9"/>
      <c r="E144" s="49"/>
      <c r="F144" s="49"/>
      <c r="G144" s="9"/>
      <c r="H144" s="9"/>
      <c r="I144" s="9"/>
      <c r="J144" s="9"/>
      <c r="K144" s="9"/>
      <c r="L144" s="9"/>
      <c r="M144" s="9"/>
      <c r="N144" s="9"/>
      <c r="O144" s="50"/>
      <c r="P144" s="9"/>
      <c r="Q144" s="49"/>
      <c r="R144" s="49"/>
      <c r="S144" s="9"/>
      <c r="T144" s="9"/>
      <c r="U144" s="9"/>
      <c r="V144" s="9"/>
      <c r="W144" s="9"/>
      <c r="X144" s="9"/>
    </row>
    <row r="145" spans="1:24">
      <c r="A145" s="9"/>
      <c r="B145" s="9"/>
      <c r="C145" s="9"/>
      <c r="D145" s="9"/>
      <c r="E145" s="49"/>
      <c r="F145" s="49"/>
      <c r="G145" s="9"/>
      <c r="H145" s="9"/>
      <c r="I145" s="9"/>
      <c r="J145" s="9"/>
      <c r="K145" s="9"/>
      <c r="L145" s="9"/>
      <c r="M145" s="9"/>
      <c r="N145" s="9"/>
      <c r="O145" s="50"/>
      <c r="P145" s="9"/>
      <c r="Q145" s="49"/>
      <c r="R145" s="49"/>
      <c r="S145" s="9"/>
      <c r="T145" s="9"/>
      <c r="U145" s="9"/>
      <c r="V145" s="9"/>
      <c r="W145" s="9"/>
      <c r="X145" s="9"/>
    </row>
    <row r="146" spans="1:24">
      <c r="A146" s="9"/>
      <c r="B146" s="9"/>
      <c r="C146" s="9"/>
      <c r="D146" s="9"/>
      <c r="E146" s="49"/>
      <c r="F146" s="49"/>
      <c r="G146" s="9"/>
      <c r="H146" s="9"/>
      <c r="I146" s="9"/>
      <c r="J146" s="9"/>
      <c r="K146" s="9"/>
      <c r="L146" s="9"/>
      <c r="M146" s="9"/>
      <c r="N146" s="9"/>
      <c r="O146" s="50"/>
      <c r="P146" s="9"/>
      <c r="Q146" s="49"/>
      <c r="R146" s="49"/>
      <c r="S146" s="9"/>
      <c r="T146" s="9"/>
      <c r="U146" s="9"/>
      <c r="V146" s="9"/>
      <c r="W146" s="9"/>
      <c r="X146" s="9"/>
    </row>
    <row r="147" spans="1:24">
      <c r="A147" s="9"/>
      <c r="B147" s="9"/>
      <c r="C147" s="9"/>
      <c r="D147" s="9"/>
      <c r="E147" s="49"/>
      <c r="F147" s="49"/>
      <c r="G147" s="9"/>
      <c r="H147" s="9"/>
      <c r="I147" s="9"/>
      <c r="J147" s="9"/>
      <c r="K147" s="9"/>
      <c r="L147" s="9"/>
      <c r="M147" s="9"/>
      <c r="N147" s="9"/>
      <c r="O147" s="50"/>
      <c r="P147" s="9"/>
      <c r="Q147" s="49"/>
      <c r="R147" s="49"/>
      <c r="S147" s="9"/>
      <c r="T147" s="9"/>
      <c r="U147" s="9"/>
      <c r="V147" s="9"/>
      <c r="W147" s="9"/>
      <c r="X147" s="9"/>
    </row>
    <row r="148" spans="1:24">
      <c r="A148" s="9"/>
      <c r="B148" s="9"/>
      <c r="C148" s="9"/>
      <c r="D148" s="9"/>
      <c r="E148" s="49"/>
      <c r="F148" s="49"/>
      <c r="G148" s="9"/>
      <c r="H148" s="9"/>
      <c r="I148" s="9"/>
      <c r="J148" s="9"/>
      <c r="K148" s="9"/>
      <c r="L148" s="9"/>
      <c r="M148" s="9"/>
      <c r="N148" s="9"/>
      <c r="O148" s="50"/>
      <c r="P148" s="9"/>
      <c r="Q148" s="49"/>
      <c r="R148" s="49"/>
      <c r="S148" s="9"/>
      <c r="T148" s="9"/>
      <c r="U148" s="9"/>
      <c r="V148" s="9"/>
      <c r="W148" s="9"/>
      <c r="X148" s="9"/>
    </row>
    <row r="149" spans="1:24">
      <c r="A149" s="9"/>
      <c r="B149" s="9"/>
      <c r="C149" s="9"/>
      <c r="D149" s="9"/>
      <c r="E149" s="49"/>
      <c r="F149" s="49"/>
      <c r="G149" s="9"/>
      <c r="H149" s="9"/>
      <c r="I149" s="9"/>
      <c r="J149" s="9"/>
      <c r="K149" s="9"/>
      <c r="L149" s="9"/>
      <c r="M149" s="9"/>
      <c r="N149" s="9"/>
      <c r="O149" s="50"/>
      <c r="P149" s="9"/>
      <c r="Q149" s="49"/>
      <c r="R149" s="49"/>
      <c r="S149" s="9"/>
      <c r="T149" s="9"/>
      <c r="U149" s="9"/>
      <c r="V149" s="9"/>
      <c r="W149" s="9"/>
      <c r="X149" s="9"/>
    </row>
    <row r="150" spans="1:24">
      <c r="A150" s="9"/>
      <c r="B150" s="9"/>
      <c r="C150" s="9"/>
      <c r="D150" s="9"/>
      <c r="E150" s="49"/>
      <c r="F150" s="49"/>
      <c r="G150" s="9"/>
      <c r="H150" s="9"/>
      <c r="I150" s="9"/>
      <c r="J150" s="9"/>
      <c r="K150" s="9"/>
      <c r="L150" s="9"/>
      <c r="M150" s="9"/>
      <c r="N150" s="9"/>
      <c r="O150" s="50"/>
      <c r="P150" s="9"/>
      <c r="Q150" s="49"/>
      <c r="R150" s="49"/>
      <c r="S150" s="9"/>
      <c r="T150" s="9"/>
      <c r="U150" s="9"/>
      <c r="V150" s="9"/>
      <c r="W150" s="9"/>
      <c r="X150" s="9"/>
    </row>
    <row r="151" spans="1:24">
      <c r="A151" s="9"/>
      <c r="B151" s="9"/>
      <c r="C151" s="9"/>
      <c r="D151" s="9"/>
      <c r="E151" s="49"/>
      <c r="F151" s="49"/>
      <c r="G151" s="9"/>
      <c r="H151" s="9"/>
      <c r="I151" s="9"/>
      <c r="J151" s="9"/>
      <c r="K151" s="9"/>
      <c r="L151" s="9"/>
      <c r="M151" s="9"/>
      <c r="N151" s="9"/>
      <c r="O151" s="50"/>
      <c r="P151" s="9"/>
      <c r="Q151" s="49"/>
      <c r="R151" s="49"/>
      <c r="S151" s="9"/>
      <c r="T151" s="9"/>
      <c r="U151" s="9"/>
      <c r="V151" s="9"/>
      <c r="W151" s="9"/>
      <c r="X151" s="9"/>
    </row>
    <row r="152" spans="1:24">
      <c r="A152" s="9"/>
      <c r="B152" s="9"/>
      <c r="C152" s="9"/>
      <c r="D152" s="9"/>
      <c r="E152" s="49"/>
      <c r="F152" s="49"/>
      <c r="G152" s="9"/>
      <c r="H152" s="9"/>
      <c r="I152" s="9"/>
      <c r="J152" s="9"/>
      <c r="K152" s="9"/>
      <c r="L152" s="9"/>
      <c r="M152" s="9"/>
      <c r="N152" s="9"/>
      <c r="O152" s="50"/>
      <c r="P152" s="9"/>
      <c r="Q152" s="49"/>
      <c r="R152" s="49"/>
      <c r="S152" s="9"/>
      <c r="T152" s="9"/>
      <c r="U152" s="9"/>
      <c r="V152" s="9"/>
      <c r="W152" s="9"/>
      <c r="X152" s="9"/>
    </row>
    <row r="153" spans="1:24">
      <c r="A153" s="9"/>
      <c r="B153" s="9"/>
      <c r="C153" s="9"/>
      <c r="D153" s="9"/>
      <c r="E153" s="49"/>
      <c r="F153" s="49"/>
      <c r="G153" s="9"/>
      <c r="H153" s="9"/>
      <c r="I153" s="9"/>
      <c r="J153" s="9"/>
      <c r="K153" s="9"/>
      <c r="L153" s="9"/>
      <c r="M153" s="9"/>
      <c r="N153" s="9"/>
      <c r="O153" s="50"/>
      <c r="P153" s="9"/>
      <c r="Q153" s="49"/>
      <c r="R153" s="49"/>
      <c r="S153" s="9"/>
      <c r="T153" s="9"/>
      <c r="U153" s="9"/>
      <c r="V153" s="9"/>
      <c r="W153" s="9"/>
      <c r="X153" s="9"/>
    </row>
    <row r="154" spans="1:24">
      <c r="A154" s="9"/>
      <c r="B154" s="9"/>
      <c r="C154" s="9"/>
      <c r="D154" s="9"/>
      <c r="E154" s="49"/>
      <c r="F154" s="49"/>
      <c r="G154" s="9"/>
      <c r="H154" s="9"/>
      <c r="I154" s="9"/>
      <c r="J154" s="9"/>
      <c r="K154" s="9"/>
      <c r="L154" s="9"/>
      <c r="M154" s="9"/>
      <c r="N154" s="9"/>
      <c r="O154" s="50"/>
      <c r="P154" s="9"/>
      <c r="Q154" s="49"/>
      <c r="R154" s="49"/>
      <c r="S154" s="9"/>
      <c r="T154" s="9"/>
      <c r="U154" s="9"/>
      <c r="V154" s="9"/>
      <c r="W154" s="9"/>
      <c r="X154" s="9"/>
    </row>
    <row r="155" spans="1:24">
      <c r="A155" s="9"/>
      <c r="B155" s="9"/>
      <c r="C155" s="9"/>
      <c r="D155" s="9"/>
      <c r="E155" s="49"/>
      <c r="F155" s="49"/>
      <c r="G155" s="9"/>
      <c r="H155" s="9"/>
      <c r="I155" s="9"/>
      <c r="J155" s="9"/>
      <c r="K155" s="9"/>
      <c r="L155" s="9"/>
      <c r="M155" s="9"/>
      <c r="N155" s="9"/>
      <c r="O155" s="50"/>
      <c r="P155" s="9"/>
      <c r="Q155" s="49"/>
      <c r="R155" s="49"/>
      <c r="S155" s="9"/>
      <c r="T155" s="9"/>
      <c r="U155" s="9"/>
      <c r="V155" s="9"/>
      <c r="W155" s="9"/>
      <c r="X155" s="9"/>
    </row>
    <row r="156" spans="1:24">
      <c r="A156" s="9"/>
      <c r="B156" s="9"/>
      <c r="C156" s="9"/>
      <c r="D156" s="9"/>
      <c r="E156" s="49"/>
      <c r="F156" s="49"/>
      <c r="G156" s="9"/>
      <c r="H156" s="9"/>
      <c r="I156" s="9"/>
      <c r="J156" s="9"/>
      <c r="K156" s="9"/>
      <c r="L156" s="9"/>
      <c r="M156" s="9"/>
      <c r="N156" s="9"/>
      <c r="O156" s="50"/>
      <c r="P156" s="9"/>
      <c r="Q156" s="49"/>
      <c r="R156" s="49"/>
      <c r="S156" s="9"/>
      <c r="T156" s="9"/>
      <c r="U156" s="9"/>
      <c r="V156" s="9"/>
      <c r="W156" s="9"/>
      <c r="X156" s="9"/>
    </row>
    <row r="157" spans="1:24">
      <c r="A157" s="9"/>
      <c r="B157" s="9"/>
      <c r="C157" s="9"/>
      <c r="D157" s="9"/>
      <c r="E157" s="49"/>
      <c r="F157" s="49"/>
      <c r="G157" s="9"/>
      <c r="H157" s="9"/>
      <c r="I157" s="9"/>
      <c r="J157" s="9"/>
      <c r="K157" s="9"/>
      <c r="L157" s="9"/>
      <c r="M157" s="9"/>
      <c r="N157" s="9"/>
      <c r="O157" s="50"/>
      <c r="P157" s="9"/>
      <c r="Q157" s="49"/>
      <c r="R157" s="49"/>
      <c r="S157" s="9"/>
      <c r="T157" s="9"/>
      <c r="U157" s="9"/>
      <c r="V157" s="9"/>
      <c r="W157" s="9"/>
      <c r="X157" s="9"/>
    </row>
    <row r="158" spans="1:24">
      <c r="A158" s="9"/>
      <c r="B158" s="9"/>
      <c r="C158" s="9"/>
      <c r="D158" s="9"/>
      <c r="E158" s="49"/>
      <c r="F158" s="49"/>
      <c r="G158" s="9"/>
      <c r="H158" s="9"/>
      <c r="I158" s="9"/>
      <c r="J158" s="9"/>
      <c r="K158" s="9"/>
      <c r="L158" s="9"/>
      <c r="M158" s="9"/>
      <c r="N158" s="9"/>
      <c r="O158" s="50"/>
      <c r="P158" s="9"/>
      <c r="Q158" s="49"/>
      <c r="R158" s="49"/>
      <c r="S158" s="9"/>
      <c r="T158" s="9"/>
      <c r="U158" s="9"/>
      <c r="V158" s="9"/>
      <c r="W158" s="9"/>
      <c r="X158" s="9"/>
    </row>
    <row r="159" spans="1:24">
      <c r="A159" s="9"/>
      <c r="B159" s="9"/>
      <c r="C159" s="9"/>
      <c r="D159" s="9"/>
      <c r="E159" s="49"/>
      <c r="F159" s="49"/>
      <c r="G159" s="9"/>
      <c r="H159" s="9"/>
      <c r="I159" s="9"/>
      <c r="J159" s="9"/>
      <c r="K159" s="9"/>
      <c r="L159" s="9"/>
      <c r="M159" s="9"/>
      <c r="N159" s="9"/>
      <c r="O159" s="50"/>
      <c r="P159" s="9"/>
      <c r="Q159" s="49"/>
      <c r="R159" s="49"/>
      <c r="S159" s="9"/>
      <c r="T159" s="9"/>
      <c r="U159" s="9"/>
      <c r="V159" s="9"/>
      <c r="W159" s="9"/>
      <c r="X159" s="9"/>
    </row>
    <row r="160" spans="1:24">
      <c r="A160" s="9"/>
      <c r="B160" s="9"/>
      <c r="C160" s="9"/>
      <c r="D160" s="9"/>
      <c r="E160" s="49"/>
      <c r="F160" s="49"/>
      <c r="G160" s="9"/>
      <c r="H160" s="9"/>
      <c r="I160" s="9"/>
      <c r="J160" s="9"/>
      <c r="K160" s="9"/>
      <c r="L160" s="9"/>
      <c r="M160" s="9"/>
      <c r="N160" s="9"/>
      <c r="O160" s="50"/>
      <c r="P160" s="9"/>
      <c r="Q160" s="49"/>
      <c r="R160" s="49"/>
      <c r="S160" s="9"/>
      <c r="T160" s="9"/>
      <c r="U160" s="9"/>
      <c r="V160" s="9"/>
      <c r="W160" s="9"/>
      <c r="X160" s="9"/>
    </row>
    <row r="161" spans="1:24">
      <c r="A161" s="9"/>
      <c r="B161" s="9"/>
      <c r="C161" s="9"/>
      <c r="D161" s="9"/>
      <c r="E161" s="49"/>
      <c r="F161" s="49"/>
      <c r="G161" s="9"/>
      <c r="H161" s="9"/>
      <c r="I161" s="9"/>
      <c r="J161" s="9"/>
      <c r="K161" s="9"/>
      <c r="L161" s="9"/>
      <c r="M161" s="9"/>
      <c r="N161" s="9"/>
      <c r="O161" s="50"/>
      <c r="P161" s="9"/>
      <c r="Q161" s="49"/>
      <c r="R161" s="49"/>
      <c r="S161" s="9"/>
      <c r="T161" s="9"/>
      <c r="U161" s="9"/>
      <c r="V161" s="9"/>
      <c r="W161" s="9"/>
      <c r="X161" s="9"/>
    </row>
    <row r="162" spans="1:24">
      <c r="A162" s="9"/>
      <c r="B162" s="9"/>
      <c r="C162" s="9"/>
      <c r="D162" s="9"/>
      <c r="E162" s="49"/>
      <c r="F162" s="49"/>
      <c r="G162" s="9"/>
      <c r="H162" s="9"/>
      <c r="I162" s="9"/>
      <c r="J162" s="9"/>
      <c r="K162" s="9"/>
      <c r="L162" s="9"/>
      <c r="M162" s="9"/>
      <c r="N162" s="9"/>
      <c r="O162" s="50"/>
      <c r="P162" s="9"/>
      <c r="Q162" s="49"/>
      <c r="R162" s="49"/>
      <c r="S162" s="9"/>
      <c r="T162" s="9"/>
      <c r="U162" s="9"/>
      <c r="V162" s="9"/>
      <c r="W162" s="9"/>
      <c r="X162" s="9"/>
    </row>
    <row r="163" spans="1:24">
      <c r="A163" s="9"/>
      <c r="B163" s="9"/>
      <c r="C163" s="9"/>
      <c r="D163" s="9"/>
      <c r="E163" s="49"/>
      <c r="F163" s="49"/>
      <c r="G163" s="9"/>
      <c r="H163" s="9"/>
      <c r="I163" s="9"/>
      <c r="J163" s="9"/>
      <c r="K163" s="9"/>
      <c r="L163" s="9"/>
      <c r="M163" s="9"/>
      <c r="N163" s="9"/>
      <c r="O163" s="50"/>
      <c r="P163" s="9"/>
      <c r="Q163" s="49"/>
      <c r="R163" s="49"/>
      <c r="S163" s="9"/>
      <c r="T163" s="9"/>
      <c r="U163" s="9"/>
      <c r="V163" s="9"/>
      <c r="W163" s="9"/>
      <c r="X163" s="9"/>
    </row>
    <row r="164" spans="1:24">
      <c r="A164" s="9"/>
      <c r="B164" s="9"/>
      <c r="C164" s="9"/>
      <c r="D164" s="9"/>
      <c r="E164" s="49"/>
      <c r="F164" s="49"/>
      <c r="G164" s="9"/>
      <c r="H164" s="9"/>
      <c r="I164" s="9"/>
      <c r="J164" s="9"/>
      <c r="K164" s="9"/>
      <c r="L164" s="9"/>
      <c r="M164" s="9"/>
      <c r="N164" s="9"/>
      <c r="O164" s="50"/>
      <c r="P164" s="9"/>
      <c r="Q164" s="49"/>
      <c r="R164" s="49"/>
      <c r="S164" s="9"/>
      <c r="T164" s="9"/>
      <c r="U164" s="9"/>
      <c r="V164" s="9"/>
      <c r="W164" s="9"/>
      <c r="X164" s="9"/>
    </row>
    <row r="165" spans="1:24">
      <c r="A165" s="9"/>
      <c r="B165" s="9"/>
      <c r="C165" s="9"/>
      <c r="D165" s="9"/>
      <c r="E165" s="49"/>
      <c r="F165" s="49"/>
      <c r="G165" s="9"/>
      <c r="H165" s="9"/>
      <c r="I165" s="9"/>
      <c r="J165" s="9"/>
      <c r="K165" s="9"/>
      <c r="L165" s="9"/>
      <c r="M165" s="9"/>
      <c r="N165" s="9"/>
      <c r="O165" s="50"/>
      <c r="P165" s="9"/>
      <c r="Q165" s="49"/>
      <c r="R165" s="49"/>
      <c r="S165" s="9"/>
      <c r="T165" s="9"/>
      <c r="U165" s="9"/>
      <c r="V165" s="9"/>
      <c r="W165" s="9"/>
      <c r="X165" s="9"/>
    </row>
    <row r="166" spans="1:24">
      <c r="A166" s="9"/>
      <c r="B166" s="9"/>
      <c r="C166" s="9"/>
      <c r="D166" s="9"/>
      <c r="E166" s="49"/>
      <c r="F166" s="49"/>
      <c r="G166" s="9"/>
      <c r="H166" s="9"/>
      <c r="I166" s="9"/>
      <c r="J166" s="9"/>
      <c r="K166" s="9"/>
      <c r="L166" s="9"/>
      <c r="M166" s="9"/>
      <c r="N166" s="9"/>
      <c r="O166" s="50"/>
      <c r="P166" s="9"/>
      <c r="Q166" s="49"/>
      <c r="R166" s="49"/>
      <c r="S166" s="9"/>
      <c r="T166" s="9"/>
      <c r="U166" s="9"/>
      <c r="V166" s="9"/>
      <c r="W166" s="9"/>
      <c r="X166" s="9"/>
    </row>
    <row r="167" spans="1:24">
      <c r="A167" s="9"/>
      <c r="B167" s="9"/>
      <c r="C167" s="9"/>
      <c r="D167" s="9"/>
      <c r="E167" s="49"/>
      <c r="F167" s="49"/>
      <c r="G167" s="9"/>
      <c r="H167" s="9"/>
      <c r="I167" s="9"/>
      <c r="J167" s="9"/>
      <c r="K167" s="9"/>
      <c r="L167" s="9"/>
      <c r="M167" s="9"/>
      <c r="N167" s="9"/>
      <c r="O167" s="50"/>
      <c r="P167" s="9"/>
      <c r="Q167" s="49"/>
      <c r="R167" s="49"/>
      <c r="S167" s="9"/>
      <c r="T167" s="9"/>
      <c r="U167" s="9"/>
      <c r="V167" s="9"/>
      <c r="W167" s="9"/>
      <c r="X167" s="9"/>
    </row>
    <row r="168" spans="1:24">
      <c r="A168" s="9"/>
      <c r="B168" s="9"/>
      <c r="C168" s="9"/>
      <c r="D168" s="9"/>
      <c r="E168" s="49"/>
      <c r="F168" s="49"/>
      <c r="G168" s="9"/>
      <c r="H168" s="9"/>
      <c r="I168" s="9"/>
      <c r="J168" s="9"/>
      <c r="K168" s="9"/>
      <c r="L168" s="9"/>
      <c r="M168" s="9"/>
      <c r="N168" s="9"/>
      <c r="O168" s="50"/>
      <c r="P168" s="9"/>
      <c r="Q168" s="49"/>
      <c r="R168" s="49"/>
      <c r="S168" s="9"/>
      <c r="T168" s="9"/>
      <c r="U168" s="9"/>
      <c r="V168" s="9"/>
      <c r="W168" s="9"/>
      <c r="X168" s="9"/>
    </row>
    <row r="169" spans="1:24">
      <c r="A169" s="9"/>
      <c r="B169" s="9"/>
      <c r="C169" s="9"/>
      <c r="D169" s="9"/>
      <c r="E169" s="49"/>
      <c r="F169" s="49"/>
      <c r="G169" s="9"/>
      <c r="H169" s="9"/>
      <c r="I169" s="9"/>
      <c r="J169" s="9"/>
      <c r="K169" s="9"/>
      <c r="L169" s="9"/>
      <c r="M169" s="9"/>
      <c r="N169" s="9"/>
      <c r="O169" s="50"/>
      <c r="P169" s="9"/>
      <c r="Q169" s="49"/>
      <c r="R169" s="49"/>
      <c r="S169" s="9"/>
      <c r="T169" s="9"/>
      <c r="U169" s="9"/>
      <c r="V169" s="9"/>
      <c r="W169" s="9"/>
      <c r="X169" s="9"/>
    </row>
    <row r="170" spans="1:24">
      <c r="A170" s="9"/>
      <c r="B170" s="9"/>
      <c r="C170" s="9"/>
      <c r="D170" s="9"/>
      <c r="E170" s="49"/>
      <c r="F170" s="49"/>
      <c r="G170" s="9"/>
      <c r="H170" s="9"/>
      <c r="I170" s="9"/>
      <c r="J170" s="9"/>
      <c r="K170" s="9"/>
      <c r="L170" s="9"/>
      <c r="M170" s="9"/>
      <c r="N170" s="9"/>
      <c r="O170" s="50"/>
      <c r="P170" s="9"/>
      <c r="Q170" s="49"/>
      <c r="R170" s="49"/>
      <c r="S170" s="9"/>
      <c r="T170" s="9"/>
      <c r="U170" s="9"/>
      <c r="V170" s="9"/>
      <c r="W170" s="9"/>
      <c r="X170" s="9"/>
    </row>
    <row r="171" spans="1:24">
      <c r="A171" s="9"/>
      <c r="B171" s="9"/>
      <c r="C171" s="9"/>
      <c r="D171" s="9"/>
      <c r="E171" s="49"/>
      <c r="F171" s="49"/>
      <c r="G171" s="9"/>
      <c r="H171" s="9"/>
      <c r="I171" s="9"/>
      <c r="J171" s="9"/>
      <c r="K171" s="9"/>
      <c r="L171" s="9"/>
      <c r="M171" s="9"/>
      <c r="N171" s="9"/>
      <c r="O171" s="50"/>
      <c r="P171" s="9"/>
      <c r="Q171" s="49"/>
      <c r="R171" s="49"/>
      <c r="S171" s="9"/>
      <c r="T171" s="9"/>
      <c r="U171" s="9"/>
      <c r="V171" s="9"/>
      <c r="W171" s="9"/>
      <c r="X171" s="9"/>
    </row>
    <row r="172" spans="1:24">
      <c r="A172" s="9"/>
      <c r="B172" s="9"/>
      <c r="C172" s="9"/>
      <c r="D172" s="9"/>
      <c r="E172" s="49"/>
      <c r="F172" s="49"/>
      <c r="G172" s="9"/>
      <c r="H172" s="9"/>
      <c r="I172" s="9"/>
      <c r="J172" s="9"/>
      <c r="K172" s="9"/>
      <c r="L172" s="9"/>
      <c r="M172" s="9"/>
      <c r="N172" s="9"/>
      <c r="O172" s="50"/>
      <c r="P172" s="9"/>
      <c r="Q172" s="49"/>
      <c r="R172" s="49"/>
      <c r="S172" s="9"/>
      <c r="T172" s="9"/>
      <c r="U172" s="9"/>
      <c r="V172" s="9"/>
      <c r="W172" s="9"/>
      <c r="X172" s="9"/>
    </row>
    <row r="173" spans="1:24">
      <c r="A173" s="9"/>
      <c r="B173" s="9"/>
      <c r="C173" s="9"/>
      <c r="D173" s="9"/>
      <c r="E173" s="49"/>
      <c r="F173" s="49"/>
      <c r="G173" s="9"/>
      <c r="H173" s="9"/>
      <c r="I173" s="9"/>
      <c r="J173" s="9"/>
      <c r="K173" s="9"/>
      <c r="L173" s="9"/>
      <c r="M173" s="9"/>
      <c r="N173" s="9"/>
      <c r="O173" s="50"/>
      <c r="P173" s="9"/>
      <c r="Q173" s="49"/>
      <c r="R173" s="49"/>
      <c r="S173" s="9"/>
      <c r="T173" s="9"/>
      <c r="U173" s="9"/>
      <c r="V173" s="9"/>
      <c r="W173" s="9"/>
      <c r="X173" s="9"/>
    </row>
    <row r="174" spans="1:24">
      <c r="A174" s="9"/>
      <c r="B174" s="9"/>
      <c r="C174" s="9"/>
      <c r="D174" s="9"/>
      <c r="E174" s="49"/>
      <c r="F174" s="49"/>
      <c r="G174" s="9"/>
      <c r="H174" s="9"/>
      <c r="I174" s="9"/>
      <c r="J174" s="9"/>
      <c r="K174" s="9"/>
      <c r="L174" s="9"/>
      <c r="M174" s="9"/>
      <c r="N174" s="9"/>
      <c r="O174" s="50"/>
      <c r="P174" s="9"/>
      <c r="Q174" s="49"/>
      <c r="R174" s="49"/>
      <c r="S174" s="9"/>
      <c r="T174" s="9"/>
      <c r="U174" s="9"/>
      <c r="V174" s="9"/>
      <c r="W174" s="9"/>
      <c r="X174" s="9"/>
    </row>
    <row r="175" spans="1:24">
      <c r="A175" s="9"/>
      <c r="B175" s="9"/>
      <c r="C175" s="9"/>
      <c r="D175" s="9"/>
      <c r="E175" s="49"/>
      <c r="F175" s="49"/>
      <c r="G175" s="9"/>
      <c r="H175" s="9"/>
      <c r="I175" s="9"/>
      <c r="J175" s="9"/>
      <c r="K175" s="9"/>
      <c r="L175" s="9"/>
      <c r="M175" s="9"/>
      <c r="N175" s="9"/>
      <c r="O175" s="50"/>
      <c r="P175" s="9"/>
      <c r="Q175" s="49"/>
      <c r="R175" s="49"/>
      <c r="S175" s="9"/>
      <c r="T175" s="9"/>
      <c r="U175" s="9"/>
      <c r="V175" s="9"/>
      <c r="W175" s="9"/>
      <c r="X175" s="9"/>
    </row>
    <row r="176" spans="1:24">
      <c r="A176" s="9"/>
      <c r="B176" s="9"/>
      <c r="C176" s="9"/>
      <c r="D176" s="9"/>
      <c r="E176" s="49"/>
      <c r="F176" s="49"/>
      <c r="G176" s="9"/>
      <c r="H176" s="9"/>
      <c r="I176" s="9"/>
      <c r="J176" s="9"/>
      <c r="K176" s="9"/>
      <c r="L176" s="9"/>
      <c r="M176" s="9"/>
      <c r="N176" s="9"/>
      <c r="O176" s="50"/>
      <c r="P176" s="9"/>
      <c r="Q176" s="49"/>
      <c r="R176" s="49"/>
      <c r="S176" s="9"/>
      <c r="T176" s="9"/>
      <c r="U176" s="9"/>
      <c r="V176" s="9"/>
      <c r="W176" s="9"/>
      <c r="X176" s="9"/>
    </row>
    <row r="177" spans="1:24">
      <c r="A177" s="9"/>
      <c r="B177" s="9"/>
      <c r="C177" s="9"/>
      <c r="D177" s="9"/>
      <c r="E177" s="49"/>
      <c r="F177" s="49"/>
      <c r="G177" s="9"/>
      <c r="H177" s="9"/>
      <c r="I177" s="9"/>
      <c r="J177" s="9"/>
      <c r="K177" s="9"/>
      <c r="L177" s="9"/>
      <c r="M177" s="9"/>
      <c r="N177" s="9"/>
      <c r="O177" s="50"/>
      <c r="P177" s="9"/>
      <c r="Q177" s="49"/>
      <c r="R177" s="49"/>
      <c r="S177" s="9"/>
      <c r="T177" s="9"/>
      <c r="U177" s="9"/>
      <c r="V177" s="9"/>
      <c r="W177" s="9"/>
      <c r="X177" s="9"/>
    </row>
    <row r="178" spans="1:24">
      <c r="A178" s="9"/>
      <c r="B178" s="9"/>
      <c r="C178" s="9"/>
      <c r="D178" s="9"/>
      <c r="E178" s="49"/>
      <c r="F178" s="49"/>
      <c r="G178" s="9"/>
      <c r="H178" s="9"/>
      <c r="I178" s="9"/>
      <c r="J178" s="9"/>
      <c r="K178" s="9"/>
      <c r="L178" s="9"/>
      <c r="M178" s="9"/>
      <c r="N178" s="9"/>
      <c r="O178" s="50"/>
      <c r="P178" s="9"/>
      <c r="Q178" s="49"/>
      <c r="R178" s="49"/>
      <c r="S178" s="9"/>
      <c r="T178" s="9"/>
      <c r="U178" s="9"/>
      <c r="V178" s="9"/>
      <c r="W178" s="9"/>
      <c r="X178" s="9"/>
    </row>
    <row r="179" spans="1:24">
      <c r="A179" s="9"/>
      <c r="B179" s="9"/>
      <c r="C179" s="9"/>
      <c r="D179" s="9"/>
      <c r="E179" s="49"/>
      <c r="F179" s="49"/>
      <c r="G179" s="9"/>
      <c r="H179" s="9"/>
      <c r="I179" s="9"/>
      <c r="J179" s="9"/>
      <c r="K179" s="9"/>
      <c r="L179" s="9"/>
      <c r="M179" s="9"/>
      <c r="N179" s="9"/>
      <c r="O179" s="50"/>
      <c r="P179" s="9"/>
      <c r="Q179" s="49"/>
      <c r="R179" s="49"/>
      <c r="S179" s="9"/>
      <c r="T179" s="9"/>
      <c r="U179" s="9"/>
      <c r="V179" s="9"/>
      <c r="W179" s="9"/>
      <c r="X179" s="9"/>
    </row>
    <row r="180" spans="1:24">
      <c r="A180" s="9"/>
      <c r="B180" s="9"/>
      <c r="C180" s="9"/>
      <c r="D180" s="9"/>
      <c r="E180" s="49"/>
      <c r="F180" s="49"/>
      <c r="G180" s="9"/>
      <c r="H180" s="9"/>
      <c r="I180" s="9"/>
      <c r="J180" s="9"/>
      <c r="K180" s="9"/>
      <c r="L180" s="9"/>
      <c r="M180" s="9"/>
      <c r="N180" s="9"/>
      <c r="O180" s="50"/>
      <c r="P180" s="9"/>
      <c r="Q180" s="49"/>
      <c r="R180" s="49"/>
      <c r="S180" s="9"/>
      <c r="T180" s="9"/>
      <c r="U180" s="9"/>
      <c r="V180" s="9"/>
      <c r="W180" s="9"/>
      <c r="X180" s="9"/>
    </row>
    <row r="181" spans="1:24">
      <c r="A181" s="9"/>
      <c r="B181" s="9"/>
      <c r="C181" s="9"/>
      <c r="D181" s="9"/>
      <c r="E181" s="49"/>
      <c r="F181" s="49"/>
      <c r="G181" s="9"/>
      <c r="H181" s="9"/>
      <c r="I181" s="9"/>
      <c r="J181" s="9"/>
      <c r="K181" s="9"/>
      <c r="L181" s="9"/>
      <c r="M181" s="9"/>
      <c r="N181" s="9"/>
      <c r="O181" s="50"/>
      <c r="P181" s="9"/>
      <c r="Q181" s="49"/>
      <c r="R181" s="49"/>
      <c r="S181" s="9"/>
      <c r="T181" s="9"/>
      <c r="U181" s="9"/>
      <c r="V181" s="9"/>
      <c r="W181" s="9"/>
      <c r="X181" s="9"/>
    </row>
    <row r="182" spans="1:24">
      <c r="A182" s="9"/>
      <c r="B182" s="9"/>
      <c r="C182" s="9"/>
      <c r="D182" s="9"/>
      <c r="E182" s="49"/>
      <c r="F182" s="49"/>
      <c r="G182" s="9"/>
      <c r="H182" s="9"/>
      <c r="I182" s="9"/>
      <c r="J182" s="9"/>
      <c r="K182" s="9"/>
      <c r="L182" s="9"/>
      <c r="M182" s="9"/>
      <c r="N182" s="9"/>
      <c r="O182" s="50"/>
      <c r="P182" s="9"/>
      <c r="Q182" s="49"/>
      <c r="R182" s="49"/>
      <c r="S182" s="9"/>
      <c r="T182" s="9"/>
      <c r="U182" s="9"/>
      <c r="V182" s="9"/>
      <c r="W182" s="9"/>
      <c r="X182" s="9"/>
    </row>
    <row r="183" spans="1:24">
      <c r="A183" s="9"/>
      <c r="B183" s="9"/>
      <c r="C183" s="9"/>
      <c r="D183" s="9"/>
      <c r="E183" s="49"/>
      <c r="F183" s="49"/>
      <c r="G183" s="9"/>
      <c r="H183" s="9"/>
      <c r="I183" s="9"/>
      <c r="J183" s="9"/>
      <c r="K183" s="9"/>
      <c r="L183" s="9"/>
      <c r="M183" s="9"/>
      <c r="N183" s="9"/>
      <c r="O183" s="50"/>
      <c r="P183" s="9"/>
      <c r="Q183" s="49"/>
      <c r="R183" s="49"/>
      <c r="S183" s="9"/>
      <c r="T183" s="9"/>
      <c r="U183" s="9"/>
      <c r="V183" s="9"/>
      <c r="W183" s="9"/>
      <c r="X183" s="9"/>
    </row>
    <row r="184" spans="1:24">
      <c r="A184" s="9"/>
      <c r="B184" s="9"/>
      <c r="C184" s="9"/>
      <c r="D184" s="9"/>
      <c r="E184" s="49"/>
      <c r="F184" s="49"/>
      <c r="G184" s="9"/>
      <c r="H184" s="9"/>
      <c r="I184" s="9"/>
      <c r="J184" s="9"/>
      <c r="K184" s="9"/>
      <c r="L184" s="9"/>
      <c r="M184" s="9"/>
      <c r="N184" s="9"/>
      <c r="O184" s="50"/>
      <c r="P184" s="9"/>
      <c r="Q184" s="49"/>
      <c r="R184" s="49"/>
      <c r="S184" s="9"/>
      <c r="T184" s="9"/>
      <c r="U184" s="9"/>
      <c r="V184" s="9"/>
      <c r="W184" s="9"/>
      <c r="X184" s="9"/>
    </row>
    <row r="185" spans="1:24">
      <c r="A185" s="9"/>
      <c r="B185" s="9"/>
      <c r="C185" s="9"/>
      <c r="D185" s="9"/>
      <c r="E185" s="49"/>
      <c r="F185" s="49"/>
      <c r="G185" s="9"/>
      <c r="H185" s="9"/>
      <c r="I185" s="9"/>
      <c r="J185" s="9"/>
      <c r="K185" s="9"/>
      <c r="L185" s="9"/>
      <c r="M185" s="9"/>
      <c r="N185" s="9"/>
      <c r="O185" s="50"/>
      <c r="P185" s="9"/>
      <c r="Q185" s="49"/>
      <c r="R185" s="49"/>
      <c r="S185" s="9"/>
      <c r="T185" s="9"/>
      <c r="U185" s="9"/>
      <c r="V185" s="9"/>
      <c r="W185" s="9"/>
      <c r="X185" s="9"/>
    </row>
    <row r="186" spans="1:24">
      <c r="A186" s="9"/>
      <c r="B186" s="9"/>
      <c r="C186" s="9"/>
      <c r="D186" s="9"/>
      <c r="E186" s="49"/>
      <c r="F186" s="49"/>
      <c r="G186" s="9"/>
      <c r="H186" s="9"/>
      <c r="I186" s="9"/>
      <c r="J186" s="9"/>
      <c r="K186" s="9"/>
      <c r="L186" s="9"/>
      <c r="M186" s="9"/>
      <c r="N186" s="9"/>
      <c r="O186" s="50"/>
      <c r="P186" s="9"/>
      <c r="Q186" s="49"/>
      <c r="R186" s="49"/>
      <c r="S186" s="9"/>
      <c r="T186" s="9"/>
      <c r="U186" s="9"/>
      <c r="V186" s="9"/>
      <c r="W186" s="9"/>
      <c r="X186" s="9"/>
    </row>
    <row r="187" spans="1:24">
      <c r="A187" s="9"/>
      <c r="B187" s="9"/>
      <c r="C187" s="9"/>
      <c r="D187" s="9"/>
      <c r="E187" s="49"/>
      <c r="F187" s="49"/>
      <c r="G187" s="9"/>
      <c r="H187" s="9"/>
      <c r="I187" s="9"/>
      <c r="J187" s="9"/>
      <c r="K187" s="9"/>
      <c r="L187" s="9"/>
      <c r="M187" s="9"/>
      <c r="N187" s="9"/>
      <c r="O187" s="50"/>
      <c r="P187" s="9"/>
      <c r="Q187" s="49"/>
      <c r="R187" s="49"/>
      <c r="S187" s="9"/>
      <c r="T187" s="9"/>
      <c r="U187" s="9"/>
      <c r="V187" s="9"/>
      <c r="W187" s="9"/>
      <c r="X187" s="9"/>
    </row>
    <row r="188" spans="1:24">
      <c r="A188" s="9"/>
      <c r="B188" s="9"/>
      <c r="C188" s="9"/>
      <c r="D188" s="9"/>
      <c r="E188" s="49"/>
      <c r="F188" s="49"/>
      <c r="G188" s="9"/>
      <c r="H188" s="9"/>
      <c r="I188" s="9"/>
      <c r="J188" s="9"/>
      <c r="K188" s="9"/>
      <c r="L188" s="9"/>
      <c r="M188" s="9"/>
      <c r="N188" s="9"/>
      <c r="O188" s="50"/>
      <c r="P188" s="9"/>
      <c r="Q188" s="49"/>
      <c r="R188" s="49"/>
      <c r="S188" s="9"/>
      <c r="T188" s="9"/>
      <c r="U188" s="9"/>
      <c r="V188" s="9"/>
      <c r="W188" s="9"/>
      <c r="X188" s="9"/>
    </row>
    <row r="189" spans="1:24">
      <c r="A189" s="9"/>
      <c r="B189" s="9"/>
      <c r="C189" s="9"/>
      <c r="D189" s="9"/>
      <c r="E189" s="49"/>
      <c r="F189" s="49"/>
      <c r="G189" s="9"/>
      <c r="H189" s="9"/>
      <c r="I189" s="9"/>
      <c r="J189" s="9"/>
      <c r="K189" s="9"/>
      <c r="L189" s="9"/>
      <c r="M189" s="9"/>
      <c r="N189" s="9"/>
      <c r="O189" s="50"/>
      <c r="P189" s="9"/>
      <c r="Q189" s="49"/>
      <c r="R189" s="49"/>
      <c r="S189" s="9"/>
      <c r="T189" s="9"/>
      <c r="U189" s="9"/>
      <c r="V189" s="9"/>
      <c r="W189" s="9"/>
      <c r="X189" s="9"/>
    </row>
    <row r="190" spans="1:24">
      <c r="A190" s="9"/>
      <c r="B190" s="9"/>
      <c r="C190" s="9"/>
      <c r="D190" s="9"/>
      <c r="E190" s="49"/>
      <c r="F190" s="49"/>
      <c r="G190" s="9"/>
      <c r="H190" s="9"/>
      <c r="I190" s="9"/>
      <c r="J190" s="9"/>
      <c r="K190" s="9"/>
      <c r="L190" s="9"/>
      <c r="M190" s="9"/>
      <c r="N190" s="9"/>
      <c r="O190" s="50"/>
      <c r="P190" s="9"/>
      <c r="Q190" s="49"/>
      <c r="R190" s="49"/>
      <c r="S190" s="9"/>
      <c r="T190" s="9"/>
      <c r="U190" s="9"/>
      <c r="V190" s="9"/>
      <c r="W190" s="9"/>
      <c r="X190" s="9"/>
    </row>
    <row r="191" spans="1:24">
      <c r="A191" s="9"/>
      <c r="B191" s="9"/>
      <c r="C191" s="9"/>
      <c r="D191" s="9"/>
      <c r="E191" s="49"/>
      <c r="F191" s="49"/>
      <c r="G191" s="9"/>
      <c r="H191" s="9"/>
      <c r="I191" s="9"/>
      <c r="J191" s="9"/>
      <c r="K191" s="9"/>
      <c r="L191" s="9"/>
      <c r="M191" s="9"/>
      <c r="N191" s="9"/>
      <c r="O191" s="50"/>
      <c r="P191" s="9"/>
      <c r="Q191" s="49"/>
      <c r="R191" s="49"/>
      <c r="S191" s="9"/>
      <c r="T191" s="9"/>
      <c r="U191" s="9"/>
      <c r="V191" s="9"/>
      <c r="W191" s="9"/>
      <c r="X191" s="9"/>
    </row>
    <row r="192" spans="1:24">
      <c r="A192" s="9"/>
      <c r="B192" s="9"/>
      <c r="C192" s="9"/>
      <c r="D192" s="9"/>
      <c r="E192" s="49"/>
      <c r="F192" s="49"/>
      <c r="G192" s="9"/>
      <c r="H192" s="9"/>
      <c r="I192" s="9"/>
      <c r="J192" s="9"/>
      <c r="K192" s="9"/>
      <c r="L192" s="9"/>
      <c r="M192" s="9"/>
      <c r="N192" s="9"/>
      <c r="O192" s="50"/>
      <c r="P192" s="9"/>
      <c r="Q192" s="49"/>
      <c r="R192" s="49"/>
      <c r="S192" s="9"/>
      <c r="T192" s="9"/>
      <c r="U192" s="9"/>
      <c r="V192" s="9"/>
      <c r="W192" s="9"/>
      <c r="X192" s="9"/>
    </row>
    <row r="193" spans="1:24">
      <c r="A193" s="9"/>
      <c r="B193" s="9"/>
      <c r="C193" s="9"/>
      <c r="D193" s="9"/>
      <c r="E193" s="49"/>
      <c r="F193" s="49"/>
      <c r="G193" s="9"/>
      <c r="H193" s="9"/>
      <c r="I193" s="9"/>
      <c r="J193" s="9"/>
      <c r="K193" s="9"/>
      <c r="L193" s="9"/>
      <c r="M193" s="9"/>
      <c r="N193" s="9"/>
      <c r="O193" s="50"/>
      <c r="P193" s="9"/>
      <c r="Q193" s="49"/>
      <c r="R193" s="49"/>
      <c r="S193" s="9"/>
      <c r="T193" s="9"/>
      <c r="U193" s="9"/>
      <c r="V193" s="9"/>
      <c r="W193" s="9"/>
      <c r="X193" s="9"/>
    </row>
    <row r="194" spans="1:24">
      <c r="A194" s="9"/>
      <c r="B194" s="9"/>
      <c r="C194" s="9"/>
      <c r="D194" s="9"/>
      <c r="E194" s="49"/>
      <c r="F194" s="49"/>
      <c r="G194" s="9"/>
      <c r="H194" s="9"/>
      <c r="I194" s="9"/>
      <c r="J194" s="9"/>
      <c r="K194" s="9"/>
      <c r="L194" s="9"/>
      <c r="M194" s="9"/>
      <c r="N194" s="9"/>
      <c r="O194" s="50"/>
      <c r="P194" s="9"/>
      <c r="Q194" s="49"/>
      <c r="R194" s="49"/>
      <c r="S194" s="9"/>
      <c r="T194" s="9"/>
      <c r="U194" s="9"/>
      <c r="V194" s="9"/>
      <c r="W194" s="9"/>
      <c r="X194" s="9"/>
    </row>
    <row r="195" spans="1:24">
      <c r="A195" s="9"/>
      <c r="B195" s="9"/>
      <c r="C195" s="9"/>
      <c r="D195" s="9"/>
      <c r="E195" s="49"/>
      <c r="F195" s="49"/>
      <c r="G195" s="9"/>
      <c r="H195" s="9"/>
      <c r="I195" s="9"/>
      <c r="J195" s="9"/>
      <c r="K195" s="9"/>
      <c r="L195" s="9"/>
      <c r="M195" s="9"/>
      <c r="N195" s="9"/>
      <c r="O195" s="50"/>
      <c r="P195" s="9"/>
      <c r="Q195" s="49"/>
      <c r="R195" s="49"/>
      <c r="S195" s="9"/>
      <c r="T195" s="9"/>
      <c r="U195" s="9"/>
      <c r="V195" s="9"/>
      <c r="W195" s="9"/>
      <c r="X195" s="9"/>
    </row>
    <row r="196" spans="1:24">
      <c r="A196" s="9"/>
      <c r="B196" s="9"/>
      <c r="C196" s="9"/>
      <c r="D196" s="9"/>
      <c r="E196" s="49"/>
      <c r="F196" s="49"/>
      <c r="G196" s="9"/>
      <c r="H196" s="9"/>
      <c r="I196" s="9"/>
      <c r="J196" s="9"/>
      <c r="K196" s="9"/>
      <c r="L196" s="9"/>
      <c r="M196" s="9"/>
      <c r="N196" s="9"/>
      <c r="O196" s="50"/>
      <c r="P196" s="9"/>
      <c r="Q196" s="49"/>
      <c r="R196" s="49"/>
      <c r="S196" s="9"/>
      <c r="T196" s="9"/>
      <c r="U196" s="9"/>
      <c r="V196" s="9"/>
      <c r="W196" s="9"/>
      <c r="X196" s="9"/>
    </row>
    <row r="197" spans="1:24">
      <c r="A197" s="9"/>
      <c r="B197" s="9"/>
      <c r="C197" s="9"/>
      <c r="D197" s="9"/>
      <c r="E197" s="49"/>
      <c r="F197" s="49"/>
      <c r="G197" s="9"/>
      <c r="H197" s="9"/>
      <c r="I197" s="9"/>
      <c r="J197" s="9"/>
      <c r="K197" s="9"/>
      <c r="L197" s="9"/>
      <c r="M197" s="9"/>
      <c r="N197" s="9"/>
      <c r="O197" s="50"/>
      <c r="P197" s="9"/>
      <c r="Q197" s="49"/>
      <c r="R197" s="49"/>
      <c r="S197" s="9"/>
      <c r="T197" s="9"/>
      <c r="U197" s="9"/>
      <c r="V197" s="9"/>
      <c r="W197" s="9"/>
      <c r="X197" s="9"/>
    </row>
    <row r="198" spans="1:24">
      <c r="A198" s="9"/>
      <c r="B198" s="9"/>
      <c r="C198" s="9"/>
      <c r="D198" s="9"/>
      <c r="E198" s="49"/>
      <c r="F198" s="49"/>
      <c r="G198" s="9"/>
      <c r="H198" s="9"/>
      <c r="I198" s="9"/>
      <c r="J198" s="9"/>
      <c r="K198" s="9"/>
      <c r="L198" s="9"/>
      <c r="M198" s="9"/>
      <c r="N198" s="9"/>
      <c r="O198" s="50"/>
      <c r="P198" s="9"/>
      <c r="Q198" s="49"/>
      <c r="R198" s="49"/>
      <c r="S198" s="9"/>
      <c r="T198" s="9"/>
      <c r="U198" s="9"/>
      <c r="V198" s="9"/>
      <c r="W198" s="9"/>
      <c r="X198" s="9"/>
    </row>
    <row r="199" spans="1:24">
      <c r="A199" s="9"/>
      <c r="B199" s="9"/>
      <c r="C199" s="9"/>
      <c r="D199" s="9"/>
      <c r="E199" s="49"/>
      <c r="F199" s="49"/>
      <c r="G199" s="9"/>
      <c r="H199" s="9"/>
      <c r="I199" s="9"/>
      <c r="J199" s="9"/>
      <c r="K199" s="9"/>
      <c r="L199" s="9"/>
      <c r="M199" s="9"/>
      <c r="N199" s="9"/>
      <c r="O199" s="50"/>
      <c r="P199" s="9"/>
      <c r="Q199" s="49"/>
      <c r="R199" s="49"/>
      <c r="S199" s="9"/>
      <c r="T199" s="9"/>
      <c r="U199" s="9"/>
      <c r="V199" s="9"/>
      <c r="W199" s="9"/>
      <c r="X199" s="9"/>
    </row>
    <row r="200" spans="1:24">
      <c r="A200" s="9"/>
      <c r="B200" s="9"/>
      <c r="C200" s="9"/>
      <c r="D200" s="9"/>
      <c r="E200" s="49"/>
      <c r="F200" s="49"/>
      <c r="G200" s="9"/>
      <c r="H200" s="9"/>
      <c r="I200" s="9"/>
      <c r="J200" s="9"/>
      <c r="K200" s="9"/>
      <c r="L200" s="9"/>
      <c r="M200" s="9"/>
      <c r="N200" s="9"/>
      <c r="O200" s="50"/>
      <c r="P200" s="9"/>
      <c r="Q200" s="49"/>
      <c r="R200" s="49"/>
      <c r="S200" s="9"/>
      <c r="T200" s="9"/>
      <c r="U200" s="9"/>
      <c r="V200" s="9"/>
      <c r="W200" s="9"/>
      <c r="X200" s="9"/>
    </row>
    <row r="201" spans="1:24">
      <c r="A201" s="9"/>
      <c r="B201" s="9"/>
      <c r="C201" s="9"/>
      <c r="D201" s="9"/>
      <c r="E201" s="49"/>
      <c r="F201" s="49"/>
      <c r="G201" s="9"/>
      <c r="H201" s="9"/>
      <c r="I201" s="9"/>
      <c r="J201" s="9"/>
      <c r="K201" s="9"/>
      <c r="L201" s="9"/>
      <c r="M201" s="9"/>
      <c r="N201" s="9"/>
      <c r="O201" s="50"/>
      <c r="P201" s="9"/>
      <c r="Q201" s="49"/>
      <c r="R201" s="49"/>
      <c r="S201" s="9"/>
      <c r="T201" s="9"/>
      <c r="U201" s="9"/>
      <c r="V201" s="9"/>
      <c r="W201" s="9"/>
      <c r="X201" s="9"/>
    </row>
    <row r="202" spans="1:24">
      <c r="A202" s="9"/>
      <c r="B202" s="9"/>
      <c r="C202" s="9"/>
      <c r="D202" s="9"/>
      <c r="E202" s="49"/>
      <c r="F202" s="49"/>
      <c r="G202" s="9"/>
      <c r="H202" s="9"/>
      <c r="I202" s="9"/>
      <c r="J202" s="9"/>
      <c r="K202" s="9"/>
      <c r="L202" s="9"/>
      <c r="M202" s="9"/>
      <c r="N202" s="9"/>
      <c r="O202" s="50"/>
      <c r="P202" s="9"/>
      <c r="Q202" s="49"/>
      <c r="R202" s="49"/>
      <c r="S202" s="9"/>
      <c r="T202" s="9"/>
      <c r="U202" s="9"/>
      <c r="V202" s="9"/>
      <c r="W202" s="9"/>
      <c r="X202" s="9"/>
    </row>
    <row r="203" spans="1:24">
      <c r="A203" s="9"/>
      <c r="B203" s="9"/>
      <c r="C203" s="9"/>
      <c r="D203" s="9"/>
      <c r="E203" s="49"/>
      <c r="F203" s="49"/>
      <c r="G203" s="9"/>
      <c r="H203" s="9"/>
      <c r="I203" s="9"/>
      <c r="J203" s="9"/>
      <c r="K203" s="9"/>
      <c r="L203" s="9"/>
      <c r="M203" s="9"/>
      <c r="N203" s="9"/>
      <c r="O203" s="50"/>
      <c r="P203" s="9"/>
      <c r="Q203" s="49"/>
      <c r="R203" s="49"/>
      <c r="S203" s="9"/>
      <c r="T203" s="9"/>
      <c r="U203" s="9"/>
      <c r="V203" s="9"/>
      <c r="W203" s="9"/>
      <c r="X203" s="9"/>
    </row>
    <row r="204" spans="1:24">
      <c r="A204" s="9"/>
      <c r="B204" s="9"/>
      <c r="C204" s="9"/>
      <c r="D204" s="9"/>
      <c r="E204" s="49"/>
      <c r="F204" s="49"/>
      <c r="G204" s="9"/>
      <c r="H204" s="9"/>
      <c r="I204" s="9"/>
      <c r="J204" s="9"/>
      <c r="K204" s="9"/>
      <c r="L204" s="9"/>
      <c r="M204" s="9"/>
      <c r="N204" s="9"/>
      <c r="O204" s="50"/>
      <c r="P204" s="9"/>
      <c r="Q204" s="49"/>
      <c r="R204" s="49"/>
      <c r="S204" s="9"/>
      <c r="T204" s="9"/>
      <c r="U204" s="9"/>
      <c r="V204" s="9"/>
      <c r="W204" s="9"/>
      <c r="X204" s="9"/>
    </row>
    <row r="205" spans="1:24">
      <c r="A205" s="9"/>
      <c r="B205" s="9"/>
      <c r="C205" s="9"/>
      <c r="D205" s="9"/>
      <c r="E205" s="49"/>
      <c r="F205" s="49"/>
      <c r="G205" s="9"/>
      <c r="H205" s="9"/>
      <c r="I205" s="9"/>
      <c r="J205" s="9"/>
      <c r="K205" s="9"/>
      <c r="L205" s="9"/>
      <c r="M205" s="9"/>
      <c r="N205" s="9"/>
      <c r="O205" s="50"/>
      <c r="P205" s="9"/>
      <c r="Q205" s="49"/>
      <c r="R205" s="49"/>
      <c r="S205" s="9"/>
      <c r="T205" s="9"/>
      <c r="U205" s="9"/>
      <c r="V205" s="9"/>
      <c r="W205" s="9"/>
      <c r="X205" s="9"/>
    </row>
    <row r="206" spans="1:24">
      <c r="A206" s="9"/>
      <c r="B206" s="9"/>
      <c r="C206" s="9"/>
      <c r="D206" s="9"/>
      <c r="E206" s="49"/>
      <c r="F206" s="49"/>
      <c r="G206" s="9"/>
      <c r="H206" s="9"/>
      <c r="I206" s="9"/>
      <c r="J206" s="9"/>
      <c r="K206" s="9"/>
      <c r="L206" s="9"/>
      <c r="M206" s="9"/>
      <c r="N206" s="9"/>
      <c r="O206" s="50"/>
      <c r="P206" s="9"/>
      <c r="Q206" s="49"/>
      <c r="R206" s="49"/>
      <c r="S206" s="9"/>
      <c r="T206" s="9"/>
      <c r="U206" s="9"/>
      <c r="V206" s="9"/>
      <c r="W206" s="9"/>
      <c r="X206" s="9"/>
    </row>
    <row r="207" spans="1:24">
      <c r="A207" s="9"/>
      <c r="B207" s="9"/>
      <c r="C207" s="9"/>
      <c r="D207" s="9"/>
      <c r="E207" s="49"/>
      <c r="F207" s="49"/>
      <c r="G207" s="9"/>
      <c r="H207" s="9"/>
      <c r="I207" s="9"/>
      <c r="J207" s="9"/>
      <c r="K207" s="9"/>
      <c r="L207" s="9"/>
      <c r="M207" s="9"/>
      <c r="N207" s="9"/>
      <c r="O207" s="50"/>
      <c r="P207" s="9"/>
      <c r="Q207" s="49"/>
      <c r="R207" s="49"/>
      <c r="S207" s="9"/>
      <c r="T207" s="9"/>
      <c r="U207" s="9"/>
      <c r="V207" s="9"/>
      <c r="W207" s="9"/>
      <c r="X207" s="9"/>
    </row>
    <row r="208" spans="1:24">
      <c r="A208" s="9"/>
      <c r="B208" s="9"/>
      <c r="C208" s="9"/>
      <c r="D208" s="9"/>
      <c r="E208" s="49"/>
      <c r="F208" s="49"/>
      <c r="G208" s="9"/>
      <c r="H208" s="9"/>
      <c r="I208" s="9"/>
      <c r="J208" s="9"/>
      <c r="K208" s="9"/>
      <c r="L208" s="9"/>
      <c r="M208" s="9"/>
      <c r="N208" s="9"/>
      <c r="O208" s="50"/>
      <c r="P208" s="9"/>
      <c r="Q208" s="49"/>
      <c r="R208" s="49"/>
      <c r="S208" s="9"/>
      <c r="T208" s="9"/>
      <c r="U208" s="9"/>
      <c r="V208" s="9"/>
      <c r="W208" s="9"/>
      <c r="X208" s="9"/>
    </row>
    <row r="209" spans="1:24">
      <c r="A209" s="9"/>
      <c r="B209" s="9"/>
      <c r="C209" s="9"/>
      <c r="D209" s="9"/>
      <c r="E209" s="49"/>
      <c r="F209" s="49"/>
      <c r="G209" s="9"/>
      <c r="H209" s="9"/>
      <c r="I209" s="9"/>
      <c r="J209" s="9"/>
      <c r="K209" s="9"/>
      <c r="L209" s="9"/>
      <c r="M209" s="9"/>
      <c r="N209" s="9"/>
      <c r="O209" s="50"/>
      <c r="P209" s="9"/>
      <c r="Q209" s="49"/>
      <c r="R209" s="49"/>
      <c r="S209" s="9"/>
      <c r="T209" s="9"/>
      <c r="U209" s="9"/>
      <c r="V209" s="9"/>
      <c r="W209" s="9"/>
      <c r="X209" s="9"/>
    </row>
    <row r="210" spans="1:24">
      <c r="A210" s="9"/>
      <c r="B210" s="9"/>
      <c r="C210" s="9"/>
      <c r="D210" s="9"/>
      <c r="E210" s="49"/>
      <c r="F210" s="49"/>
      <c r="G210" s="9"/>
      <c r="H210" s="9"/>
      <c r="I210" s="9"/>
      <c r="J210" s="9"/>
      <c r="K210" s="9"/>
      <c r="L210" s="9"/>
      <c r="M210" s="9"/>
      <c r="N210" s="9"/>
      <c r="O210" s="50"/>
      <c r="P210" s="9"/>
      <c r="Q210" s="49"/>
      <c r="R210" s="49"/>
      <c r="S210" s="9"/>
      <c r="T210" s="9"/>
      <c r="U210" s="9"/>
      <c r="V210" s="9"/>
      <c r="W210" s="9"/>
      <c r="X210" s="9"/>
    </row>
    <row r="211" spans="1:24">
      <c r="A211" s="9"/>
      <c r="B211" s="9"/>
      <c r="C211" s="9"/>
      <c r="D211" s="9"/>
      <c r="E211" s="49"/>
      <c r="F211" s="49"/>
      <c r="G211" s="9"/>
      <c r="H211" s="9"/>
      <c r="I211" s="9"/>
      <c r="J211" s="9"/>
      <c r="K211" s="9"/>
      <c r="L211" s="9"/>
      <c r="M211" s="9"/>
      <c r="N211" s="9"/>
      <c r="O211" s="50"/>
      <c r="P211" s="9"/>
      <c r="Q211" s="49"/>
      <c r="R211" s="49"/>
      <c r="S211" s="9"/>
      <c r="T211" s="9"/>
      <c r="U211" s="9"/>
      <c r="V211" s="9"/>
      <c r="W211" s="9"/>
      <c r="X211" s="9"/>
    </row>
    <row r="212" spans="1:24">
      <c r="A212" s="9"/>
      <c r="B212" s="9"/>
      <c r="C212" s="9"/>
      <c r="D212" s="9"/>
      <c r="E212" s="49"/>
      <c r="F212" s="49"/>
      <c r="G212" s="9"/>
      <c r="H212" s="9"/>
      <c r="I212" s="9"/>
      <c r="J212" s="9"/>
      <c r="K212" s="9"/>
      <c r="L212" s="9"/>
      <c r="M212" s="9"/>
      <c r="N212" s="9"/>
      <c r="O212" s="50"/>
      <c r="P212" s="9"/>
      <c r="Q212" s="49"/>
      <c r="R212" s="49"/>
      <c r="S212" s="9"/>
      <c r="T212" s="9"/>
      <c r="U212" s="9"/>
      <c r="V212" s="9"/>
      <c r="W212" s="9"/>
      <c r="X212" s="9"/>
    </row>
    <row r="213" spans="1:24">
      <c r="A213" s="9"/>
      <c r="B213" s="9"/>
      <c r="C213" s="9"/>
      <c r="D213" s="9"/>
      <c r="E213" s="49"/>
      <c r="F213" s="49"/>
      <c r="G213" s="9"/>
      <c r="H213" s="9"/>
      <c r="I213" s="9"/>
      <c r="J213" s="9"/>
      <c r="K213" s="9"/>
      <c r="L213" s="9"/>
      <c r="M213" s="9"/>
      <c r="N213" s="9"/>
      <c r="O213" s="50"/>
      <c r="P213" s="9"/>
      <c r="Q213" s="49"/>
      <c r="R213" s="49"/>
      <c r="S213" s="9"/>
      <c r="T213" s="9"/>
      <c r="U213" s="9"/>
      <c r="V213" s="9"/>
      <c r="W213" s="9"/>
      <c r="X213" s="9"/>
    </row>
    <row r="214" spans="1:24">
      <c r="A214" s="9"/>
      <c r="B214" s="9"/>
      <c r="C214" s="9"/>
      <c r="D214" s="9"/>
      <c r="E214" s="49"/>
      <c r="F214" s="49"/>
      <c r="G214" s="9"/>
      <c r="H214" s="9"/>
      <c r="I214" s="9"/>
      <c r="J214" s="9"/>
      <c r="K214" s="9"/>
      <c r="L214" s="9"/>
      <c r="M214" s="9"/>
      <c r="N214" s="9"/>
      <c r="O214" s="50"/>
      <c r="P214" s="9"/>
      <c r="Q214" s="49"/>
      <c r="R214" s="49"/>
      <c r="S214" s="9"/>
      <c r="T214" s="9"/>
      <c r="U214" s="9"/>
      <c r="V214" s="9"/>
      <c r="W214" s="9"/>
      <c r="X214" s="9"/>
    </row>
    <row r="215" spans="1:24">
      <c r="A215" s="9"/>
      <c r="B215" s="9"/>
      <c r="C215" s="9"/>
      <c r="D215" s="9"/>
      <c r="E215" s="49"/>
      <c r="F215" s="49"/>
      <c r="G215" s="9"/>
      <c r="H215" s="9"/>
      <c r="I215" s="9"/>
      <c r="J215" s="9"/>
      <c r="K215" s="9"/>
      <c r="L215" s="9"/>
      <c r="M215" s="9"/>
      <c r="N215" s="9"/>
      <c r="O215" s="50"/>
      <c r="P215" s="9"/>
      <c r="Q215" s="49"/>
      <c r="R215" s="49"/>
      <c r="S215" s="9"/>
      <c r="T215" s="9"/>
      <c r="U215" s="9"/>
      <c r="V215" s="9"/>
      <c r="W215" s="9"/>
      <c r="X215" s="9"/>
    </row>
    <row r="216" spans="1:24">
      <c r="A216" s="9"/>
      <c r="B216" s="9"/>
      <c r="C216" s="9"/>
      <c r="D216" s="9"/>
      <c r="E216" s="49"/>
      <c r="F216" s="49"/>
      <c r="G216" s="9"/>
      <c r="H216" s="9"/>
      <c r="I216" s="9"/>
      <c r="J216" s="9"/>
      <c r="K216" s="9"/>
      <c r="L216" s="9"/>
      <c r="M216" s="9"/>
      <c r="N216" s="9"/>
      <c r="O216" s="50"/>
      <c r="P216" s="9"/>
      <c r="Q216" s="49"/>
      <c r="R216" s="49"/>
      <c r="S216" s="9"/>
      <c r="T216" s="9"/>
      <c r="U216" s="9"/>
      <c r="V216" s="9"/>
      <c r="W216" s="9"/>
      <c r="X216" s="9"/>
    </row>
    <row r="217" spans="1:24">
      <c r="A217" s="9"/>
      <c r="B217" s="9"/>
      <c r="C217" s="9"/>
      <c r="D217" s="9"/>
      <c r="E217" s="49"/>
      <c r="F217" s="49"/>
      <c r="G217" s="9"/>
      <c r="H217" s="9"/>
      <c r="I217" s="9"/>
      <c r="J217" s="9"/>
      <c r="K217" s="9"/>
      <c r="L217" s="9"/>
      <c r="M217" s="9"/>
      <c r="N217" s="9"/>
      <c r="O217" s="50"/>
      <c r="P217" s="9"/>
      <c r="Q217" s="49"/>
      <c r="R217" s="49"/>
      <c r="S217" s="9"/>
      <c r="T217" s="9"/>
      <c r="U217" s="9"/>
      <c r="V217" s="9"/>
      <c r="W217" s="9"/>
      <c r="X217" s="9"/>
    </row>
    <row r="218" spans="1:24">
      <c r="A218" s="9"/>
      <c r="B218" s="9"/>
      <c r="C218" s="9"/>
      <c r="D218" s="9"/>
      <c r="E218" s="49"/>
      <c r="F218" s="49"/>
      <c r="G218" s="9"/>
      <c r="H218" s="9"/>
      <c r="I218" s="9"/>
      <c r="J218" s="9"/>
      <c r="K218" s="9"/>
      <c r="L218" s="9"/>
      <c r="M218" s="9"/>
      <c r="N218" s="9"/>
      <c r="O218" s="50"/>
      <c r="P218" s="9"/>
      <c r="Q218" s="49"/>
      <c r="R218" s="49"/>
      <c r="S218" s="9"/>
      <c r="T218" s="9"/>
      <c r="U218" s="9"/>
      <c r="V218" s="9"/>
      <c r="W218" s="9"/>
      <c r="X218" s="9"/>
    </row>
    <row r="219" spans="1:24">
      <c r="A219" s="9"/>
      <c r="B219" s="9"/>
      <c r="C219" s="9"/>
      <c r="D219" s="9"/>
      <c r="E219" s="49"/>
      <c r="F219" s="49"/>
      <c r="G219" s="9"/>
      <c r="H219" s="9"/>
      <c r="I219" s="9"/>
      <c r="J219" s="9"/>
      <c r="K219" s="9"/>
      <c r="L219" s="9"/>
      <c r="M219" s="9"/>
      <c r="N219" s="9"/>
      <c r="O219" s="50"/>
      <c r="P219" s="9"/>
      <c r="Q219" s="49"/>
      <c r="R219" s="49"/>
      <c r="S219" s="9"/>
      <c r="T219" s="9"/>
      <c r="U219" s="9"/>
      <c r="V219" s="9"/>
      <c r="W219" s="9"/>
      <c r="X219" s="9"/>
    </row>
    <row r="220" spans="1:24">
      <c r="A220" s="9"/>
      <c r="B220" s="9"/>
      <c r="C220" s="9"/>
      <c r="D220" s="9"/>
      <c r="E220" s="49"/>
      <c r="F220" s="49"/>
      <c r="G220" s="9"/>
      <c r="H220" s="9"/>
      <c r="I220" s="9"/>
      <c r="J220" s="9"/>
      <c r="K220" s="9"/>
      <c r="L220" s="9"/>
      <c r="M220" s="9"/>
      <c r="N220" s="9"/>
      <c r="O220" s="50"/>
      <c r="P220" s="9"/>
      <c r="Q220" s="49"/>
      <c r="R220" s="49"/>
      <c r="S220" s="9"/>
      <c r="T220" s="9"/>
      <c r="U220" s="9"/>
      <c r="V220" s="9"/>
      <c r="W220" s="9"/>
      <c r="X220" s="9"/>
    </row>
    <row r="221" spans="1:24">
      <c r="A221" s="9"/>
      <c r="B221" s="9"/>
      <c r="C221" s="9"/>
      <c r="D221" s="9"/>
      <c r="E221" s="49"/>
      <c r="F221" s="49"/>
      <c r="G221" s="9"/>
      <c r="H221" s="9"/>
      <c r="I221" s="9"/>
      <c r="J221" s="9"/>
      <c r="K221" s="9"/>
      <c r="L221" s="9"/>
      <c r="M221" s="9"/>
      <c r="N221" s="9"/>
      <c r="O221" s="50"/>
      <c r="P221" s="9"/>
      <c r="Q221" s="49"/>
      <c r="R221" s="49"/>
      <c r="S221" s="9"/>
      <c r="T221" s="9"/>
      <c r="U221" s="9"/>
      <c r="V221" s="9"/>
      <c r="W221" s="9"/>
      <c r="X221" s="9"/>
    </row>
    <row r="222" spans="1:24">
      <c r="A222" s="9"/>
      <c r="B222" s="9"/>
      <c r="C222" s="9"/>
      <c r="D222" s="9"/>
      <c r="E222" s="49"/>
      <c r="F222" s="49"/>
      <c r="G222" s="9"/>
      <c r="H222" s="9"/>
      <c r="I222" s="9"/>
      <c r="J222" s="9"/>
      <c r="K222" s="9"/>
      <c r="L222" s="9"/>
      <c r="M222" s="9"/>
      <c r="N222" s="9"/>
      <c r="O222" s="50"/>
      <c r="P222" s="9"/>
      <c r="Q222" s="49"/>
      <c r="R222" s="49"/>
      <c r="S222" s="9"/>
      <c r="T222" s="9"/>
      <c r="U222" s="9"/>
      <c r="V222" s="9"/>
      <c r="W222" s="9"/>
      <c r="X222" s="9"/>
    </row>
    <row r="223" spans="1:24">
      <c r="A223" s="9"/>
      <c r="B223" s="9"/>
      <c r="C223" s="9"/>
      <c r="D223" s="9"/>
      <c r="E223" s="49"/>
      <c r="F223" s="49"/>
      <c r="G223" s="9"/>
      <c r="H223" s="9"/>
      <c r="I223" s="9"/>
      <c r="J223" s="9"/>
      <c r="K223" s="9"/>
      <c r="L223" s="9"/>
      <c r="M223" s="9"/>
      <c r="N223" s="9"/>
      <c r="O223" s="50"/>
      <c r="P223" s="9"/>
      <c r="Q223" s="49"/>
      <c r="R223" s="49"/>
      <c r="S223" s="9"/>
      <c r="T223" s="9"/>
      <c r="U223" s="9"/>
      <c r="V223" s="9"/>
      <c r="W223" s="9"/>
      <c r="X223" s="9"/>
    </row>
    <row r="224" spans="1:24">
      <c r="A224" s="9"/>
      <c r="B224" s="9"/>
      <c r="C224" s="9"/>
      <c r="D224" s="9"/>
      <c r="E224" s="49"/>
      <c r="F224" s="49"/>
      <c r="G224" s="9"/>
      <c r="H224" s="9"/>
      <c r="I224" s="9"/>
      <c r="J224" s="9"/>
      <c r="K224" s="9"/>
      <c r="L224" s="9"/>
      <c r="M224" s="9"/>
      <c r="N224" s="9"/>
      <c r="O224" s="50"/>
      <c r="P224" s="9"/>
      <c r="Q224" s="49"/>
      <c r="R224" s="49"/>
      <c r="S224" s="9"/>
      <c r="T224" s="9"/>
      <c r="U224" s="9"/>
      <c r="V224" s="9"/>
      <c r="W224" s="9"/>
      <c r="X224" s="9"/>
    </row>
    <row r="225" spans="1:24">
      <c r="A225" s="9"/>
      <c r="B225" s="9"/>
      <c r="C225" s="9"/>
      <c r="D225" s="9"/>
      <c r="E225" s="49"/>
      <c r="F225" s="49"/>
      <c r="G225" s="9"/>
      <c r="H225" s="9"/>
      <c r="I225" s="9"/>
      <c r="J225" s="9"/>
      <c r="K225" s="9"/>
      <c r="L225" s="9"/>
      <c r="M225" s="9"/>
      <c r="N225" s="9"/>
      <c r="O225" s="50"/>
      <c r="P225" s="9"/>
      <c r="Q225" s="49"/>
      <c r="R225" s="49"/>
      <c r="S225" s="9"/>
      <c r="T225" s="9"/>
      <c r="U225" s="9"/>
      <c r="V225" s="9"/>
      <c r="W225" s="9"/>
      <c r="X225" s="9"/>
    </row>
    <row r="226" spans="1:24">
      <c r="A226" s="9"/>
      <c r="B226" s="9"/>
      <c r="C226" s="9"/>
      <c r="D226" s="9"/>
      <c r="E226" s="49"/>
      <c r="F226" s="49"/>
      <c r="G226" s="9"/>
      <c r="H226" s="9"/>
      <c r="I226" s="9"/>
      <c r="J226" s="9"/>
      <c r="K226" s="9"/>
      <c r="L226" s="9"/>
      <c r="M226" s="9"/>
      <c r="N226" s="9"/>
      <c r="O226" s="50"/>
      <c r="P226" s="9"/>
      <c r="Q226" s="49"/>
      <c r="R226" s="49"/>
      <c r="S226" s="9"/>
      <c r="T226" s="9"/>
      <c r="U226" s="9"/>
      <c r="V226" s="9"/>
      <c r="W226" s="9"/>
      <c r="X226" s="9"/>
    </row>
    <row r="227" spans="1:24">
      <c r="A227" s="9"/>
      <c r="B227" s="9"/>
      <c r="C227" s="9"/>
      <c r="D227" s="9"/>
      <c r="E227" s="49"/>
      <c r="F227" s="49"/>
      <c r="G227" s="9"/>
      <c r="H227" s="9"/>
      <c r="I227" s="9"/>
      <c r="J227" s="9"/>
      <c r="K227" s="9"/>
      <c r="L227" s="9"/>
      <c r="M227" s="9"/>
      <c r="N227" s="9"/>
      <c r="O227" s="50"/>
      <c r="P227" s="9"/>
      <c r="Q227" s="49"/>
      <c r="R227" s="49"/>
      <c r="S227" s="9"/>
      <c r="T227" s="9"/>
      <c r="U227" s="9"/>
      <c r="V227" s="9"/>
      <c r="W227" s="9"/>
      <c r="X227" s="9"/>
    </row>
    <row r="228" spans="1:24">
      <c r="A228" s="9"/>
      <c r="B228" s="9"/>
      <c r="C228" s="9"/>
      <c r="D228" s="9"/>
      <c r="E228" s="49"/>
      <c r="F228" s="49"/>
      <c r="G228" s="9"/>
      <c r="H228" s="9"/>
      <c r="I228" s="9"/>
      <c r="J228" s="9"/>
      <c r="K228" s="9"/>
      <c r="L228" s="9"/>
      <c r="M228" s="9"/>
      <c r="N228" s="9"/>
      <c r="O228" s="50"/>
      <c r="P228" s="9"/>
      <c r="Q228" s="49"/>
      <c r="R228" s="49"/>
      <c r="S228" s="9"/>
      <c r="T228" s="9"/>
      <c r="U228" s="9"/>
      <c r="V228" s="9"/>
      <c r="W228" s="9"/>
      <c r="X228" s="9"/>
    </row>
    <row r="229" spans="1:24">
      <c r="A229" s="9"/>
      <c r="B229" s="9"/>
      <c r="C229" s="9"/>
      <c r="D229" s="9"/>
      <c r="E229" s="49"/>
      <c r="F229" s="49"/>
      <c r="G229" s="9"/>
      <c r="H229" s="9"/>
      <c r="I229" s="9"/>
      <c r="J229" s="9"/>
      <c r="K229" s="9"/>
      <c r="L229" s="9"/>
      <c r="M229" s="9"/>
      <c r="N229" s="9"/>
      <c r="O229" s="50"/>
      <c r="P229" s="9"/>
      <c r="Q229" s="49"/>
      <c r="R229" s="49"/>
      <c r="S229" s="9"/>
      <c r="T229" s="9"/>
      <c r="U229" s="9"/>
      <c r="V229" s="9"/>
      <c r="W229" s="9"/>
      <c r="X229" s="9"/>
    </row>
    <row r="230" spans="1:24">
      <c r="A230" s="9"/>
      <c r="B230" s="9"/>
      <c r="C230" s="9"/>
      <c r="D230" s="9"/>
      <c r="E230" s="49"/>
      <c r="F230" s="49"/>
      <c r="G230" s="9"/>
      <c r="H230" s="9"/>
      <c r="I230" s="9"/>
      <c r="J230" s="9"/>
      <c r="K230" s="9"/>
      <c r="L230" s="9"/>
      <c r="M230" s="9"/>
      <c r="N230" s="9"/>
      <c r="O230" s="50"/>
      <c r="P230" s="9"/>
      <c r="Q230" s="49"/>
      <c r="R230" s="49"/>
      <c r="S230" s="9"/>
      <c r="T230" s="9"/>
      <c r="U230" s="9"/>
      <c r="V230" s="9"/>
      <c r="W230" s="9"/>
      <c r="X230" s="9"/>
    </row>
    <row r="231" spans="1:24">
      <c r="A231" s="9"/>
      <c r="B231" s="9"/>
      <c r="C231" s="9"/>
      <c r="D231" s="9"/>
      <c r="E231" s="49"/>
      <c r="F231" s="49"/>
      <c r="G231" s="9"/>
      <c r="H231" s="9"/>
      <c r="I231" s="9"/>
      <c r="J231" s="9"/>
      <c r="K231" s="9"/>
      <c r="L231" s="9"/>
      <c r="M231" s="9"/>
      <c r="N231" s="9"/>
      <c r="O231" s="50"/>
      <c r="P231" s="9"/>
      <c r="Q231" s="49"/>
      <c r="R231" s="49"/>
      <c r="S231" s="9"/>
      <c r="T231" s="9"/>
      <c r="U231" s="9"/>
      <c r="V231" s="9"/>
      <c r="W231" s="9"/>
      <c r="X231" s="9"/>
    </row>
    <row r="232" spans="1:24">
      <c r="A232" s="9"/>
      <c r="B232" s="9"/>
      <c r="C232" s="9"/>
      <c r="D232" s="9"/>
      <c r="E232" s="49"/>
      <c r="F232" s="49"/>
      <c r="G232" s="9"/>
      <c r="H232" s="9"/>
      <c r="I232" s="9"/>
      <c r="J232" s="9"/>
      <c r="K232" s="9"/>
      <c r="L232" s="9"/>
      <c r="M232" s="9"/>
      <c r="N232" s="9"/>
      <c r="O232" s="50"/>
      <c r="P232" s="9"/>
      <c r="Q232" s="49"/>
      <c r="R232" s="49"/>
      <c r="S232" s="9"/>
      <c r="T232" s="9"/>
      <c r="U232" s="9"/>
      <c r="V232" s="9"/>
      <c r="W232" s="9"/>
      <c r="X232" s="9"/>
    </row>
    <row r="233" spans="1:24">
      <c r="A233" s="9"/>
      <c r="B233" s="9"/>
      <c r="C233" s="9"/>
      <c r="D233" s="9"/>
      <c r="E233" s="49"/>
      <c r="F233" s="49"/>
      <c r="G233" s="9"/>
      <c r="H233" s="9"/>
      <c r="I233" s="9"/>
      <c r="J233" s="9"/>
      <c r="K233" s="9"/>
      <c r="L233" s="9"/>
      <c r="M233" s="9"/>
      <c r="N233" s="9"/>
      <c r="O233" s="50"/>
      <c r="P233" s="9"/>
      <c r="Q233" s="49"/>
      <c r="R233" s="49"/>
      <c r="S233" s="9"/>
      <c r="T233" s="9"/>
      <c r="U233" s="9"/>
      <c r="V233" s="9"/>
      <c r="W233" s="9"/>
      <c r="X233" s="9"/>
    </row>
    <row r="234" spans="1:24">
      <c r="A234" s="9"/>
      <c r="B234" s="9"/>
      <c r="C234" s="9"/>
      <c r="D234" s="9"/>
      <c r="E234" s="49"/>
      <c r="F234" s="49"/>
      <c r="G234" s="9"/>
      <c r="H234" s="9"/>
      <c r="I234" s="9"/>
      <c r="J234" s="9"/>
      <c r="K234" s="9"/>
      <c r="L234" s="9"/>
      <c r="M234" s="9"/>
      <c r="N234" s="9"/>
      <c r="O234" s="50"/>
      <c r="P234" s="9"/>
      <c r="Q234" s="49"/>
      <c r="R234" s="49"/>
      <c r="S234" s="9"/>
      <c r="T234" s="9"/>
      <c r="U234" s="9"/>
      <c r="V234" s="9"/>
      <c r="W234" s="9"/>
      <c r="X234" s="9"/>
    </row>
    <row r="235" spans="1:24">
      <c r="A235" s="9"/>
      <c r="B235" s="9"/>
      <c r="C235" s="9"/>
      <c r="D235" s="9"/>
      <c r="E235" s="49"/>
      <c r="F235" s="49"/>
      <c r="G235" s="9"/>
      <c r="H235" s="9"/>
      <c r="I235" s="9"/>
      <c r="J235" s="9"/>
      <c r="K235" s="9"/>
      <c r="L235" s="9"/>
      <c r="M235" s="9"/>
      <c r="N235" s="9"/>
      <c r="O235" s="50"/>
      <c r="P235" s="9"/>
      <c r="Q235" s="49"/>
      <c r="R235" s="49"/>
      <c r="S235" s="9"/>
      <c r="T235" s="9"/>
      <c r="U235" s="9"/>
      <c r="V235" s="9"/>
      <c r="W235" s="9"/>
      <c r="X235" s="9"/>
    </row>
    <row r="236" spans="1:24">
      <c r="A236" s="9"/>
      <c r="B236" s="9"/>
      <c r="C236" s="9"/>
      <c r="D236" s="9"/>
      <c r="E236" s="49"/>
      <c r="F236" s="49"/>
      <c r="G236" s="9"/>
      <c r="H236" s="9"/>
      <c r="I236" s="9"/>
      <c r="J236" s="9"/>
      <c r="K236" s="9"/>
      <c r="L236" s="9"/>
      <c r="M236" s="9"/>
      <c r="N236" s="9"/>
      <c r="O236" s="50"/>
      <c r="P236" s="9"/>
      <c r="Q236" s="49"/>
      <c r="R236" s="49"/>
      <c r="S236" s="9"/>
      <c r="T236" s="9"/>
      <c r="U236" s="9"/>
      <c r="V236" s="9"/>
      <c r="W236" s="9"/>
      <c r="X236" s="9"/>
    </row>
    <row r="237" spans="1:24">
      <c r="A237" s="9"/>
      <c r="B237" s="9"/>
      <c r="C237" s="9"/>
      <c r="D237" s="9"/>
      <c r="E237" s="49"/>
      <c r="F237" s="49"/>
      <c r="G237" s="9"/>
      <c r="H237" s="9"/>
      <c r="I237" s="9"/>
      <c r="J237" s="9"/>
      <c r="K237" s="9"/>
      <c r="L237" s="9"/>
      <c r="M237" s="9"/>
      <c r="N237" s="9"/>
      <c r="O237" s="50"/>
      <c r="P237" s="9"/>
      <c r="Q237" s="49"/>
      <c r="R237" s="49"/>
      <c r="S237" s="9"/>
      <c r="T237" s="9"/>
      <c r="U237" s="9"/>
      <c r="V237" s="9"/>
      <c r="W237" s="9"/>
      <c r="X237" s="9"/>
    </row>
    <row r="238" spans="1:24">
      <c r="A238" s="9"/>
      <c r="B238" s="9"/>
      <c r="C238" s="9"/>
      <c r="D238" s="9"/>
      <c r="E238" s="49"/>
      <c r="F238" s="49"/>
      <c r="G238" s="9"/>
      <c r="H238" s="9"/>
      <c r="I238" s="9"/>
      <c r="J238" s="9"/>
      <c r="K238" s="9"/>
      <c r="L238" s="9"/>
      <c r="M238" s="9"/>
      <c r="N238" s="9"/>
      <c r="O238" s="50"/>
      <c r="P238" s="9"/>
      <c r="Q238" s="49"/>
      <c r="R238" s="49"/>
      <c r="S238" s="9"/>
      <c r="T238" s="9"/>
      <c r="U238" s="9"/>
      <c r="V238" s="9"/>
      <c r="W238" s="9"/>
      <c r="X238" s="9"/>
    </row>
    <row r="239" spans="1:24">
      <c r="A239" s="9"/>
      <c r="B239" s="9"/>
      <c r="C239" s="9"/>
      <c r="D239" s="9"/>
      <c r="E239" s="49"/>
      <c r="F239" s="49"/>
      <c r="G239" s="9"/>
      <c r="H239" s="9"/>
      <c r="I239" s="9"/>
      <c r="J239" s="9"/>
      <c r="K239" s="9"/>
      <c r="L239" s="9"/>
      <c r="M239" s="9"/>
      <c r="N239" s="9"/>
      <c r="O239" s="50"/>
      <c r="P239" s="9"/>
      <c r="Q239" s="49"/>
      <c r="R239" s="49"/>
      <c r="S239" s="9"/>
      <c r="T239" s="9"/>
      <c r="U239" s="9"/>
      <c r="V239" s="9"/>
      <c r="W239" s="9"/>
      <c r="X239" s="9"/>
    </row>
    <row r="240" spans="1:24">
      <c r="A240" s="9"/>
      <c r="B240" s="9"/>
      <c r="C240" s="9"/>
      <c r="D240" s="9"/>
      <c r="E240" s="49"/>
      <c r="F240" s="49"/>
      <c r="G240" s="9"/>
      <c r="H240" s="9"/>
      <c r="I240" s="9"/>
      <c r="J240" s="9"/>
      <c r="K240" s="9"/>
      <c r="L240" s="9"/>
      <c r="M240" s="9"/>
      <c r="N240" s="9"/>
      <c r="O240" s="50"/>
      <c r="P240" s="9"/>
      <c r="Q240" s="49"/>
      <c r="R240" s="49"/>
      <c r="S240" s="9"/>
      <c r="T240" s="9"/>
      <c r="U240" s="9"/>
      <c r="V240" s="9"/>
      <c r="W240" s="9"/>
      <c r="X240" s="9"/>
    </row>
    <row r="241" spans="1:24">
      <c r="A241" s="9"/>
      <c r="B241" s="9"/>
      <c r="C241" s="9"/>
      <c r="D241" s="9"/>
      <c r="E241" s="49"/>
      <c r="F241" s="49"/>
      <c r="G241" s="9"/>
      <c r="H241" s="9"/>
      <c r="I241" s="9"/>
      <c r="J241" s="9"/>
      <c r="K241" s="9"/>
      <c r="L241" s="9"/>
      <c r="M241" s="9"/>
      <c r="N241" s="9"/>
      <c r="O241" s="50"/>
      <c r="P241" s="9"/>
      <c r="Q241" s="49"/>
      <c r="R241" s="49"/>
      <c r="S241" s="9"/>
      <c r="T241" s="9"/>
      <c r="U241" s="9"/>
      <c r="V241" s="9"/>
      <c r="W241" s="9"/>
      <c r="X241" s="9"/>
    </row>
    <row r="242" spans="1:24">
      <c r="A242" s="9"/>
      <c r="B242" s="9"/>
      <c r="C242" s="9"/>
      <c r="D242" s="9"/>
      <c r="E242" s="49"/>
      <c r="F242" s="49"/>
      <c r="G242" s="9"/>
      <c r="H242" s="9"/>
      <c r="I242" s="9"/>
      <c r="J242" s="9"/>
      <c r="K242" s="9"/>
      <c r="L242" s="9"/>
      <c r="M242" s="9"/>
      <c r="N242" s="9"/>
      <c r="O242" s="50"/>
      <c r="P242" s="9"/>
      <c r="Q242" s="49"/>
      <c r="R242" s="49"/>
      <c r="S242" s="9"/>
      <c r="T242" s="9"/>
      <c r="U242" s="9"/>
      <c r="V242" s="9"/>
      <c r="W242" s="9"/>
      <c r="X242" s="9"/>
    </row>
    <row r="243" spans="1:24">
      <c r="A243" s="9"/>
      <c r="B243" s="9"/>
      <c r="C243" s="9"/>
      <c r="D243" s="9"/>
      <c r="E243" s="49"/>
      <c r="F243" s="49"/>
      <c r="G243" s="9"/>
      <c r="H243" s="9"/>
      <c r="I243" s="9"/>
      <c r="J243" s="9"/>
      <c r="K243" s="9"/>
      <c r="L243" s="9"/>
      <c r="M243" s="9"/>
      <c r="N243" s="9"/>
      <c r="O243" s="50"/>
      <c r="P243" s="9"/>
      <c r="Q243" s="49"/>
      <c r="R243" s="49"/>
      <c r="S243" s="9"/>
      <c r="T243" s="9"/>
      <c r="U243" s="9"/>
      <c r="V243" s="9"/>
      <c r="W243" s="9"/>
      <c r="X243" s="9"/>
    </row>
    <row r="244" spans="1:24">
      <c r="A244" s="9"/>
      <c r="B244" s="9"/>
      <c r="C244" s="9"/>
      <c r="D244" s="9"/>
      <c r="E244" s="49"/>
      <c r="F244" s="49"/>
      <c r="G244" s="9"/>
      <c r="H244" s="9"/>
      <c r="I244" s="9"/>
      <c r="J244" s="9"/>
      <c r="K244" s="9"/>
      <c r="L244" s="9"/>
      <c r="M244" s="9"/>
      <c r="N244" s="9"/>
      <c r="O244" s="50"/>
      <c r="P244" s="9"/>
      <c r="Q244" s="49"/>
      <c r="R244" s="49"/>
      <c r="S244" s="9"/>
      <c r="T244" s="9"/>
      <c r="U244" s="9"/>
      <c r="V244" s="9"/>
      <c r="W244" s="9"/>
      <c r="X244" s="9"/>
    </row>
    <row r="245" spans="1:24">
      <c r="A245" s="9"/>
      <c r="B245" s="9"/>
      <c r="C245" s="9"/>
      <c r="D245" s="9"/>
      <c r="E245" s="49"/>
      <c r="F245" s="49"/>
      <c r="G245" s="9"/>
      <c r="H245" s="9"/>
      <c r="I245" s="9"/>
      <c r="J245" s="9"/>
      <c r="K245" s="9"/>
      <c r="L245" s="9"/>
      <c r="M245" s="9"/>
      <c r="N245" s="9"/>
      <c r="O245" s="50"/>
      <c r="P245" s="9"/>
      <c r="Q245" s="49"/>
      <c r="R245" s="49"/>
      <c r="S245" s="9"/>
      <c r="T245" s="9"/>
      <c r="U245" s="9"/>
      <c r="V245" s="9"/>
      <c r="W245" s="9"/>
      <c r="X245" s="9"/>
    </row>
    <row r="246" spans="1:24">
      <c r="A246" s="9"/>
      <c r="B246" s="9"/>
      <c r="C246" s="9"/>
      <c r="D246" s="9"/>
      <c r="E246" s="49"/>
      <c r="F246" s="49"/>
      <c r="G246" s="9"/>
      <c r="H246" s="9"/>
      <c r="I246" s="9"/>
      <c r="J246" s="9"/>
      <c r="K246" s="9"/>
      <c r="L246" s="9"/>
      <c r="M246" s="9"/>
      <c r="N246" s="9"/>
      <c r="O246" s="50"/>
      <c r="P246" s="9"/>
      <c r="Q246" s="49"/>
      <c r="R246" s="49"/>
      <c r="S246" s="9"/>
      <c r="T246" s="9"/>
      <c r="U246" s="9"/>
      <c r="V246" s="9"/>
      <c r="W246" s="9"/>
      <c r="X246" s="9"/>
    </row>
    <row r="247" spans="1:24">
      <c r="A247" s="9"/>
      <c r="B247" s="9"/>
      <c r="C247" s="9"/>
      <c r="D247" s="9"/>
      <c r="E247" s="49"/>
      <c r="F247" s="49"/>
      <c r="G247" s="9"/>
      <c r="H247" s="9"/>
      <c r="I247" s="9"/>
      <c r="J247" s="9"/>
      <c r="K247" s="9"/>
      <c r="L247" s="9"/>
      <c r="M247" s="9"/>
      <c r="N247" s="9"/>
      <c r="O247" s="50"/>
      <c r="P247" s="9"/>
      <c r="Q247" s="49"/>
      <c r="R247" s="49"/>
      <c r="S247" s="9"/>
      <c r="T247" s="9"/>
      <c r="U247" s="9"/>
      <c r="V247" s="9"/>
      <c r="W247" s="9"/>
      <c r="X247" s="9"/>
    </row>
    <row r="248" spans="1:24">
      <c r="A248" s="9"/>
      <c r="B248" s="9"/>
      <c r="C248" s="9"/>
      <c r="D248" s="9"/>
      <c r="E248" s="49"/>
      <c r="F248" s="49"/>
      <c r="G248" s="9"/>
      <c r="H248" s="9"/>
      <c r="I248" s="9"/>
      <c r="J248" s="9"/>
      <c r="K248" s="9"/>
      <c r="L248" s="9"/>
      <c r="M248" s="9"/>
      <c r="N248" s="9"/>
      <c r="O248" s="50"/>
      <c r="P248" s="9"/>
      <c r="Q248" s="49"/>
      <c r="R248" s="49"/>
      <c r="S248" s="9"/>
      <c r="T248" s="9"/>
      <c r="U248" s="9"/>
      <c r="V248" s="9"/>
      <c r="W248" s="9"/>
      <c r="X248" s="9"/>
    </row>
    <row r="249" spans="1:24">
      <c r="A249" s="9"/>
      <c r="B249" s="9"/>
      <c r="C249" s="9"/>
      <c r="D249" s="9"/>
      <c r="E249" s="49"/>
      <c r="F249" s="49"/>
      <c r="G249" s="9"/>
      <c r="H249" s="9"/>
      <c r="I249" s="9"/>
      <c r="J249" s="9"/>
      <c r="K249" s="9"/>
      <c r="L249" s="9"/>
      <c r="M249" s="9"/>
      <c r="N249" s="9"/>
      <c r="O249" s="50"/>
      <c r="P249" s="9"/>
      <c r="Q249" s="49"/>
      <c r="R249" s="49"/>
      <c r="S249" s="9"/>
      <c r="T249" s="9"/>
      <c r="U249" s="9"/>
      <c r="V249" s="9"/>
      <c r="W249" s="9"/>
      <c r="X249" s="9"/>
    </row>
    <row r="250" spans="1:24">
      <c r="A250" s="9"/>
      <c r="B250" s="9"/>
      <c r="C250" s="9"/>
      <c r="D250" s="9"/>
      <c r="E250" s="49"/>
      <c r="F250" s="49"/>
      <c r="G250" s="9"/>
      <c r="H250" s="9"/>
      <c r="I250" s="9"/>
      <c r="J250" s="9"/>
      <c r="K250" s="9"/>
      <c r="L250" s="9"/>
      <c r="M250" s="9"/>
      <c r="N250" s="9"/>
      <c r="O250" s="50"/>
      <c r="P250" s="9"/>
      <c r="Q250" s="49"/>
      <c r="R250" s="49"/>
      <c r="S250" s="9"/>
      <c r="T250" s="9"/>
      <c r="U250" s="9"/>
      <c r="V250" s="9"/>
      <c r="W250" s="9"/>
      <c r="X250" s="9"/>
    </row>
    <row r="251" spans="1:24">
      <c r="A251" s="9"/>
      <c r="B251" s="9"/>
      <c r="C251" s="9"/>
      <c r="D251" s="9"/>
      <c r="E251" s="49"/>
      <c r="F251" s="49"/>
      <c r="G251" s="9"/>
      <c r="H251" s="9"/>
      <c r="I251" s="9"/>
      <c r="J251" s="9"/>
      <c r="K251" s="9"/>
      <c r="L251" s="9"/>
      <c r="M251" s="9"/>
      <c r="N251" s="9"/>
      <c r="O251" s="50"/>
      <c r="P251" s="9"/>
      <c r="Q251" s="49"/>
      <c r="R251" s="49"/>
      <c r="S251" s="9"/>
      <c r="T251" s="9"/>
      <c r="U251" s="9"/>
      <c r="V251" s="9"/>
      <c r="W251" s="9"/>
      <c r="X251" s="9"/>
    </row>
    <row r="252" spans="1:24">
      <c r="A252" s="9"/>
      <c r="B252" s="9"/>
      <c r="C252" s="9"/>
      <c r="D252" s="9"/>
      <c r="E252" s="49"/>
      <c r="F252" s="49"/>
      <c r="G252" s="9"/>
      <c r="H252" s="9"/>
      <c r="I252" s="9"/>
      <c r="J252" s="9"/>
      <c r="K252" s="9"/>
      <c r="L252" s="9"/>
      <c r="M252" s="9"/>
      <c r="N252" s="9"/>
      <c r="O252" s="50"/>
      <c r="P252" s="9"/>
      <c r="Q252" s="49"/>
      <c r="R252" s="49"/>
      <c r="S252" s="9"/>
      <c r="T252" s="9"/>
      <c r="U252" s="9"/>
      <c r="V252" s="9"/>
      <c r="W252" s="9"/>
      <c r="X252" s="9"/>
    </row>
    <row r="253" spans="1:24">
      <c r="A253" s="9"/>
      <c r="B253" s="9"/>
      <c r="C253" s="9"/>
      <c r="D253" s="9"/>
      <c r="E253" s="49"/>
      <c r="F253" s="49"/>
      <c r="G253" s="9"/>
      <c r="H253" s="9"/>
      <c r="I253" s="9"/>
      <c r="J253" s="9"/>
      <c r="K253" s="9"/>
      <c r="L253" s="9"/>
      <c r="M253" s="9"/>
      <c r="N253" s="9"/>
      <c r="O253" s="50"/>
      <c r="P253" s="9"/>
      <c r="Q253" s="49"/>
      <c r="R253" s="49"/>
      <c r="S253" s="9"/>
      <c r="T253" s="9"/>
      <c r="U253" s="9"/>
      <c r="V253" s="9"/>
      <c r="W253" s="9"/>
      <c r="X253" s="9"/>
    </row>
    <row r="254" spans="1:24">
      <c r="A254" s="9"/>
      <c r="B254" s="9"/>
      <c r="C254" s="9"/>
      <c r="D254" s="9"/>
      <c r="E254" s="49"/>
      <c r="F254" s="49"/>
      <c r="G254" s="9"/>
      <c r="H254" s="9"/>
      <c r="I254" s="9"/>
      <c r="J254" s="9"/>
      <c r="K254" s="9"/>
      <c r="L254" s="9"/>
      <c r="M254" s="9"/>
      <c r="N254" s="9"/>
      <c r="O254" s="50"/>
      <c r="P254" s="9"/>
      <c r="Q254" s="49"/>
      <c r="R254" s="49"/>
      <c r="S254" s="9"/>
      <c r="T254" s="9"/>
      <c r="U254" s="9"/>
      <c r="V254" s="9"/>
      <c r="W254" s="9"/>
      <c r="X254" s="9"/>
    </row>
    <row r="255" spans="1:24">
      <c r="A255" s="9"/>
      <c r="B255" s="9"/>
      <c r="C255" s="9"/>
      <c r="D255" s="9"/>
      <c r="E255" s="49"/>
      <c r="F255" s="49"/>
      <c r="G255" s="9"/>
      <c r="H255" s="9"/>
      <c r="I255" s="9"/>
      <c r="J255" s="9"/>
      <c r="K255" s="9"/>
      <c r="L255" s="9"/>
      <c r="M255" s="9"/>
      <c r="N255" s="9"/>
      <c r="O255" s="50"/>
      <c r="P255" s="9"/>
      <c r="Q255" s="49"/>
      <c r="R255" s="49"/>
      <c r="S255" s="9"/>
      <c r="T255" s="9"/>
      <c r="U255" s="9"/>
      <c r="V255" s="9"/>
      <c r="W255" s="9"/>
      <c r="X255" s="9"/>
    </row>
    <row r="256" spans="1:24">
      <c r="A256" s="9"/>
      <c r="B256" s="9"/>
      <c r="C256" s="9"/>
      <c r="D256" s="9"/>
      <c r="E256" s="49"/>
      <c r="F256" s="49"/>
      <c r="G256" s="9"/>
      <c r="H256" s="9"/>
      <c r="I256" s="9"/>
      <c r="J256" s="9"/>
      <c r="K256" s="9"/>
      <c r="L256" s="9"/>
      <c r="M256" s="9"/>
      <c r="N256" s="9"/>
      <c r="O256" s="50"/>
      <c r="P256" s="9"/>
      <c r="Q256" s="49"/>
      <c r="R256" s="49"/>
      <c r="S256" s="9"/>
      <c r="T256" s="9"/>
      <c r="U256" s="9"/>
      <c r="V256" s="9"/>
      <c r="W256" s="9"/>
      <c r="X256" s="9"/>
    </row>
    <row r="257" spans="1:24">
      <c r="A257" s="9"/>
      <c r="B257" s="9"/>
      <c r="C257" s="9"/>
      <c r="D257" s="9"/>
      <c r="E257" s="49"/>
      <c r="F257" s="49"/>
      <c r="G257" s="9"/>
      <c r="H257" s="9"/>
      <c r="I257" s="9"/>
      <c r="J257" s="9"/>
      <c r="K257" s="9"/>
      <c r="L257" s="9"/>
      <c r="M257" s="9"/>
      <c r="N257" s="9"/>
      <c r="O257" s="50"/>
      <c r="P257" s="9"/>
      <c r="Q257" s="49"/>
      <c r="R257" s="49"/>
      <c r="S257" s="9"/>
      <c r="T257" s="9"/>
      <c r="U257" s="9"/>
      <c r="V257" s="9"/>
      <c r="W257" s="9"/>
      <c r="X257" s="9"/>
    </row>
    <row r="258" spans="1:24">
      <c r="A258" s="9"/>
      <c r="B258" s="9"/>
      <c r="C258" s="9"/>
      <c r="D258" s="9"/>
      <c r="E258" s="49"/>
      <c r="F258" s="49"/>
      <c r="G258" s="9"/>
      <c r="H258" s="9"/>
      <c r="I258" s="9"/>
      <c r="J258" s="9"/>
      <c r="K258" s="9"/>
      <c r="L258" s="9"/>
      <c r="M258" s="9"/>
      <c r="N258" s="9"/>
      <c r="O258" s="50"/>
      <c r="P258" s="9"/>
      <c r="Q258" s="49"/>
      <c r="R258" s="49"/>
      <c r="S258" s="9"/>
      <c r="T258" s="9"/>
      <c r="U258" s="9"/>
      <c r="V258" s="9"/>
      <c r="W258" s="9"/>
      <c r="X258" s="9"/>
    </row>
    <row r="259" spans="1:24">
      <c r="A259" s="9"/>
      <c r="B259" s="9"/>
      <c r="C259" s="9"/>
      <c r="D259" s="9"/>
      <c r="E259" s="49"/>
      <c r="F259" s="49"/>
      <c r="G259" s="9"/>
      <c r="H259" s="9"/>
      <c r="I259" s="9"/>
      <c r="J259" s="9"/>
      <c r="K259" s="9"/>
      <c r="L259" s="9"/>
      <c r="M259" s="9"/>
      <c r="N259" s="9"/>
      <c r="O259" s="50"/>
      <c r="P259" s="9"/>
      <c r="Q259" s="49"/>
      <c r="R259" s="49"/>
      <c r="S259" s="9"/>
      <c r="T259" s="9"/>
      <c r="U259" s="9"/>
      <c r="V259" s="9"/>
      <c r="W259" s="9"/>
      <c r="X259" s="9"/>
    </row>
    <row r="260" spans="1:24">
      <c r="A260" s="9"/>
      <c r="B260" s="9"/>
      <c r="C260" s="9"/>
      <c r="D260" s="9"/>
      <c r="E260" s="49"/>
      <c r="F260" s="49"/>
      <c r="G260" s="9"/>
      <c r="H260" s="9"/>
      <c r="I260" s="9"/>
      <c r="J260" s="9"/>
      <c r="K260" s="9"/>
      <c r="L260" s="9"/>
      <c r="M260" s="9"/>
      <c r="N260" s="9"/>
      <c r="O260" s="50"/>
      <c r="P260" s="9"/>
      <c r="Q260" s="49"/>
      <c r="R260" s="49"/>
      <c r="S260" s="9"/>
      <c r="T260" s="9"/>
      <c r="U260" s="9"/>
      <c r="V260" s="9"/>
      <c r="W260" s="9"/>
      <c r="X260" s="9"/>
    </row>
    <row r="261" spans="1:24">
      <c r="A261" s="9"/>
      <c r="B261" s="9"/>
      <c r="C261" s="9"/>
      <c r="D261" s="9"/>
      <c r="E261" s="49"/>
      <c r="F261" s="49"/>
      <c r="G261" s="9"/>
      <c r="H261" s="9"/>
      <c r="I261" s="9"/>
      <c r="J261" s="9"/>
      <c r="K261" s="9"/>
      <c r="L261" s="9"/>
      <c r="M261" s="9"/>
      <c r="N261" s="9"/>
      <c r="O261" s="50"/>
      <c r="P261" s="9"/>
      <c r="Q261" s="49"/>
      <c r="R261" s="49"/>
      <c r="S261" s="9"/>
      <c r="T261" s="9"/>
      <c r="U261" s="9"/>
      <c r="V261" s="9"/>
      <c r="W261" s="9"/>
      <c r="X261" s="9"/>
    </row>
    <row r="262" spans="1:24">
      <c r="A262" s="9"/>
      <c r="B262" s="9"/>
      <c r="C262" s="9"/>
      <c r="D262" s="9"/>
      <c r="E262" s="49"/>
      <c r="F262" s="49"/>
      <c r="G262" s="9"/>
      <c r="H262" s="9"/>
      <c r="I262" s="9"/>
      <c r="J262" s="9"/>
      <c r="K262" s="9"/>
      <c r="L262" s="9"/>
      <c r="M262" s="9"/>
      <c r="N262" s="9"/>
      <c r="O262" s="50"/>
      <c r="P262" s="9"/>
      <c r="Q262" s="49"/>
      <c r="R262" s="49"/>
      <c r="S262" s="9"/>
      <c r="T262" s="9"/>
      <c r="U262" s="9"/>
      <c r="V262" s="9"/>
      <c r="W262" s="9"/>
      <c r="X262" s="9"/>
    </row>
    <row r="263" spans="1:24">
      <c r="A263" s="9"/>
      <c r="B263" s="9"/>
      <c r="C263" s="9"/>
      <c r="D263" s="9"/>
      <c r="E263" s="49"/>
      <c r="F263" s="49"/>
      <c r="G263" s="9"/>
      <c r="H263" s="9"/>
      <c r="I263" s="9"/>
      <c r="J263" s="9"/>
      <c r="K263" s="9"/>
      <c r="L263" s="9"/>
      <c r="M263" s="9"/>
      <c r="N263" s="9"/>
      <c r="O263" s="50"/>
      <c r="P263" s="9"/>
      <c r="Q263" s="49"/>
      <c r="R263" s="49"/>
      <c r="S263" s="9"/>
      <c r="T263" s="9"/>
      <c r="U263" s="9"/>
      <c r="V263" s="9"/>
      <c r="W263" s="9"/>
      <c r="X263" s="9"/>
    </row>
    <row r="264" spans="1:24">
      <c r="A264" s="9"/>
      <c r="B264" s="9"/>
      <c r="C264" s="9"/>
      <c r="D264" s="9"/>
      <c r="E264" s="49"/>
      <c r="F264" s="49"/>
      <c r="G264" s="9"/>
      <c r="H264" s="9"/>
      <c r="I264" s="9"/>
      <c r="J264" s="9"/>
      <c r="K264" s="9"/>
      <c r="L264" s="9"/>
      <c r="M264" s="9"/>
      <c r="N264" s="9"/>
      <c r="O264" s="50"/>
      <c r="P264" s="9"/>
      <c r="Q264" s="49"/>
      <c r="R264" s="49"/>
      <c r="S264" s="9"/>
      <c r="T264" s="9"/>
      <c r="U264" s="9"/>
      <c r="V264" s="9"/>
      <c r="W264" s="9"/>
      <c r="X264" s="9"/>
    </row>
    <row r="265" spans="1:24">
      <c r="A265" s="9"/>
      <c r="B265" s="9"/>
      <c r="C265" s="9"/>
      <c r="D265" s="9"/>
      <c r="E265" s="49"/>
      <c r="F265" s="49"/>
      <c r="G265" s="9"/>
      <c r="H265" s="9"/>
      <c r="I265" s="9"/>
      <c r="J265" s="9"/>
      <c r="K265" s="9"/>
      <c r="L265" s="9"/>
      <c r="M265" s="9"/>
      <c r="N265" s="9"/>
      <c r="O265" s="50"/>
      <c r="P265" s="9"/>
      <c r="Q265" s="49"/>
      <c r="R265" s="49"/>
      <c r="S265" s="9"/>
      <c r="T265" s="9"/>
      <c r="U265" s="9"/>
      <c r="V265" s="9"/>
      <c r="W265" s="9"/>
      <c r="X265" s="9"/>
    </row>
    <row r="266" spans="1:24">
      <c r="A266" s="9"/>
      <c r="B266" s="9"/>
      <c r="C266" s="9"/>
      <c r="D266" s="9"/>
      <c r="E266" s="49"/>
      <c r="F266" s="49"/>
      <c r="G266" s="9"/>
      <c r="H266" s="9"/>
      <c r="I266" s="9"/>
      <c r="J266" s="9"/>
      <c r="K266" s="9"/>
      <c r="L266" s="9"/>
      <c r="M266" s="9"/>
      <c r="N266" s="9"/>
      <c r="O266" s="50"/>
      <c r="P266" s="9"/>
      <c r="Q266" s="49"/>
      <c r="R266" s="49"/>
      <c r="S266" s="9"/>
      <c r="T266" s="9"/>
      <c r="U266" s="9"/>
      <c r="V266" s="9"/>
      <c r="W266" s="9"/>
      <c r="X266" s="9"/>
    </row>
    <row r="267" spans="1:24">
      <c r="A267" s="9"/>
      <c r="B267" s="9"/>
      <c r="C267" s="9"/>
      <c r="D267" s="9"/>
      <c r="E267" s="49"/>
      <c r="F267" s="49"/>
      <c r="G267" s="9"/>
      <c r="H267" s="9"/>
      <c r="I267" s="9"/>
      <c r="J267" s="9"/>
      <c r="K267" s="9"/>
      <c r="L267" s="9"/>
      <c r="M267" s="9"/>
      <c r="N267" s="9"/>
      <c r="O267" s="50"/>
      <c r="P267" s="9"/>
      <c r="Q267" s="49"/>
      <c r="R267" s="49"/>
      <c r="S267" s="9"/>
      <c r="T267" s="9"/>
      <c r="U267" s="9"/>
      <c r="V267" s="9"/>
      <c r="W267" s="9"/>
      <c r="X267" s="9"/>
    </row>
    <row r="268" spans="1:24">
      <c r="A268" s="9"/>
      <c r="B268" s="9"/>
      <c r="C268" s="9"/>
      <c r="D268" s="9"/>
      <c r="E268" s="49"/>
      <c r="F268" s="49"/>
      <c r="G268" s="9"/>
      <c r="H268" s="9"/>
      <c r="I268" s="9"/>
      <c r="J268" s="9"/>
      <c r="K268" s="9"/>
      <c r="L268" s="9"/>
      <c r="M268" s="9"/>
      <c r="N268" s="9"/>
      <c r="O268" s="50"/>
      <c r="P268" s="9"/>
      <c r="Q268" s="49"/>
      <c r="R268" s="49"/>
      <c r="S268" s="9"/>
      <c r="T268" s="9"/>
      <c r="U268" s="9"/>
      <c r="V268" s="9"/>
      <c r="W268" s="9"/>
      <c r="X268" s="9"/>
    </row>
    <row r="269" spans="1:24">
      <c r="A269" s="9"/>
      <c r="B269" s="9"/>
      <c r="C269" s="9"/>
      <c r="D269" s="9"/>
      <c r="E269" s="49"/>
      <c r="F269" s="49"/>
      <c r="G269" s="9"/>
      <c r="H269" s="9"/>
      <c r="I269" s="9"/>
      <c r="J269" s="9"/>
      <c r="K269" s="9"/>
      <c r="L269" s="9"/>
      <c r="M269" s="9"/>
      <c r="N269" s="9"/>
      <c r="O269" s="50"/>
      <c r="P269" s="9"/>
      <c r="Q269" s="49"/>
      <c r="R269" s="49"/>
      <c r="S269" s="9"/>
      <c r="T269" s="9"/>
      <c r="U269" s="9"/>
      <c r="V269" s="9"/>
      <c r="W269" s="9"/>
      <c r="X269" s="9"/>
    </row>
    <row r="270" spans="1:24">
      <c r="A270" s="9"/>
      <c r="B270" s="9"/>
      <c r="C270" s="9"/>
      <c r="D270" s="9"/>
      <c r="E270" s="49"/>
      <c r="F270" s="49"/>
      <c r="G270" s="9"/>
      <c r="H270" s="9"/>
      <c r="I270" s="9"/>
      <c r="J270" s="9"/>
      <c r="K270" s="9"/>
      <c r="L270" s="9"/>
      <c r="M270" s="9"/>
      <c r="N270" s="9"/>
      <c r="O270" s="50"/>
      <c r="P270" s="9"/>
      <c r="Q270" s="49"/>
      <c r="R270" s="49"/>
      <c r="S270" s="9"/>
      <c r="T270" s="9"/>
      <c r="U270" s="9"/>
      <c r="V270" s="9"/>
      <c r="W270" s="9"/>
      <c r="X270" s="9"/>
    </row>
    <row r="271" spans="1:24">
      <c r="A271" s="9"/>
      <c r="B271" s="9"/>
      <c r="C271" s="9"/>
      <c r="D271" s="9"/>
      <c r="E271" s="49"/>
      <c r="F271" s="49"/>
      <c r="G271" s="9"/>
      <c r="H271" s="9"/>
      <c r="I271" s="9"/>
      <c r="J271" s="9"/>
      <c r="K271" s="9"/>
      <c r="L271" s="9"/>
      <c r="M271" s="9"/>
      <c r="N271" s="9"/>
      <c r="O271" s="50"/>
      <c r="P271" s="9"/>
      <c r="Q271" s="49"/>
      <c r="R271" s="49"/>
      <c r="S271" s="9"/>
      <c r="T271" s="9"/>
      <c r="U271" s="9"/>
      <c r="V271" s="9"/>
      <c r="W271" s="9"/>
      <c r="X271" s="9"/>
    </row>
    <row r="272" spans="1:24">
      <c r="A272" s="9"/>
      <c r="B272" s="9"/>
      <c r="C272" s="9"/>
      <c r="D272" s="9"/>
      <c r="E272" s="49"/>
      <c r="F272" s="49"/>
      <c r="G272" s="9"/>
      <c r="H272" s="9"/>
      <c r="I272" s="9"/>
      <c r="J272" s="9"/>
      <c r="K272" s="9"/>
      <c r="L272" s="9"/>
      <c r="M272" s="9"/>
      <c r="N272" s="9"/>
      <c r="O272" s="50"/>
      <c r="P272" s="9"/>
      <c r="Q272" s="49"/>
      <c r="R272" s="49"/>
      <c r="S272" s="9"/>
      <c r="T272" s="9"/>
      <c r="U272" s="9"/>
      <c r="V272" s="9"/>
      <c r="W272" s="9"/>
      <c r="X272" s="9"/>
    </row>
    <row r="273" spans="1:24">
      <c r="A273" s="9"/>
      <c r="B273" s="9"/>
      <c r="C273" s="9"/>
      <c r="D273" s="9"/>
      <c r="E273" s="49"/>
      <c r="F273" s="49"/>
      <c r="G273" s="9"/>
      <c r="H273" s="9"/>
      <c r="I273" s="9"/>
      <c r="J273" s="9"/>
      <c r="K273" s="9"/>
      <c r="L273" s="9"/>
      <c r="M273" s="9"/>
      <c r="N273" s="9"/>
      <c r="O273" s="50"/>
      <c r="P273" s="9"/>
      <c r="Q273" s="49"/>
      <c r="R273" s="49"/>
      <c r="S273" s="9"/>
      <c r="T273" s="9"/>
      <c r="U273" s="9"/>
      <c r="V273" s="9"/>
      <c r="W273" s="9"/>
      <c r="X273" s="9"/>
    </row>
    <row r="274" spans="1:24">
      <c r="A274" s="9"/>
      <c r="B274" s="9"/>
      <c r="C274" s="9"/>
      <c r="D274" s="9"/>
      <c r="E274" s="49"/>
      <c r="F274" s="49"/>
      <c r="G274" s="9"/>
      <c r="H274" s="9"/>
      <c r="I274" s="9"/>
      <c r="J274" s="9"/>
      <c r="K274" s="9"/>
      <c r="L274" s="9"/>
      <c r="M274" s="9"/>
      <c r="N274" s="9"/>
      <c r="O274" s="50"/>
      <c r="P274" s="9"/>
      <c r="Q274" s="49"/>
      <c r="R274" s="49"/>
      <c r="S274" s="9"/>
      <c r="T274" s="9"/>
      <c r="U274" s="9"/>
      <c r="V274" s="9"/>
      <c r="W274" s="9"/>
      <c r="X274" s="9"/>
    </row>
    <row r="275" spans="1:24">
      <c r="A275" s="9"/>
      <c r="B275" s="9"/>
      <c r="C275" s="9"/>
      <c r="D275" s="9"/>
      <c r="E275" s="49"/>
      <c r="F275" s="49"/>
      <c r="G275" s="9"/>
      <c r="H275" s="9"/>
      <c r="I275" s="9"/>
      <c r="J275" s="9"/>
      <c r="K275" s="9"/>
      <c r="L275" s="9"/>
      <c r="M275" s="9"/>
      <c r="N275" s="9"/>
      <c r="O275" s="50"/>
      <c r="P275" s="9"/>
      <c r="Q275" s="49"/>
      <c r="R275" s="49"/>
      <c r="S275" s="9"/>
      <c r="T275" s="9"/>
      <c r="U275" s="9"/>
      <c r="V275" s="9"/>
      <c r="W275" s="9"/>
      <c r="X275" s="9"/>
    </row>
    <row r="276" spans="1:24">
      <c r="A276" s="9"/>
      <c r="B276" s="9"/>
      <c r="C276" s="9"/>
      <c r="D276" s="9"/>
      <c r="E276" s="49"/>
      <c r="F276" s="49"/>
      <c r="G276" s="9"/>
      <c r="H276" s="9"/>
      <c r="I276" s="9"/>
      <c r="J276" s="9"/>
      <c r="K276" s="9"/>
      <c r="L276" s="9"/>
      <c r="M276" s="9"/>
      <c r="N276" s="9"/>
      <c r="O276" s="50"/>
      <c r="P276" s="9"/>
      <c r="Q276" s="49"/>
      <c r="R276" s="49"/>
      <c r="S276" s="9"/>
      <c r="T276" s="9"/>
      <c r="U276" s="9"/>
      <c r="V276" s="9"/>
      <c r="W276" s="9"/>
      <c r="X276" s="9"/>
    </row>
    <row r="277" spans="1:24">
      <c r="A277" s="9"/>
      <c r="B277" s="9"/>
      <c r="C277" s="9"/>
      <c r="D277" s="9"/>
      <c r="E277" s="49"/>
      <c r="F277" s="49"/>
      <c r="G277" s="9"/>
      <c r="H277" s="9"/>
      <c r="I277" s="9"/>
      <c r="J277" s="9"/>
      <c r="K277" s="9"/>
      <c r="L277" s="9"/>
      <c r="M277" s="9"/>
      <c r="N277" s="9"/>
      <c r="O277" s="50"/>
      <c r="P277" s="9"/>
      <c r="Q277" s="49"/>
      <c r="R277" s="49"/>
      <c r="S277" s="9"/>
      <c r="T277" s="9"/>
      <c r="U277" s="9"/>
      <c r="V277" s="9"/>
      <c r="W277" s="9"/>
      <c r="X277" s="9"/>
    </row>
    <row r="278" spans="1:24">
      <c r="A278" s="9"/>
      <c r="B278" s="9"/>
      <c r="C278" s="9"/>
      <c r="D278" s="9"/>
      <c r="E278" s="49"/>
      <c r="F278" s="49"/>
      <c r="G278" s="9"/>
      <c r="H278" s="9"/>
      <c r="I278" s="9"/>
      <c r="J278" s="9"/>
      <c r="K278" s="9"/>
      <c r="L278" s="9"/>
      <c r="M278" s="9"/>
      <c r="N278" s="9"/>
      <c r="O278" s="50"/>
      <c r="P278" s="9"/>
      <c r="Q278" s="49"/>
      <c r="R278" s="49"/>
      <c r="S278" s="9"/>
      <c r="T278" s="9"/>
      <c r="U278" s="9"/>
      <c r="V278" s="9"/>
      <c r="W278" s="9"/>
      <c r="X278" s="9"/>
    </row>
    <row r="279" spans="1:24">
      <c r="A279" s="9"/>
      <c r="B279" s="9"/>
      <c r="C279" s="9"/>
      <c r="D279" s="9"/>
      <c r="E279" s="49"/>
      <c r="F279" s="49"/>
      <c r="G279" s="9"/>
      <c r="H279" s="9"/>
      <c r="I279" s="9"/>
      <c r="J279" s="9"/>
      <c r="K279" s="9"/>
      <c r="L279" s="9"/>
      <c r="M279" s="9"/>
      <c r="N279" s="9"/>
      <c r="O279" s="50"/>
      <c r="P279" s="9"/>
      <c r="Q279" s="49"/>
      <c r="R279" s="49"/>
      <c r="S279" s="9"/>
      <c r="T279" s="9"/>
      <c r="U279" s="9"/>
      <c r="V279" s="9"/>
      <c r="W279" s="9"/>
      <c r="X279" s="9"/>
    </row>
    <row r="280" spans="1:24">
      <c r="A280" s="9"/>
      <c r="B280" s="9"/>
      <c r="C280" s="9"/>
      <c r="D280" s="9"/>
      <c r="E280" s="49"/>
      <c r="F280" s="49"/>
      <c r="G280" s="9"/>
      <c r="H280" s="9"/>
      <c r="I280" s="9"/>
      <c r="J280" s="9"/>
      <c r="K280" s="9"/>
      <c r="L280" s="9"/>
      <c r="M280" s="9"/>
      <c r="N280" s="9"/>
      <c r="O280" s="50"/>
      <c r="P280" s="9"/>
      <c r="Q280" s="49"/>
      <c r="R280" s="49"/>
      <c r="S280" s="9"/>
      <c r="T280" s="9"/>
      <c r="U280" s="9"/>
      <c r="V280" s="9"/>
      <c r="W280" s="9"/>
      <c r="X280" s="9"/>
    </row>
    <row r="281" spans="1:24">
      <c r="A281" s="9"/>
      <c r="B281" s="9"/>
      <c r="C281" s="9"/>
      <c r="D281" s="9"/>
      <c r="E281" s="49"/>
      <c r="F281" s="49"/>
      <c r="G281" s="9"/>
      <c r="H281" s="9"/>
      <c r="I281" s="9"/>
      <c r="J281" s="9"/>
      <c r="K281" s="9"/>
      <c r="L281" s="9"/>
      <c r="M281" s="9"/>
      <c r="N281" s="9"/>
      <c r="O281" s="50"/>
      <c r="P281" s="9"/>
      <c r="Q281" s="49"/>
      <c r="R281" s="49"/>
      <c r="S281" s="9"/>
      <c r="T281" s="9"/>
      <c r="U281" s="9"/>
      <c r="V281" s="9"/>
      <c r="W281" s="9"/>
      <c r="X281" s="9"/>
    </row>
    <row r="282" spans="1:24">
      <c r="A282" s="9"/>
      <c r="B282" s="9"/>
      <c r="C282" s="9"/>
      <c r="D282" s="9"/>
      <c r="E282" s="49"/>
      <c r="F282" s="49"/>
      <c r="G282" s="9"/>
      <c r="H282" s="9"/>
      <c r="I282" s="9"/>
      <c r="J282" s="9"/>
      <c r="K282" s="9"/>
      <c r="L282" s="9"/>
      <c r="M282" s="9"/>
      <c r="N282" s="9"/>
      <c r="O282" s="50"/>
      <c r="P282" s="9"/>
      <c r="Q282" s="49"/>
      <c r="R282" s="49"/>
      <c r="S282" s="9"/>
      <c r="T282" s="9"/>
      <c r="U282" s="9"/>
      <c r="V282" s="9"/>
      <c r="W282" s="9"/>
      <c r="X282" s="9"/>
    </row>
    <row r="283" spans="1:24">
      <c r="A283" s="9"/>
      <c r="B283" s="9"/>
      <c r="C283" s="9"/>
      <c r="D283" s="9"/>
      <c r="E283" s="49"/>
      <c r="F283" s="49"/>
      <c r="G283" s="9"/>
      <c r="H283" s="9"/>
      <c r="I283" s="9"/>
      <c r="J283" s="9"/>
      <c r="K283" s="9"/>
      <c r="L283" s="9"/>
      <c r="M283" s="9"/>
      <c r="N283" s="9"/>
      <c r="O283" s="50"/>
      <c r="P283" s="9"/>
      <c r="Q283" s="49"/>
      <c r="R283" s="49"/>
      <c r="S283" s="9"/>
      <c r="T283" s="9"/>
      <c r="U283" s="9"/>
      <c r="V283" s="9"/>
      <c r="W283" s="9"/>
      <c r="X283" s="9"/>
    </row>
    <row r="284" spans="1:24">
      <c r="A284" s="9"/>
      <c r="B284" s="9"/>
      <c r="C284" s="9"/>
      <c r="D284" s="9"/>
      <c r="E284" s="49"/>
      <c r="F284" s="49"/>
      <c r="G284" s="9"/>
      <c r="H284" s="9"/>
      <c r="I284" s="9"/>
      <c r="J284" s="9"/>
      <c r="K284" s="9"/>
      <c r="L284" s="9"/>
      <c r="M284" s="9"/>
      <c r="N284" s="9"/>
      <c r="O284" s="50"/>
      <c r="P284" s="9"/>
      <c r="Q284" s="49"/>
      <c r="R284" s="49"/>
      <c r="S284" s="9"/>
      <c r="T284" s="9"/>
      <c r="U284" s="9"/>
      <c r="V284" s="9"/>
      <c r="W284" s="9"/>
      <c r="X284" s="9"/>
    </row>
    <row r="285" spans="1:24">
      <c r="A285" s="9"/>
      <c r="B285" s="9"/>
      <c r="C285" s="9"/>
      <c r="D285" s="9"/>
      <c r="E285" s="49"/>
      <c r="F285" s="49"/>
      <c r="G285" s="9"/>
      <c r="H285" s="9"/>
      <c r="I285" s="9"/>
      <c r="J285" s="9"/>
      <c r="K285" s="9"/>
      <c r="L285" s="9"/>
      <c r="M285" s="9"/>
      <c r="N285" s="9"/>
      <c r="O285" s="50"/>
      <c r="P285" s="9"/>
      <c r="Q285" s="49"/>
      <c r="R285" s="49"/>
      <c r="S285" s="9"/>
      <c r="T285" s="9"/>
      <c r="U285" s="9"/>
      <c r="V285" s="9"/>
      <c r="W285" s="9"/>
      <c r="X285" s="9"/>
    </row>
    <row r="286" spans="1:24">
      <c r="A286" s="9"/>
      <c r="B286" s="9"/>
      <c r="C286" s="9"/>
      <c r="D286" s="9"/>
      <c r="E286" s="49"/>
      <c r="F286" s="49"/>
      <c r="G286" s="9"/>
      <c r="H286" s="9"/>
      <c r="I286" s="9"/>
      <c r="J286" s="9"/>
      <c r="K286" s="9"/>
      <c r="L286" s="9"/>
      <c r="M286" s="9"/>
      <c r="N286" s="9"/>
      <c r="O286" s="50"/>
      <c r="P286" s="9"/>
      <c r="Q286" s="49"/>
      <c r="R286" s="49"/>
      <c r="S286" s="9"/>
      <c r="T286" s="9"/>
      <c r="U286" s="9"/>
      <c r="V286" s="9"/>
      <c r="W286" s="9"/>
      <c r="X286" s="9"/>
    </row>
    <row r="287" spans="1:24">
      <c r="A287" s="9"/>
      <c r="B287" s="9"/>
      <c r="C287" s="9"/>
      <c r="D287" s="9"/>
      <c r="E287" s="49"/>
      <c r="F287" s="49"/>
      <c r="G287" s="9"/>
      <c r="H287" s="9"/>
      <c r="I287" s="9"/>
      <c r="J287" s="9"/>
      <c r="K287" s="9"/>
      <c r="L287" s="9"/>
      <c r="M287" s="9"/>
      <c r="N287" s="9"/>
      <c r="O287" s="50"/>
      <c r="P287" s="9"/>
      <c r="Q287" s="49"/>
      <c r="R287" s="49"/>
      <c r="S287" s="9"/>
      <c r="T287" s="9"/>
      <c r="U287" s="9"/>
      <c r="V287" s="9"/>
      <c r="W287" s="9"/>
      <c r="X287" s="9"/>
    </row>
    <row r="288" spans="1:24">
      <c r="A288" s="9"/>
      <c r="B288" s="9"/>
      <c r="C288" s="9"/>
      <c r="D288" s="9"/>
      <c r="E288" s="49"/>
      <c r="F288" s="49"/>
      <c r="G288" s="9"/>
      <c r="H288" s="9"/>
      <c r="I288" s="9"/>
      <c r="J288" s="9"/>
      <c r="K288" s="9"/>
      <c r="L288" s="9"/>
      <c r="M288" s="9"/>
      <c r="N288" s="9"/>
      <c r="O288" s="50"/>
      <c r="P288" s="9"/>
      <c r="Q288" s="49"/>
      <c r="R288" s="49"/>
      <c r="S288" s="9"/>
      <c r="T288" s="9"/>
      <c r="U288" s="9"/>
      <c r="V288" s="9"/>
      <c r="W288" s="9"/>
      <c r="X288" s="9"/>
    </row>
    <row r="289" spans="1:24">
      <c r="A289" s="9"/>
      <c r="B289" s="9"/>
      <c r="C289" s="9"/>
      <c r="D289" s="9"/>
      <c r="E289" s="49"/>
      <c r="F289" s="49"/>
      <c r="G289" s="9"/>
      <c r="H289" s="9"/>
      <c r="I289" s="9"/>
      <c r="J289" s="9"/>
      <c r="K289" s="9"/>
      <c r="L289" s="9"/>
      <c r="M289" s="9"/>
      <c r="N289" s="9"/>
      <c r="O289" s="50"/>
      <c r="P289" s="9"/>
      <c r="Q289" s="49"/>
      <c r="R289" s="49"/>
      <c r="S289" s="9"/>
      <c r="T289" s="9"/>
      <c r="U289" s="9"/>
      <c r="V289" s="9"/>
      <c r="W289" s="9"/>
      <c r="X289" s="9"/>
    </row>
    <row r="290" spans="1:24">
      <c r="A290" s="9"/>
      <c r="B290" s="9"/>
      <c r="C290" s="9"/>
      <c r="D290" s="9"/>
      <c r="E290" s="49"/>
      <c r="F290" s="49"/>
      <c r="G290" s="9"/>
      <c r="H290" s="9"/>
      <c r="I290" s="9"/>
      <c r="J290" s="9"/>
      <c r="K290" s="9"/>
      <c r="L290" s="9"/>
      <c r="M290" s="9"/>
      <c r="N290" s="9"/>
      <c r="O290" s="50"/>
      <c r="P290" s="9"/>
      <c r="Q290" s="49"/>
      <c r="R290" s="49"/>
      <c r="S290" s="9"/>
      <c r="T290" s="9"/>
      <c r="U290" s="9"/>
      <c r="V290" s="9"/>
      <c r="W290" s="9"/>
      <c r="X290" s="9"/>
    </row>
    <row r="291" spans="1:24">
      <c r="A291" s="9"/>
      <c r="B291" s="9"/>
      <c r="C291" s="9"/>
      <c r="D291" s="9"/>
      <c r="E291" s="49"/>
      <c r="F291" s="49"/>
      <c r="G291" s="9"/>
      <c r="H291" s="9"/>
      <c r="I291" s="9"/>
      <c r="J291" s="9"/>
      <c r="K291" s="9"/>
      <c r="L291" s="9"/>
      <c r="M291" s="9"/>
      <c r="N291" s="9"/>
      <c r="O291" s="50"/>
      <c r="P291" s="9"/>
      <c r="Q291" s="49"/>
      <c r="R291" s="49"/>
      <c r="S291" s="9"/>
      <c r="T291" s="9"/>
      <c r="U291" s="9"/>
      <c r="V291" s="9"/>
      <c r="W291" s="9"/>
      <c r="X291" s="9"/>
    </row>
    <row r="292" spans="1:24">
      <c r="A292" s="9"/>
      <c r="B292" s="9"/>
      <c r="C292" s="9"/>
      <c r="D292" s="9"/>
      <c r="E292" s="49"/>
      <c r="F292" s="49"/>
      <c r="G292" s="9"/>
      <c r="H292" s="9"/>
      <c r="I292" s="9"/>
      <c r="J292" s="9"/>
      <c r="K292" s="9"/>
      <c r="L292" s="9"/>
      <c r="M292" s="9"/>
      <c r="N292" s="9"/>
      <c r="O292" s="50"/>
      <c r="P292" s="9"/>
      <c r="Q292" s="49"/>
      <c r="R292" s="49"/>
      <c r="S292" s="9"/>
      <c r="T292" s="9"/>
      <c r="U292" s="9"/>
      <c r="V292" s="9"/>
      <c r="W292" s="9"/>
      <c r="X292" s="9"/>
    </row>
    <row r="293" spans="1:24">
      <c r="A293" s="9"/>
      <c r="B293" s="9"/>
      <c r="C293" s="9"/>
      <c r="D293" s="9"/>
      <c r="E293" s="49"/>
      <c r="F293" s="49"/>
      <c r="G293" s="9"/>
      <c r="H293" s="9"/>
      <c r="I293" s="9"/>
      <c r="J293" s="9"/>
      <c r="K293" s="9"/>
      <c r="L293" s="9"/>
      <c r="M293" s="9"/>
      <c r="N293" s="9"/>
      <c r="O293" s="50"/>
      <c r="P293" s="9"/>
      <c r="Q293" s="49"/>
      <c r="R293" s="49"/>
      <c r="S293" s="9"/>
      <c r="T293" s="9"/>
      <c r="U293" s="9"/>
      <c r="V293" s="9"/>
      <c r="W293" s="9"/>
      <c r="X293" s="9"/>
    </row>
    <row r="294" spans="1:24">
      <c r="A294" s="9"/>
      <c r="B294" s="9"/>
      <c r="C294" s="9"/>
      <c r="D294" s="9"/>
      <c r="E294" s="49"/>
      <c r="F294" s="49"/>
      <c r="G294" s="9"/>
      <c r="H294" s="9"/>
      <c r="I294" s="9"/>
      <c r="J294" s="9"/>
      <c r="K294" s="9"/>
      <c r="L294" s="9"/>
      <c r="M294" s="9"/>
      <c r="N294" s="9"/>
      <c r="O294" s="50"/>
      <c r="P294" s="9"/>
      <c r="Q294" s="49"/>
      <c r="R294" s="49"/>
      <c r="S294" s="9"/>
      <c r="T294" s="9"/>
      <c r="U294" s="9"/>
      <c r="V294" s="9"/>
      <c r="W294" s="9"/>
      <c r="X294" s="9"/>
    </row>
    <row r="295" spans="1:24">
      <c r="A295" s="9"/>
      <c r="B295" s="9"/>
      <c r="C295" s="9"/>
      <c r="D295" s="9"/>
      <c r="E295" s="49"/>
      <c r="F295" s="49"/>
      <c r="G295" s="9"/>
      <c r="H295" s="9"/>
      <c r="I295" s="9"/>
      <c r="J295" s="9"/>
      <c r="K295" s="9"/>
      <c r="L295" s="9"/>
      <c r="M295" s="9"/>
      <c r="N295" s="9"/>
      <c r="O295" s="50"/>
      <c r="P295" s="9"/>
      <c r="Q295" s="49"/>
      <c r="R295" s="49"/>
      <c r="S295" s="9"/>
      <c r="T295" s="9"/>
      <c r="U295" s="9"/>
      <c r="V295" s="9"/>
      <c r="W295" s="9"/>
      <c r="X295" s="9"/>
    </row>
    <row r="296" spans="1:24">
      <c r="A296" s="9"/>
      <c r="B296" s="9"/>
      <c r="C296" s="9"/>
      <c r="D296" s="9"/>
      <c r="E296" s="49"/>
      <c r="F296" s="49"/>
      <c r="G296" s="9"/>
      <c r="H296" s="9"/>
      <c r="I296" s="9"/>
      <c r="J296" s="9"/>
      <c r="K296" s="9"/>
      <c r="L296" s="9"/>
      <c r="M296" s="9"/>
      <c r="N296" s="9"/>
      <c r="O296" s="50"/>
      <c r="P296" s="9"/>
      <c r="Q296" s="49"/>
      <c r="R296" s="49"/>
      <c r="S296" s="9"/>
      <c r="T296" s="9"/>
      <c r="U296" s="9"/>
      <c r="V296" s="9"/>
      <c r="W296" s="9"/>
      <c r="X296" s="9"/>
    </row>
    <row r="297" spans="1:24">
      <c r="A297" s="9"/>
      <c r="B297" s="9"/>
      <c r="C297" s="9"/>
      <c r="D297" s="9"/>
      <c r="E297" s="49"/>
      <c r="F297" s="49"/>
      <c r="G297" s="9"/>
      <c r="H297" s="9"/>
      <c r="I297" s="9"/>
      <c r="J297" s="9"/>
      <c r="K297" s="9"/>
      <c r="L297" s="9"/>
      <c r="M297" s="9"/>
      <c r="N297" s="9"/>
      <c r="O297" s="50"/>
      <c r="P297" s="9"/>
      <c r="Q297" s="49"/>
      <c r="R297" s="49"/>
      <c r="S297" s="9"/>
      <c r="T297" s="9"/>
      <c r="U297" s="9"/>
      <c r="V297" s="9"/>
      <c r="W297" s="9"/>
      <c r="X297" s="9"/>
    </row>
    <row r="298" spans="1:24">
      <c r="A298" s="9"/>
      <c r="B298" s="9"/>
      <c r="C298" s="9"/>
      <c r="D298" s="9"/>
      <c r="E298" s="49"/>
      <c r="F298" s="49"/>
      <c r="G298" s="9"/>
      <c r="H298" s="9"/>
      <c r="I298" s="9"/>
      <c r="J298" s="9"/>
      <c r="K298" s="9"/>
      <c r="L298" s="9"/>
      <c r="M298" s="9"/>
      <c r="N298" s="9"/>
      <c r="O298" s="50"/>
      <c r="P298" s="9"/>
      <c r="Q298" s="49"/>
      <c r="R298" s="49"/>
      <c r="S298" s="9"/>
      <c r="T298" s="9"/>
      <c r="U298" s="9"/>
      <c r="V298" s="9"/>
      <c r="W298" s="9"/>
      <c r="X298" s="9"/>
    </row>
    <row r="299" spans="1:24">
      <c r="A299" s="9"/>
      <c r="B299" s="9"/>
      <c r="C299" s="9"/>
      <c r="D299" s="9"/>
      <c r="E299" s="49"/>
      <c r="F299" s="49"/>
      <c r="G299" s="9"/>
      <c r="H299" s="9"/>
      <c r="I299" s="9"/>
      <c r="J299" s="9"/>
      <c r="K299" s="9"/>
      <c r="L299" s="9"/>
      <c r="M299" s="9"/>
      <c r="N299" s="9"/>
      <c r="O299" s="50"/>
      <c r="P299" s="9"/>
      <c r="Q299" s="49"/>
      <c r="R299" s="49"/>
      <c r="S299" s="9"/>
      <c r="T299" s="9"/>
      <c r="U299" s="9"/>
      <c r="V299" s="9"/>
      <c r="W299" s="9"/>
      <c r="X299" s="9"/>
    </row>
    <row r="300" spans="1:24">
      <c r="A300" s="9"/>
      <c r="B300" s="9"/>
      <c r="C300" s="9"/>
      <c r="D300" s="9"/>
      <c r="E300" s="49"/>
      <c r="F300" s="49"/>
      <c r="G300" s="9"/>
      <c r="H300" s="9"/>
      <c r="I300" s="9"/>
      <c r="J300" s="9"/>
      <c r="K300" s="9"/>
      <c r="L300" s="9"/>
      <c r="M300" s="9"/>
      <c r="N300" s="9"/>
      <c r="O300" s="50"/>
      <c r="P300" s="9"/>
      <c r="Q300" s="49"/>
      <c r="R300" s="49"/>
      <c r="S300" s="9"/>
      <c r="T300" s="9"/>
      <c r="U300" s="9"/>
      <c r="V300" s="9"/>
      <c r="W300" s="9"/>
      <c r="X300" s="9"/>
    </row>
    <row r="301" spans="1:24">
      <c r="A301" s="9"/>
      <c r="B301" s="9"/>
      <c r="C301" s="9"/>
      <c r="D301" s="9"/>
      <c r="E301" s="49"/>
      <c r="F301" s="49"/>
      <c r="G301" s="9"/>
      <c r="H301" s="9"/>
      <c r="I301" s="9"/>
      <c r="J301" s="9"/>
      <c r="K301" s="9"/>
      <c r="L301" s="9"/>
      <c r="M301" s="9"/>
      <c r="N301" s="9"/>
      <c r="O301" s="50"/>
      <c r="P301" s="9"/>
      <c r="Q301" s="49"/>
      <c r="R301" s="49"/>
      <c r="S301" s="9"/>
      <c r="T301" s="9"/>
      <c r="U301" s="9"/>
      <c r="V301" s="9"/>
      <c r="W301" s="9"/>
      <c r="X301" s="9"/>
    </row>
    <row r="302" spans="1:24">
      <c r="A302" s="9"/>
      <c r="B302" s="9"/>
      <c r="C302" s="9"/>
      <c r="D302" s="9"/>
      <c r="E302" s="49"/>
      <c r="F302" s="49"/>
      <c r="G302" s="9"/>
      <c r="H302" s="9"/>
      <c r="I302" s="9"/>
      <c r="J302" s="9"/>
      <c r="K302" s="9"/>
      <c r="L302" s="9"/>
      <c r="M302" s="9"/>
      <c r="N302" s="9"/>
      <c r="O302" s="50"/>
      <c r="P302" s="9"/>
      <c r="Q302" s="49"/>
      <c r="R302" s="49"/>
      <c r="S302" s="9"/>
      <c r="T302" s="9"/>
      <c r="U302" s="9"/>
      <c r="V302" s="9"/>
      <c r="W302" s="9"/>
      <c r="X302" s="9"/>
    </row>
    <row r="303" spans="1:24">
      <c r="A303" s="9"/>
      <c r="B303" s="9"/>
      <c r="C303" s="9"/>
      <c r="D303" s="9"/>
      <c r="E303" s="49"/>
      <c r="F303" s="49"/>
      <c r="G303" s="9"/>
      <c r="H303" s="9"/>
      <c r="I303" s="9"/>
      <c r="J303" s="9"/>
      <c r="K303" s="9"/>
      <c r="L303" s="9"/>
      <c r="M303" s="9"/>
      <c r="N303" s="9"/>
      <c r="O303" s="50"/>
      <c r="P303" s="9"/>
      <c r="Q303" s="49"/>
      <c r="R303" s="49"/>
      <c r="S303" s="9"/>
      <c r="T303" s="9"/>
      <c r="U303" s="9"/>
      <c r="V303" s="9"/>
      <c r="W303" s="9"/>
      <c r="X303" s="9"/>
    </row>
    <row r="304" spans="1:24">
      <c r="A304" s="9"/>
      <c r="B304" s="9"/>
      <c r="C304" s="9"/>
      <c r="D304" s="9"/>
      <c r="E304" s="49"/>
      <c r="F304" s="49"/>
      <c r="G304" s="9"/>
      <c r="H304" s="9"/>
      <c r="I304" s="9"/>
      <c r="J304" s="9"/>
      <c r="K304" s="9"/>
      <c r="L304" s="9"/>
      <c r="M304" s="9"/>
      <c r="N304" s="9"/>
      <c r="O304" s="50"/>
      <c r="P304" s="9"/>
      <c r="Q304" s="49"/>
      <c r="R304" s="49"/>
      <c r="S304" s="9"/>
      <c r="T304" s="9"/>
      <c r="U304" s="9"/>
      <c r="V304" s="9"/>
      <c r="W304" s="9"/>
      <c r="X304" s="9"/>
    </row>
    <row r="305" spans="1:24">
      <c r="A305" s="9"/>
      <c r="B305" s="9"/>
      <c r="C305" s="9"/>
      <c r="D305" s="9"/>
      <c r="E305" s="49"/>
      <c r="F305" s="49"/>
      <c r="G305" s="9"/>
      <c r="H305" s="9"/>
      <c r="I305" s="9"/>
      <c r="J305" s="9"/>
      <c r="K305" s="9"/>
      <c r="L305" s="9"/>
      <c r="M305" s="9"/>
      <c r="N305" s="9"/>
      <c r="O305" s="50"/>
      <c r="P305" s="9"/>
      <c r="Q305" s="49"/>
      <c r="R305" s="49"/>
      <c r="S305" s="9"/>
      <c r="T305" s="9"/>
      <c r="U305" s="9"/>
      <c r="V305" s="9"/>
      <c r="W305" s="9"/>
      <c r="X305" s="9"/>
    </row>
    <row r="306" spans="1:24">
      <c r="A306" s="9"/>
      <c r="B306" s="9"/>
      <c r="C306" s="9"/>
      <c r="D306" s="9"/>
      <c r="E306" s="49"/>
      <c r="F306" s="49"/>
      <c r="G306" s="9"/>
      <c r="H306" s="9"/>
      <c r="I306" s="9"/>
      <c r="J306" s="9"/>
      <c r="K306" s="9"/>
      <c r="L306" s="9"/>
      <c r="M306" s="9"/>
      <c r="N306" s="9"/>
      <c r="O306" s="50"/>
      <c r="P306" s="9"/>
      <c r="Q306" s="49"/>
      <c r="R306" s="49"/>
      <c r="S306" s="9"/>
      <c r="T306" s="9"/>
      <c r="U306" s="9"/>
      <c r="V306" s="9"/>
      <c r="W306" s="9"/>
      <c r="X306" s="9"/>
    </row>
    <row r="307" spans="1:24">
      <c r="A307" s="9"/>
      <c r="B307" s="9"/>
      <c r="C307" s="9"/>
      <c r="D307" s="9"/>
      <c r="E307" s="49"/>
      <c r="F307" s="49"/>
      <c r="G307" s="9"/>
      <c r="H307" s="9"/>
      <c r="I307" s="9"/>
      <c r="J307" s="9"/>
      <c r="K307" s="9"/>
      <c r="L307" s="9"/>
      <c r="M307" s="9"/>
      <c r="N307" s="9"/>
      <c r="O307" s="50"/>
      <c r="P307" s="9"/>
      <c r="Q307" s="49"/>
      <c r="R307" s="49"/>
      <c r="S307" s="9"/>
      <c r="T307" s="9"/>
      <c r="U307" s="9"/>
      <c r="V307" s="9"/>
      <c r="W307" s="9"/>
      <c r="X307" s="9"/>
    </row>
    <row r="308" spans="1:24">
      <c r="A308" s="9"/>
      <c r="B308" s="9"/>
      <c r="C308" s="9"/>
      <c r="D308" s="9"/>
      <c r="E308" s="49"/>
      <c r="F308" s="49"/>
      <c r="G308" s="9"/>
      <c r="H308" s="9"/>
      <c r="I308" s="9"/>
      <c r="J308" s="9"/>
      <c r="K308" s="9"/>
      <c r="L308" s="9"/>
      <c r="M308" s="9"/>
      <c r="N308" s="9"/>
      <c r="O308" s="50"/>
      <c r="P308" s="9"/>
      <c r="Q308" s="49"/>
      <c r="R308" s="49"/>
      <c r="S308" s="9"/>
      <c r="T308" s="9"/>
      <c r="U308" s="9"/>
      <c r="V308" s="9"/>
      <c r="W308" s="9"/>
      <c r="X308" s="9"/>
    </row>
    <row r="309" spans="1:24">
      <c r="A309" s="9"/>
      <c r="B309" s="9"/>
      <c r="C309" s="9"/>
      <c r="D309" s="9"/>
      <c r="E309" s="49"/>
      <c r="F309" s="49"/>
      <c r="G309" s="9"/>
      <c r="H309" s="9"/>
      <c r="I309" s="9"/>
      <c r="J309" s="9"/>
      <c r="K309" s="9"/>
      <c r="L309" s="9"/>
      <c r="M309" s="9"/>
      <c r="N309" s="9"/>
      <c r="O309" s="50"/>
      <c r="P309" s="9"/>
      <c r="Q309" s="49"/>
      <c r="R309" s="49"/>
      <c r="S309" s="9"/>
      <c r="T309" s="9"/>
      <c r="U309" s="9"/>
      <c r="V309" s="9"/>
      <c r="W309" s="9"/>
      <c r="X309" s="9"/>
    </row>
    <row r="310" spans="1:24">
      <c r="A310" s="9"/>
      <c r="B310" s="9"/>
      <c r="C310" s="9"/>
      <c r="D310" s="9"/>
      <c r="E310" s="49"/>
      <c r="F310" s="49"/>
      <c r="G310" s="9"/>
      <c r="H310" s="9"/>
      <c r="I310" s="9"/>
      <c r="J310" s="9"/>
      <c r="K310" s="9"/>
      <c r="L310" s="9"/>
      <c r="M310" s="9"/>
      <c r="N310" s="9"/>
      <c r="O310" s="50"/>
      <c r="P310" s="9"/>
      <c r="Q310" s="49"/>
      <c r="R310" s="49"/>
      <c r="S310" s="9"/>
      <c r="T310" s="9"/>
      <c r="U310" s="9"/>
      <c r="V310" s="9"/>
      <c r="W310" s="9"/>
      <c r="X310" s="9"/>
    </row>
    <row r="311" spans="1:24">
      <c r="A311" s="9"/>
      <c r="B311" s="9"/>
      <c r="C311" s="9"/>
      <c r="D311" s="9"/>
      <c r="E311" s="49"/>
      <c r="F311" s="49"/>
      <c r="G311" s="9"/>
      <c r="H311" s="9"/>
      <c r="I311" s="9"/>
      <c r="J311" s="9"/>
      <c r="K311" s="9"/>
      <c r="L311" s="9"/>
      <c r="M311" s="9"/>
      <c r="N311" s="9"/>
      <c r="O311" s="50"/>
      <c r="P311" s="9"/>
      <c r="Q311" s="49"/>
      <c r="R311" s="49"/>
      <c r="S311" s="9"/>
      <c r="T311" s="9"/>
      <c r="U311" s="9"/>
      <c r="V311" s="9"/>
      <c r="W311" s="9"/>
      <c r="X311" s="9"/>
    </row>
    <row r="312" spans="1:24">
      <c r="A312" s="9"/>
      <c r="B312" s="9"/>
      <c r="C312" s="9"/>
      <c r="D312" s="9"/>
      <c r="E312" s="49"/>
      <c r="F312" s="49"/>
      <c r="G312" s="9"/>
      <c r="H312" s="9"/>
      <c r="I312" s="9"/>
      <c r="J312" s="9"/>
      <c r="K312" s="9"/>
      <c r="L312" s="9"/>
      <c r="M312" s="9"/>
      <c r="N312" s="9"/>
      <c r="O312" s="50"/>
      <c r="P312" s="9"/>
      <c r="Q312" s="49"/>
      <c r="R312" s="49"/>
      <c r="S312" s="9"/>
      <c r="T312" s="9"/>
      <c r="U312" s="9"/>
      <c r="V312" s="9"/>
      <c r="W312" s="9"/>
      <c r="X312" s="9"/>
    </row>
    <row r="313" spans="1:24">
      <c r="A313" s="9"/>
      <c r="B313" s="9"/>
      <c r="C313" s="9"/>
      <c r="D313" s="9"/>
      <c r="E313" s="49"/>
      <c r="F313" s="49"/>
      <c r="G313" s="9"/>
      <c r="H313" s="9"/>
      <c r="I313" s="9"/>
      <c r="J313" s="9"/>
      <c r="K313" s="9"/>
      <c r="L313" s="9"/>
      <c r="M313" s="9"/>
      <c r="N313" s="9"/>
      <c r="O313" s="50"/>
      <c r="P313" s="9"/>
      <c r="Q313" s="49"/>
      <c r="R313" s="49"/>
      <c r="S313" s="9"/>
      <c r="T313" s="9"/>
      <c r="U313" s="9"/>
      <c r="V313" s="9"/>
      <c r="W313" s="9"/>
      <c r="X313" s="9"/>
    </row>
    <row r="314" spans="1:24">
      <c r="A314" s="9"/>
      <c r="B314" s="9"/>
      <c r="C314" s="9"/>
      <c r="D314" s="9"/>
      <c r="E314" s="49"/>
      <c r="F314" s="49"/>
      <c r="G314" s="9"/>
      <c r="H314" s="9"/>
      <c r="I314" s="9"/>
      <c r="J314" s="9"/>
      <c r="K314" s="9"/>
      <c r="L314" s="9"/>
      <c r="M314" s="9"/>
      <c r="N314" s="9"/>
      <c r="O314" s="50"/>
      <c r="P314" s="9"/>
      <c r="Q314" s="49"/>
      <c r="R314" s="49"/>
      <c r="S314" s="9"/>
      <c r="T314" s="9"/>
      <c r="U314" s="9"/>
      <c r="V314" s="9"/>
      <c r="W314" s="9"/>
      <c r="X314" s="9"/>
    </row>
    <row r="315" spans="1:24">
      <c r="A315" s="9"/>
      <c r="B315" s="9"/>
      <c r="C315" s="9"/>
      <c r="D315" s="9"/>
      <c r="E315" s="49"/>
      <c r="F315" s="49"/>
      <c r="G315" s="9"/>
      <c r="H315" s="9"/>
      <c r="I315" s="9"/>
      <c r="J315" s="9"/>
      <c r="K315" s="9"/>
      <c r="L315" s="9"/>
      <c r="M315" s="9"/>
      <c r="N315" s="9"/>
      <c r="O315" s="50"/>
      <c r="P315" s="9"/>
      <c r="Q315" s="49"/>
      <c r="R315" s="49"/>
      <c r="S315" s="9"/>
      <c r="T315" s="9"/>
      <c r="U315" s="9"/>
      <c r="V315" s="9"/>
      <c r="W315" s="9"/>
      <c r="X315" s="9"/>
    </row>
    <row r="316" spans="1:24">
      <c r="A316" s="9"/>
      <c r="B316" s="9"/>
      <c r="C316" s="9"/>
      <c r="D316" s="9"/>
      <c r="E316" s="49"/>
      <c r="F316" s="49"/>
      <c r="G316" s="9"/>
      <c r="H316" s="9"/>
      <c r="I316" s="9"/>
      <c r="J316" s="9"/>
      <c r="K316" s="9"/>
      <c r="L316" s="9"/>
      <c r="M316" s="9"/>
      <c r="N316" s="9"/>
      <c r="O316" s="50"/>
      <c r="P316" s="9"/>
      <c r="Q316" s="49"/>
      <c r="R316" s="49"/>
      <c r="S316" s="9"/>
      <c r="T316" s="9"/>
      <c r="U316" s="9"/>
      <c r="V316" s="9"/>
      <c r="W316" s="9"/>
      <c r="X316" s="9"/>
    </row>
    <row r="317" spans="1:24">
      <c r="A317" s="9"/>
      <c r="B317" s="9"/>
      <c r="C317" s="9"/>
      <c r="D317" s="9"/>
      <c r="E317" s="49"/>
      <c r="F317" s="49"/>
      <c r="G317" s="9"/>
      <c r="H317" s="9"/>
      <c r="I317" s="9"/>
      <c r="J317" s="9"/>
      <c r="K317" s="9"/>
      <c r="L317" s="9"/>
      <c r="M317" s="9"/>
      <c r="N317" s="9"/>
      <c r="O317" s="50"/>
      <c r="P317" s="9"/>
      <c r="Q317" s="49"/>
      <c r="R317" s="49"/>
      <c r="S317" s="9"/>
      <c r="T317" s="9"/>
      <c r="U317" s="9"/>
      <c r="V317" s="9"/>
      <c r="W317" s="9"/>
      <c r="X317" s="9"/>
    </row>
    <row r="318" spans="1:24">
      <c r="A318" s="9"/>
      <c r="B318" s="9"/>
      <c r="C318" s="9"/>
      <c r="D318" s="9"/>
      <c r="E318" s="49"/>
      <c r="F318" s="49"/>
      <c r="G318" s="9"/>
      <c r="H318" s="9"/>
      <c r="I318" s="9"/>
      <c r="J318" s="9"/>
      <c r="K318" s="9"/>
      <c r="L318" s="9"/>
      <c r="M318" s="9"/>
      <c r="N318" s="9"/>
      <c r="O318" s="50"/>
      <c r="P318" s="9"/>
      <c r="Q318" s="49"/>
      <c r="R318" s="49"/>
      <c r="S318" s="9"/>
      <c r="T318" s="9"/>
      <c r="U318" s="9"/>
      <c r="V318" s="9"/>
      <c r="W318" s="9"/>
      <c r="X318" s="9"/>
    </row>
    <row r="319" spans="1:24">
      <c r="A319" s="9"/>
      <c r="B319" s="9"/>
      <c r="C319" s="9"/>
      <c r="D319" s="9"/>
      <c r="E319" s="49"/>
      <c r="F319" s="49"/>
      <c r="G319" s="9"/>
      <c r="H319" s="9"/>
      <c r="I319" s="9"/>
      <c r="J319" s="9"/>
      <c r="K319" s="9"/>
      <c r="L319" s="9"/>
      <c r="M319" s="9"/>
      <c r="N319" s="9"/>
      <c r="O319" s="50"/>
      <c r="P319" s="9"/>
      <c r="Q319" s="49"/>
      <c r="R319" s="49"/>
      <c r="S319" s="9"/>
      <c r="T319" s="9"/>
      <c r="U319" s="9"/>
      <c r="V319" s="9"/>
      <c r="W319" s="9"/>
      <c r="X319" s="9"/>
    </row>
    <row r="320" spans="1:24">
      <c r="A320" s="9"/>
      <c r="B320" s="9"/>
      <c r="C320" s="9"/>
      <c r="D320" s="9"/>
      <c r="E320" s="49"/>
      <c r="F320" s="49"/>
      <c r="G320" s="9"/>
      <c r="H320" s="9"/>
      <c r="I320" s="9"/>
      <c r="J320" s="9"/>
      <c r="K320" s="9"/>
      <c r="L320" s="9"/>
      <c r="M320" s="9"/>
      <c r="N320" s="9"/>
      <c r="O320" s="50"/>
      <c r="P320" s="9"/>
      <c r="Q320" s="49"/>
      <c r="R320" s="49"/>
      <c r="S320" s="9"/>
      <c r="T320" s="9"/>
      <c r="U320" s="9"/>
      <c r="V320" s="9"/>
      <c r="W320" s="9"/>
      <c r="X320" s="9"/>
    </row>
    <row r="321" spans="1:24">
      <c r="A321" s="9"/>
      <c r="B321" s="9"/>
      <c r="C321" s="9"/>
      <c r="D321" s="9"/>
      <c r="E321" s="49"/>
      <c r="F321" s="49"/>
      <c r="G321" s="9"/>
      <c r="H321" s="9"/>
      <c r="I321" s="9"/>
      <c r="J321" s="9"/>
      <c r="K321" s="9"/>
      <c r="L321" s="9"/>
      <c r="M321" s="9"/>
      <c r="N321" s="9"/>
      <c r="O321" s="50"/>
      <c r="P321" s="9"/>
      <c r="Q321" s="49"/>
      <c r="R321" s="49"/>
      <c r="S321" s="9"/>
      <c r="T321" s="9"/>
      <c r="U321" s="9"/>
      <c r="V321" s="9"/>
      <c r="W321" s="9"/>
      <c r="X321" s="9"/>
    </row>
    <row r="322" spans="1:24">
      <c r="A322" s="9"/>
      <c r="B322" s="9"/>
      <c r="C322" s="9"/>
      <c r="D322" s="9"/>
      <c r="E322" s="49"/>
      <c r="F322" s="49"/>
      <c r="G322" s="9"/>
      <c r="H322" s="9"/>
      <c r="I322" s="9"/>
      <c r="J322" s="9"/>
      <c r="K322" s="9"/>
      <c r="L322" s="9"/>
      <c r="M322" s="9"/>
      <c r="N322" s="9"/>
      <c r="O322" s="50"/>
      <c r="P322" s="9"/>
      <c r="Q322" s="49"/>
      <c r="R322" s="49"/>
      <c r="S322" s="9"/>
      <c r="T322" s="9"/>
      <c r="U322" s="9"/>
      <c r="V322" s="9"/>
      <c r="W322" s="9"/>
      <c r="X322" s="9"/>
    </row>
    <row r="323" spans="1:24">
      <c r="A323" s="9"/>
      <c r="B323" s="9"/>
      <c r="C323" s="9"/>
      <c r="D323" s="9"/>
      <c r="E323" s="49"/>
      <c r="F323" s="49"/>
      <c r="G323" s="9"/>
      <c r="H323" s="9"/>
      <c r="I323" s="9"/>
      <c r="J323" s="9"/>
      <c r="K323" s="9"/>
      <c r="L323" s="9"/>
      <c r="M323" s="9"/>
      <c r="N323" s="9"/>
      <c r="O323" s="50"/>
      <c r="P323" s="9"/>
      <c r="Q323" s="49"/>
      <c r="R323" s="49"/>
      <c r="S323" s="9"/>
      <c r="T323" s="9"/>
      <c r="U323" s="9"/>
      <c r="V323" s="9"/>
      <c r="W323" s="9"/>
      <c r="X323" s="9"/>
    </row>
    <row r="324" spans="1:24">
      <c r="A324" s="9"/>
      <c r="B324" s="9"/>
      <c r="C324" s="9"/>
      <c r="D324" s="9"/>
      <c r="E324" s="49"/>
      <c r="F324" s="49"/>
      <c r="G324" s="9"/>
      <c r="H324" s="9"/>
      <c r="I324" s="9"/>
      <c r="J324" s="9"/>
      <c r="K324" s="9"/>
      <c r="L324" s="9"/>
      <c r="M324" s="9"/>
      <c r="N324" s="9"/>
      <c r="O324" s="50"/>
      <c r="P324" s="9"/>
      <c r="Q324" s="49"/>
      <c r="R324" s="49"/>
      <c r="S324" s="9"/>
      <c r="T324" s="9"/>
      <c r="U324" s="9"/>
      <c r="V324" s="9"/>
      <c r="W324" s="9"/>
      <c r="X324" s="9"/>
    </row>
    <row r="325" spans="1:24">
      <c r="A325" s="9"/>
      <c r="B325" s="9"/>
      <c r="C325" s="9"/>
      <c r="D325" s="9"/>
      <c r="E325" s="49"/>
      <c r="F325" s="49"/>
      <c r="G325" s="9"/>
      <c r="H325" s="9"/>
      <c r="I325" s="9"/>
      <c r="J325" s="9"/>
      <c r="K325" s="9"/>
      <c r="L325" s="9"/>
      <c r="M325" s="9"/>
      <c r="N325" s="9"/>
      <c r="O325" s="50"/>
      <c r="P325" s="9"/>
      <c r="Q325" s="49"/>
      <c r="R325" s="49"/>
      <c r="S325" s="9"/>
      <c r="T325" s="9"/>
      <c r="U325" s="9"/>
      <c r="V325" s="9"/>
      <c r="W325" s="9"/>
      <c r="X325" s="9"/>
    </row>
    <row r="326" spans="1:24">
      <c r="A326" s="9"/>
      <c r="B326" s="9"/>
      <c r="C326" s="9"/>
      <c r="D326" s="9"/>
      <c r="E326" s="49"/>
      <c r="F326" s="49"/>
      <c r="G326" s="9"/>
      <c r="H326" s="9"/>
      <c r="I326" s="9"/>
      <c r="J326" s="9"/>
      <c r="K326" s="9"/>
      <c r="L326" s="9"/>
      <c r="M326" s="9"/>
      <c r="N326" s="9"/>
      <c r="O326" s="50"/>
      <c r="P326" s="9"/>
      <c r="Q326" s="49"/>
      <c r="R326" s="49"/>
      <c r="S326" s="9"/>
      <c r="T326" s="9"/>
      <c r="U326" s="9"/>
      <c r="V326" s="9"/>
      <c r="W326" s="9"/>
      <c r="X326" s="9"/>
    </row>
    <row r="327" spans="1:24">
      <c r="A327" s="9"/>
      <c r="B327" s="9"/>
      <c r="C327" s="9"/>
      <c r="D327" s="9"/>
      <c r="E327" s="49"/>
      <c r="F327" s="49"/>
      <c r="G327" s="9"/>
      <c r="H327" s="9"/>
      <c r="I327" s="9"/>
      <c r="J327" s="9"/>
      <c r="K327" s="9"/>
      <c r="L327" s="9"/>
      <c r="M327" s="9"/>
      <c r="N327" s="9"/>
      <c r="O327" s="50"/>
      <c r="P327" s="9"/>
      <c r="Q327" s="49"/>
      <c r="R327" s="49"/>
      <c r="S327" s="9"/>
      <c r="T327" s="9"/>
      <c r="U327" s="9"/>
      <c r="V327" s="9"/>
      <c r="W327" s="9"/>
      <c r="X327" s="9"/>
    </row>
    <row r="328" spans="1:24">
      <c r="A328" s="9"/>
      <c r="B328" s="9"/>
      <c r="C328" s="9"/>
      <c r="D328" s="9"/>
      <c r="E328" s="49"/>
      <c r="F328" s="49"/>
      <c r="G328" s="9"/>
      <c r="H328" s="9"/>
      <c r="I328" s="9"/>
      <c r="J328" s="9"/>
      <c r="K328" s="9"/>
      <c r="L328" s="9"/>
      <c r="M328" s="9"/>
      <c r="N328" s="9"/>
      <c r="O328" s="50"/>
      <c r="P328" s="9"/>
      <c r="Q328" s="49"/>
      <c r="R328" s="49"/>
      <c r="S328" s="9"/>
      <c r="T328" s="9"/>
      <c r="U328" s="9"/>
      <c r="V328" s="9"/>
      <c r="W328" s="9"/>
      <c r="X328" s="9"/>
    </row>
    <row r="329" spans="1:24">
      <c r="A329" s="9"/>
      <c r="B329" s="9"/>
      <c r="C329" s="9"/>
      <c r="D329" s="9"/>
      <c r="E329" s="49"/>
      <c r="F329" s="49"/>
      <c r="G329" s="9"/>
      <c r="H329" s="9"/>
      <c r="I329" s="9"/>
      <c r="J329" s="9"/>
      <c r="K329" s="9"/>
      <c r="L329" s="9"/>
      <c r="M329" s="9"/>
      <c r="N329" s="9"/>
      <c r="O329" s="50"/>
      <c r="P329" s="9"/>
      <c r="Q329" s="49"/>
      <c r="R329" s="49"/>
      <c r="S329" s="9"/>
      <c r="T329" s="9"/>
      <c r="U329" s="9"/>
      <c r="V329" s="9"/>
      <c r="W329" s="9"/>
      <c r="X329" s="9"/>
    </row>
    <row r="330" spans="1:24">
      <c r="A330" s="9"/>
      <c r="B330" s="9"/>
      <c r="C330" s="9"/>
      <c r="D330" s="9"/>
      <c r="E330" s="49"/>
      <c r="F330" s="49"/>
      <c r="G330" s="9"/>
      <c r="H330" s="9"/>
      <c r="I330" s="9"/>
      <c r="J330" s="9"/>
      <c r="K330" s="9"/>
      <c r="L330" s="9"/>
      <c r="M330" s="9"/>
      <c r="N330" s="9"/>
      <c r="O330" s="50"/>
      <c r="P330" s="9"/>
      <c r="Q330" s="49"/>
      <c r="R330" s="49"/>
      <c r="S330" s="9"/>
      <c r="T330" s="9"/>
      <c r="U330" s="9"/>
      <c r="V330" s="9"/>
      <c r="W330" s="9"/>
      <c r="X330" s="9"/>
    </row>
    <row r="331" spans="1:24">
      <c r="A331" s="9"/>
      <c r="B331" s="9"/>
      <c r="C331" s="9"/>
      <c r="D331" s="9"/>
      <c r="E331" s="49"/>
      <c r="F331" s="49"/>
      <c r="G331" s="9"/>
      <c r="H331" s="9"/>
      <c r="I331" s="9"/>
      <c r="J331" s="9"/>
      <c r="K331" s="9"/>
      <c r="L331" s="9"/>
      <c r="M331" s="9"/>
      <c r="N331" s="9"/>
      <c r="O331" s="50"/>
      <c r="P331" s="9"/>
      <c r="Q331" s="49"/>
      <c r="R331" s="49"/>
      <c r="S331" s="9"/>
      <c r="T331" s="9"/>
      <c r="U331" s="9"/>
      <c r="V331" s="9"/>
      <c r="W331" s="9"/>
      <c r="X331" s="9"/>
    </row>
    <row r="332" spans="1:24">
      <c r="A332" s="9"/>
      <c r="B332" s="9"/>
      <c r="C332" s="9"/>
      <c r="D332" s="9"/>
      <c r="E332" s="49"/>
      <c r="F332" s="49"/>
      <c r="G332" s="9"/>
      <c r="H332" s="9"/>
      <c r="I332" s="9"/>
      <c r="J332" s="9"/>
      <c r="K332" s="9"/>
      <c r="L332" s="9"/>
      <c r="M332" s="9"/>
      <c r="N332" s="9"/>
      <c r="O332" s="50"/>
      <c r="P332" s="9"/>
      <c r="Q332" s="49"/>
      <c r="R332" s="49"/>
      <c r="S332" s="9"/>
      <c r="T332" s="9"/>
      <c r="U332" s="9"/>
      <c r="V332" s="9"/>
      <c r="W332" s="9"/>
      <c r="X332" s="9"/>
    </row>
    <row r="333" spans="1:24">
      <c r="A333" s="9"/>
      <c r="B333" s="9"/>
      <c r="C333" s="9"/>
      <c r="D333" s="9"/>
      <c r="E333" s="49"/>
      <c r="F333" s="49"/>
      <c r="G333" s="9"/>
      <c r="H333" s="9"/>
      <c r="I333" s="9"/>
      <c r="J333" s="9"/>
      <c r="K333" s="9"/>
      <c r="L333" s="9"/>
      <c r="M333" s="9"/>
      <c r="N333" s="9"/>
      <c r="O333" s="50"/>
      <c r="P333" s="9"/>
      <c r="Q333" s="49"/>
      <c r="R333" s="49"/>
      <c r="S333" s="9"/>
      <c r="T333" s="9"/>
      <c r="U333" s="9"/>
      <c r="V333" s="9"/>
      <c r="W333" s="9"/>
      <c r="X333" s="9"/>
    </row>
    <row r="334" spans="1:24">
      <c r="A334" s="9"/>
      <c r="B334" s="9"/>
      <c r="C334" s="9"/>
      <c r="D334" s="9"/>
      <c r="E334" s="49"/>
      <c r="F334" s="49"/>
      <c r="G334" s="9"/>
      <c r="H334" s="9"/>
      <c r="I334" s="9"/>
      <c r="J334" s="9"/>
      <c r="K334" s="9"/>
      <c r="L334" s="9"/>
      <c r="M334" s="9"/>
      <c r="N334" s="9"/>
      <c r="O334" s="50"/>
      <c r="P334" s="9"/>
      <c r="Q334" s="49"/>
      <c r="R334" s="49"/>
      <c r="S334" s="9"/>
      <c r="T334" s="9"/>
      <c r="U334" s="9"/>
      <c r="V334" s="9"/>
      <c r="W334" s="9"/>
      <c r="X334" s="9"/>
    </row>
    <row r="335" spans="1:24">
      <c r="A335" s="9"/>
      <c r="B335" s="9"/>
      <c r="C335" s="9"/>
      <c r="D335" s="9"/>
      <c r="E335" s="49"/>
      <c r="F335" s="49"/>
      <c r="G335" s="9"/>
      <c r="H335" s="9"/>
      <c r="I335" s="9"/>
      <c r="J335" s="9"/>
      <c r="K335" s="9"/>
      <c r="L335" s="9"/>
      <c r="M335" s="9"/>
      <c r="N335" s="9"/>
      <c r="O335" s="50"/>
      <c r="P335" s="9"/>
      <c r="Q335" s="49"/>
      <c r="R335" s="49"/>
      <c r="S335" s="9"/>
      <c r="T335" s="9"/>
      <c r="U335" s="9"/>
      <c r="V335" s="9"/>
      <c r="W335" s="9"/>
      <c r="X335" s="9"/>
    </row>
    <row r="336" spans="1:24">
      <c r="A336" s="9"/>
      <c r="B336" s="9"/>
      <c r="C336" s="9"/>
      <c r="D336" s="9"/>
      <c r="E336" s="49"/>
      <c r="F336" s="49"/>
      <c r="G336" s="9"/>
      <c r="H336" s="9"/>
      <c r="I336" s="9"/>
      <c r="J336" s="9"/>
      <c r="K336" s="9"/>
      <c r="L336" s="9"/>
      <c r="M336" s="9"/>
      <c r="N336" s="9"/>
      <c r="O336" s="50"/>
      <c r="P336" s="9"/>
      <c r="Q336" s="49"/>
      <c r="R336" s="49"/>
      <c r="S336" s="9"/>
      <c r="T336" s="9"/>
      <c r="U336" s="9"/>
      <c r="V336" s="9"/>
      <c r="W336" s="9"/>
      <c r="X336" s="9"/>
    </row>
    <row r="337" spans="1:24">
      <c r="A337" s="9"/>
      <c r="B337" s="9"/>
      <c r="C337" s="9"/>
      <c r="D337" s="9"/>
      <c r="E337" s="49"/>
      <c r="F337" s="49"/>
      <c r="G337" s="9"/>
      <c r="H337" s="9"/>
      <c r="I337" s="9"/>
      <c r="J337" s="9"/>
      <c r="K337" s="9"/>
      <c r="L337" s="9"/>
      <c r="M337" s="9"/>
      <c r="N337" s="9"/>
      <c r="O337" s="50"/>
      <c r="P337" s="9"/>
      <c r="Q337" s="49"/>
      <c r="R337" s="49"/>
      <c r="S337" s="9"/>
      <c r="T337" s="9"/>
      <c r="U337" s="9"/>
      <c r="V337" s="9"/>
      <c r="W337" s="9"/>
      <c r="X337" s="9"/>
    </row>
    <row r="338" spans="1:24">
      <c r="A338" s="9"/>
      <c r="B338" s="9"/>
      <c r="C338" s="9"/>
      <c r="D338" s="9"/>
      <c r="E338" s="49"/>
      <c r="F338" s="49"/>
      <c r="G338" s="9"/>
      <c r="H338" s="9"/>
      <c r="I338" s="9"/>
      <c r="J338" s="9"/>
      <c r="K338" s="9"/>
      <c r="L338" s="9"/>
      <c r="M338" s="9"/>
      <c r="N338" s="9"/>
      <c r="O338" s="50"/>
      <c r="P338" s="9"/>
      <c r="Q338" s="49"/>
      <c r="R338" s="49"/>
      <c r="S338" s="9"/>
      <c r="T338" s="9"/>
      <c r="U338" s="9"/>
      <c r="V338" s="9"/>
      <c r="W338" s="9"/>
      <c r="X338" s="9"/>
    </row>
    <row r="339" spans="1:24">
      <c r="A339" s="9"/>
      <c r="B339" s="9"/>
      <c r="C339" s="9"/>
      <c r="D339" s="9"/>
      <c r="E339" s="49"/>
      <c r="F339" s="49"/>
      <c r="G339" s="9"/>
      <c r="H339" s="9"/>
      <c r="I339" s="9"/>
      <c r="J339" s="9"/>
      <c r="K339" s="9"/>
      <c r="L339" s="9"/>
      <c r="M339" s="9"/>
      <c r="N339" s="9"/>
      <c r="O339" s="50"/>
      <c r="P339" s="9"/>
      <c r="Q339" s="49"/>
      <c r="R339" s="49"/>
      <c r="S339" s="9"/>
      <c r="T339" s="9"/>
      <c r="U339" s="9"/>
      <c r="V339" s="9"/>
      <c r="W339" s="9"/>
      <c r="X339" s="9"/>
    </row>
    <row r="340" spans="1:24">
      <c r="A340" s="9"/>
      <c r="B340" s="9"/>
      <c r="C340" s="9"/>
      <c r="D340" s="9"/>
      <c r="E340" s="49"/>
      <c r="F340" s="49"/>
      <c r="G340" s="9"/>
      <c r="H340" s="9"/>
      <c r="I340" s="9"/>
      <c r="J340" s="9"/>
      <c r="K340" s="9"/>
      <c r="L340" s="9"/>
      <c r="M340" s="9"/>
      <c r="N340" s="9"/>
      <c r="O340" s="50"/>
      <c r="P340" s="9"/>
      <c r="Q340" s="49"/>
      <c r="R340" s="49"/>
      <c r="S340" s="9"/>
      <c r="T340" s="9"/>
      <c r="U340" s="9"/>
      <c r="V340" s="9"/>
      <c r="W340" s="9"/>
      <c r="X340" s="9"/>
    </row>
    <row r="341" spans="1:24">
      <c r="A341" s="9"/>
      <c r="B341" s="9"/>
      <c r="C341" s="9"/>
      <c r="D341" s="9"/>
      <c r="E341" s="49"/>
      <c r="F341" s="49"/>
      <c r="G341" s="9"/>
      <c r="H341" s="9"/>
      <c r="I341" s="9"/>
      <c r="J341" s="9"/>
      <c r="K341" s="9"/>
      <c r="L341" s="9"/>
      <c r="M341" s="9"/>
      <c r="N341" s="9"/>
      <c r="O341" s="50"/>
      <c r="P341" s="9"/>
      <c r="Q341" s="49"/>
      <c r="R341" s="49"/>
      <c r="S341" s="9"/>
      <c r="T341" s="9"/>
      <c r="U341" s="9"/>
      <c r="V341" s="9"/>
      <c r="W341" s="9"/>
      <c r="X341" s="9"/>
    </row>
    <row r="342" spans="1:24">
      <c r="A342" s="9"/>
      <c r="B342" s="9"/>
      <c r="C342" s="9"/>
      <c r="D342" s="9"/>
      <c r="E342" s="49"/>
      <c r="F342" s="49"/>
      <c r="G342" s="9"/>
      <c r="H342" s="9"/>
      <c r="I342" s="9"/>
      <c r="J342" s="9"/>
      <c r="K342" s="9"/>
      <c r="L342" s="9"/>
      <c r="M342" s="9"/>
      <c r="N342" s="9"/>
      <c r="O342" s="50"/>
      <c r="P342" s="9"/>
      <c r="Q342" s="49"/>
      <c r="R342" s="49"/>
      <c r="S342" s="9"/>
      <c r="T342" s="9"/>
      <c r="U342" s="9"/>
      <c r="V342" s="9"/>
      <c r="W342" s="9"/>
      <c r="X342" s="9"/>
    </row>
    <row r="343" spans="1:24">
      <c r="A343" s="9"/>
      <c r="B343" s="9"/>
      <c r="C343" s="9"/>
      <c r="D343" s="9"/>
      <c r="E343" s="49"/>
      <c r="F343" s="49"/>
      <c r="G343" s="9"/>
      <c r="H343" s="9"/>
      <c r="I343" s="9"/>
      <c r="J343" s="9"/>
      <c r="K343" s="9"/>
      <c r="L343" s="9"/>
      <c r="M343" s="9"/>
      <c r="N343" s="9"/>
      <c r="O343" s="50"/>
      <c r="P343" s="9"/>
      <c r="Q343" s="49"/>
      <c r="R343" s="49"/>
      <c r="S343" s="9"/>
      <c r="T343" s="9"/>
      <c r="U343" s="9"/>
      <c r="V343" s="9"/>
      <c r="W343" s="9"/>
      <c r="X343" s="9"/>
    </row>
    <row r="344" spans="1:24">
      <c r="A344" s="9"/>
      <c r="B344" s="9"/>
      <c r="C344" s="9"/>
      <c r="D344" s="9"/>
      <c r="E344" s="49"/>
      <c r="F344" s="49"/>
      <c r="G344" s="9"/>
      <c r="H344" s="9"/>
      <c r="I344" s="9"/>
      <c r="J344" s="9"/>
      <c r="K344" s="9"/>
      <c r="L344" s="9"/>
      <c r="M344" s="9"/>
      <c r="N344" s="9"/>
      <c r="O344" s="50"/>
      <c r="P344" s="9"/>
      <c r="Q344" s="49"/>
      <c r="R344" s="49"/>
      <c r="S344" s="9"/>
      <c r="T344" s="9"/>
      <c r="U344" s="9"/>
      <c r="V344" s="9"/>
      <c r="W344" s="9"/>
      <c r="X344" s="9"/>
    </row>
    <row r="345" spans="1:24">
      <c r="A345" s="9"/>
      <c r="B345" s="9"/>
      <c r="C345" s="9"/>
      <c r="D345" s="9"/>
      <c r="E345" s="49"/>
      <c r="F345" s="49"/>
      <c r="G345" s="9"/>
      <c r="H345" s="9"/>
      <c r="I345" s="9"/>
      <c r="J345" s="9"/>
      <c r="K345" s="9"/>
      <c r="L345" s="9"/>
      <c r="M345" s="9"/>
      <c r="N345" s="9"/>
      <c r="O345" s="50"/>
      <c r="P345" s="9"/>
      <c r="Q345" s="49"/>
      <c r="R345" s="49"/>
      <c r="S345" s="9"/>
      <c r="T345" s="9"/>
      <c r="U345" s="9"/>
      <c r="V345" s="9"/>
      <c r="W345" s="9"/>
      <c r="X345" s="9"/>
    </row>
    <row r="346" spans="1:24">
      <c r="A346" s="9"/>
      <c r="B346" s="9"/>
      <c r="C346" s="9"/>
      <c r="D346" s="9"/>
      <c r="E346" s="49"/>
      <c r="F346" s="49"/>
      <c r="G346" s="9"/>
      <c r="H346" s="9"/>
      <c r="I346" s="9"/>
      <c r="J346" s="9"/>
      <c r="K346" s="9"/>
      <c r="L346" s="9"/>
      <c r="M346" s="9"/>
      <c r="N346" s="9"/>
      <c r="O346" s="50"/>
      <c r="P346" s="9"/>
      <c r="Q346" s="49"/>
      <c r="R346" s="49"/>
      <c r="S346" s="9"/>
      <c r="T346" s="9"/>
      <c r="U346" s="9"/>
      <c r="V346" s="9"/>
      <c r="W346" s="9"/>
      <c r="X346" s="9"/>
    </row>
    <row r="347" spans="1:24">
      <c r="A347" s="9"/>
      <c r="B347" s="9"/>
      <c r="C347" s="9"/>
      <c r="D347" s="9"/>
      <c r="E347" s="49"/>
      <c r="F347" s="49"/>
      <c r="G347" s="9"/>
      <c r="H347" s="9"/>
      <c r="I347" s="9"/>
      <c r="J347" s="9"/>
      <c r="K347" s="9"/>
      <c r="L347" s="9"/>
      <c r="M347" s="9"/>
      <c r="N347" s="9"/>
      <c r="O347" s="50"/>
      <c r="P347" s="9"/>
      <c r="Q347" s="49"/>
      <c r="R347" s="49"/>
      <c r="S347" s="9"/>
      <c r="T347" s="9"/>
      <c r="U347" s="9"/>
      <c r="V347" s="9"/>
      <c r="W347" s="9"/>
      <c r="X347" s="9"/>
    </row>
    <row r="348" spans="1:24">
      <c r="A348" s="9"/>
      <c r="B348" s="9"/>
      <c r="C348" s="9"/>
      <c r="D348" s="9"/>
      <c r="E348" s="49"/>
      <c r="F348" s="49"/>
      <c r="G348" s="9"/>
      <c r="H348" s="9"/>
      <c r="I348" s="9"/>
      <c r="J348" s="9"/>
      <c r="K348" s="9"/>
      <c r="L348" s="9"/>
      <c r="M348" s="9"/>
      <c r="N348" s="9"/>
      <c r="O348" s="50"/>
      <c r="P348" s="9"/>
      <c r="Q348" s="49"/>
      <c r="R348" s="49"/>
      <c r="S348" s="9"/>
      <c r="T348" s="9"/>
      <c r="U348" s="9"/>
      <c r="V348" s="9"/>
      <c r="W348" s="9"/>
      <c r="X348" s="9"/>
    </row>
    <row r="349" spans="1:24">
      <c r="A349" s="9"/>
      <c r="B349" s="9"/>
      <c r="C349" s="9"/>
      <c r="D349" s="9"/>
      <c r="E349" s="49"/>
      <c r="F349" s="49"/>
      <c r="G349" s="9"/>
      <c r="H349" s="9"/>
      <c r="I349" s="9"/>
      <c r="J349" s="9"/>
      <c r="K349" s="9"/>
      <c r="L349" s="9"/>
      <c r="M349" s="9"/>
      <c r="N349" s="9"/>
      <c r="O349" s="50"/>
      <c r="P349" s="9"/>
      <c r="Q349" s="49"/>
      <c r="R349" s="49"/>
      <c r="S349" s="9"/>
      <c r="T349" s="9"/>
      <c r="U349" s="9"/>
      <c r="V349" s="9"/>
      <c r="W349" s="9"/>
      <c r="X349" s="9"/>
    </row>
    <row r="350" spans="1:24">
      <c r="A350" s="9"/>
      <c r="B350" s="9"/>
      <c r="C350" s="9"/>
      <c r="D350" s="9"/>
      <c r="E350" s="49"/>
      <c r="F350" s="49"/>
      <c r="G350" s="9"/>
      <c r="H350" s="9"/>
      <c r="I350" s="9"/>
      <c r="J350" s="9"/>
      <c r="K350" s="9"/>
      <c r="L350" s="9"/>
      <c r="M350" s="9"/>
      <c r="N350" s="9"/>
      <c r="O350" s="50"/>
      <c r="P350" s="9"/>
      <c r="Q350" s="49"/>
      <c r="R350" s="49"/>
      <c r="S350" s="9"/>
      <c r="T350" s="9"/>
      <c r="U350" s="9"/>
      <c r="V350" s="9"/>
      <c r="W350" s="9"/>
      <c r="X350" s="9"/>
    </row>
    <row r="351" spans="1:24">
      <c r="A351" s="9"/>
      <c r="B351" s="9"/>
      <c r="C351" s="9"/>
      <c r="D351" s="9"/>
      <c r="E351" s="49"/>
      <c r="F351" s="49"/>
      <c r="G351" s="9"/>
      <c r="H351" s="9"/>
      <c r="I351" s="9"/>
      <c r="J351" s="9"/>
      <c r="K351" s="9"/>
      <c r="L351" s="9"/>
      <c r="M351" s="9"/>
      <c r="N351" s="9"/>
      <c r="O351" s="50"/>
      <c r="P351" s="9"/>
      <c r="Q351" s="49"/>
      <c r="R351" s="49"/>
      <c r="S351" s="9"/>
      <c r="T351" s="9"/>
      <c r="U351" s="9"/>
      <c r="V351" s="9"/>
      <c r="W351" s="9"/>
      <c r="X351" s="9"/>
    </row>
    <row r="352" spans="1:24">
      <c r="A352" s="9"/>
      <c r="B352" s="9"/>
      <c r="C352" s="9"/>
      <c r="D352" s="9"/>
      <c r="E352" s="49"/>
      <c r="F352" s="49"/>
      <c r="G352" s="9"/>
      <c r="H352" s="9"/>
      <c r="I352" s="9"/>
      <c r="J352" s="9"/>
      <c r="K352" s="9"/>
      <c r="L352" s="9"/>
      <c r="M352" s="9"/>
      <c r="N352" s="9"/>
      <c r="O352" s="50"/>
      <c r="P352" s="9"/>
      <c r="Q352" s="49"/>
      <c r="R352" s="49"/>
      <c r="S352" s="9"/>
      <c r="T352" s="9"/>
      <c r="U352" s="9"/>
      <c r="V352" s="9"/>
      <c r="W352" s="9"/>
      <c r="X352" s="9"/>
    </row>
    <row r="353" spans="1:24">
      <c r="A353" s="9"/>
      <c r="B353" s="9"/>
      <c r="C353" s="9"/>
      <c r="D353" s="9"/>
      <c r="E353" s="49"/>
      <c r="F353" s="49"/>
      <c r="G353" s="9"/>
      <c r="H353" s="9"/>
      <c r="I353" s="9"/>
      <c r="J353" s="9"/>
      <c r="K353" s="9"/>
      <c r="L353" s="9"/>
      <c r="M353" s="9"/>
      <c r="N353" s="9"/>
      <c r="O353" s="50"/>
      <c r="P353" s="9"/>
      <c r="Q353" s="49"/>
      <c r="R353" s="49"/>
      <c r="S353" s="9"/>
      <c r="T353" s="9"/>
      <c r="U353" s="9"/>
      <c r="V353" s="9"/>
      <c r="W353" s="9"/>
      <c r="X353" s="9"/>
    </row>
    <row r="354" spans="1:24">
      <c r="A354" s="9"/>
      <c r="B354" s="9"/>
      <c r="C354" s="9"/>
      <c r="D354" s="9"/>
      <c r="E354" s="49"/>
      <c r="F354" s="49"/>
      <c r="G354" s="9"/>
      <c r="H354" s="9"/>
      <c r="I354" s="9"/>
      <c r="J354" s="9"/>
      <c r="K354" s="9"/>
      <c r="L354" s="9"/>
      <c r="M354" s="9"/>
      <c r="N354" s="9"/>
      <c r="O354" s="50"/>
      <c r="P354" s="9"/>
      <c r="Q354" s="49"/>
      <c r="R354" s="49"/>
      <c r="S354" s="9"/>
      <c r="T354" s="9"/>
      <c r="U354" s="9"/>
      <c r="V354" s="9"/>
      <c r="W354" s="9"/>
      <c r="X354" s="9"/>
    </row>
    <row r="355" spans="1:24">
      <c r="A355" s="9"/>
      <c r="B355" s="9"/>
      <c r="C355" s="9"/>
      <c r="D355" s="9"/>
      <c r="E355" s="49"/>
      <c r="F355" s="49"/>
      <c r="G355" s="9"/>
      <c r="H355" s="9"/>
      <c r="I355" s="9"/>
      <c r="J355" s="9"/>
      <c r="K355" s="9"/>
      <c r="L355" s="9"/>
      <c r="M355" s="9"/>
      <c r="N355" s="9"/>
      <c r="O355" s="50"/>
      <c r="P355" s="9"/>
      <c r="Q355" s="49"/>
      <c r="R355" s="49"/>
      <c r="S355" s="9"/>
      <c r="T355" s="9"/>
      <c r="U355" s="9"/>
      <c r="V355" s="9"/>
      <c r="W355" s="9"/>
      <c r="X355" s="9"/>
    </row>
    <row r="356" spans="1:24">
      <c r="A356" s="9"/>
      <c r="B356" s="9"/>
      <c r="C356" s="9"/>
      <c r="D356" s="9"/>
      <c r="E356" s="49"/>
      <c r="F356" s="49"/>
      <c r="G356" s="9"/>
      <c r="H356" s="9"/>
      <c r="I356" s="9"/>
      <c r="J356" s="9"/>
      <c r="K356" s="9"/>
      <c r="L356" s="9"/>
      <c r="M356" s="9"/>
      <c r="N356" s="9"/>
      <c r="O356" s="50"/>
      <c r="P356" s="9"/>
      <c r="Q356" s="49"/>
      <c r="R356" s="49"/>
      <c r="S356" s="9"/>
      <c r="T356" s="9"/>
      <c r="U356" s="9"/>
      <c r="V356" s="9"/>
      <c r="W356" s="9"/>
      <c r="X356" s="9"/>
    </row>
    <row r="357" spans="1:24">
      <c r="A357" s="9"/>
      <c r="B357" s="9"/>
      <c r="C357" s="9"/>
      <c r="D357" s="9"/>
      <c r="E357" s="49"/>
      <c r="F357" s="49"/>
      <c r="G357" s="9"/>
      <c r="H357" s="9"/>
      <c r="I357" s="9"/>
      <c r="J357" s="9"/>
      <c r="K357" s="9"/>
      <c r="L357" s="9"/>
      <c r="M357" s="9"/>
      <c r="N357" s="9"/>
      <c r="O357" s="50"/>
      <c r="P357" s="9"/>
      <c r="Q357" s="49"/>
      <c r="R357" s="49"/>
      <c r="S357" s="9"/>
      <c r="T357" s="9"/>
      <c r="U357" s="9"/>
      <c r="V357" s="9"/>
      <c r="W357" s="9"/>
      <c r="X357" s="9"/>
    </row>
    <row r="358" spans="1:24">
      <c r="A358" s="9"/>
      <c r="B358" s="9"/>
      <c r="C358" s="9"/>
      <c r="D358" s="9"/>
      <c r="E358" s="49"/>
      <c r="F358" s="49"/>
      <c r="G358" s="9"/>
      <c r="H358" s="9"/>
      <c r="I358" s="9"/>
      <c r="J358" s="9"/>
      <c r="K358" s="9"/>
      <c r="L358" s="9"/>
      <c r="M358" s="9"/>
      <c r="N358" s="9"/>
      <c r="O358" s="50"/>
      <c r="P358" s="9"/>
      <c r="Q358" s="49"/>
      <c r="R358" s="49"/>
      <c r="S358" s="9"/>
      <c r="T358" s="9"/>
      <c r="U358" s="9"/>
      <c r="V358" s="9"/>
      <c r="W358" s="9"/>
      <c r="X358" s="9"/>
    </row>
    <row r="359" spans="1:24">
      <c r="A359" s="9"/>
      <c r="B359" s="9"/>
      <c r="C359" s="9"/>
      <c r="D359" s="9"/>
      <c r="E359" s="49"/>
      <c r="F359" s="49"/>
      <c r="G359" s="9"/>
      <c r="H359" s="9"/>
      <c r="I359" s="9"/>
      <c r="J359" s="9"/>
      <c r="K359" s="9"/>
      <c r="L359" s="9"/>
      <c r="M359" s="9"/>
      <c r="N359" s="9"/>
      <c r="O359" s="50"/>
      <c r="P359" s="9"/>
      <c r="Q359" s="49"/>
      <c r="R359" s="49"/>
      <c r="S359" s="9"/>
      <c r="T359" s="9"/>
      <c r="U359" s="9"/>
      <c r="V359" s="9"/>
      <c r="W359" s="9"/>
      <c r="X359" s="9"/>
    </row>
    <row r="360" spans="1:24">
      <c r="A360" s="9"/>
      <c r="B360" s="9"/>
      <c r="C360" s="9"/>
      <c r="D360" s="9"/>
      <c r="E360" s="49"/>
      <c r="F360" s="49"/>
      <c r="G360" s="9"/>
      <c r="H360" s="9"/>
      <c r="I360" s="9"/>
      <c r="J360" s="9"/>
      <c r="K360" s="9"/>
      <c r="L360" s="9"/>
      <c r="M360" s="9"/>
      <c r="N360" s="9"/>
      <c r="O360" s="50"/>
      <c r="P360" s="9"/>
      <c r="Q360" s="49"/>
      <c r="R360" s="49"/>
      <c r="S360" s="9"/>
      <c r="T360" s="9"/>
      <c r="U360" s="9"/>
      <c r="V360" s="9"/>
      <c r="W360" s="9"/>
      <c r="X360" s="9"/>
    </row>
    <row r="361" spans="1:24">
      <c r="A361" s="9"/>
      <c r="B361" s="9"/>
      <c r="C361" s="9"/>
      <c r="D361" s="9"/>
      <c r="E361" s="49"/>
      <c r="F361" s="49"/>
      <c r="G361" s="9"/>
      <c r="H361" s="9"/>
      <c r="I361" s="9"/>
      <c r="J361" s="9"/>
      <c r="K361" s="9"/>
      <c r="L361" s="9"/>
      <c r="M361" s="9"/>
      <c r="N361" s="9"/>
      <c r="O361" s="50"/>
      <c r="P361" s="9"/>
      <c r="Q361" s="49"/>
      <c r="R361" s="49"/>
      <c r="S361" s="9"/>
      <c r="T361" s="9"/>
      <c r="U361" s="9"/>
      <c r="V361" s="9"/>
      <c r="W361" s="9"/>
      <c r="X361" s="9"/>
    </row>
    <row r="362" spans="1:24">
      <c r="A362" s="9"/>
      <c r="B362" s="9"/>
      <c r="C362" s="9"/>
      <c r="D362" s="9"/>
      <c r="E362" s="49"/>
      <c r="F362" s="49"/>
      <c r="G362" s="9"/>
      <c r="H362" s="9"/>
      <c r="I362" s="9"/>
      <c r="J362" s="9"/>
      <c r="K362" s="9"/>
      <c r="L362" s="9"/>
      <c r="M362" s="9"/>
      <c r="N362" s="9"/>
      <c r="O362" s="50"/>
      <c r="P362" s="9"/>
      <c r="Q362" s="49"/>
      <c r="R362" s="49"/>
      <c r="S362" s="9"/>
      <c r="T362" s="9"/>
      <c r="U362" s="9"/>
      <c r="V362" s="9"/>
      <c r="W362" s="9"/>
      <c r="X362" s="9"/>
    </row>
    <row r="363" spans="1:24">
      <c r="A363" s="9"/>
      <c r="B363" s="9"/>
      <c r="C363" s="9"/>
      <c r="D363" s="9"/>
      <c r="E363" s="49"/>
      <c r="F363" s="49"/>
      <c r="G363" s="9"/>
      <c r="H363" s="9"/>
      <c r="I363" s="9"/>
      <c r="J363" s="9"/>
      <c r="K363" s="9"/>
      <c r="L363" s="9"/>
      <c r="M363" s="9"/>
      <c r="N363" s="9"/>
      <c r="O363" s="50"/>
      <c r="P363" s="9"/>
      <c r="Q363" s="49"/>
      <c r="R363" s="49"/>
      <c r="S363" s="9"/>
      <c r="T363" s="9"/>
      <c r="U363" s="9"/>
      <c r="V363" s="9"/>
      <c r="W363" s="9"/>
      <c r="X363" s="9"/>
    </row>
    <row r="364" spans="1:24">
      <c r="A364" s="9"/>
      <c r="B364" s="9"/>
      <c r="C364" s="9"/>
      <c r="D364" s="9"/>
      <c r="E364" s="49"/>
      <c r="F364" s="49"/>
      <c r="G364" s="9"/>
      <c r="H364" s="9"/>
      <c r="I364" s="9"/>
      <c r="J364" s="9"/>
      <c r="K364" s="9"/>
      <c r="L364" s="9"/>
      <c r="M364" s="9"/>
      <c r="N364" s="9"/>
      <c r="O364" s="50"/>
      <c r="P364" s="9"/>
      <c r="Q364" s="49"/>
      <c r="R364" s="49"/>
      <c r="S364" s="9"/>
      <c r="T364" s="9"/>
      <c r="U364" s="9"/>
      <c r="V364" s="9"/>
      <c r="W364" s="9"/>
      <c r="X364" s="9"/>
    </row>
    <row r="365" spans="1:24">
      <c r="A365" s="9"/>
      <c r="B365" s="9"/>
      <c r="C365" s="9"/>
      <c r="D365" s="9"/>
      <c r="E365" s="49"/>
      <c r="F365" s="49"/>
      <c r="G365" s="9"/>
      <c r="H365" s="9"/>
      <c r="I365" s="9"/>
      <c r="J365" s="9"/>
      <c r="K365" s="9"/>
      <c r="L365" s="9"/>
      <c r="M365" s="9"/>
      <c r="N365" s="9"/>
      <c r="O365" s="50"/>
      <c r="P365" s="9"/>
      <c r="Q365" s="49"/>
      <c r="R365" s="49"/>
      <c r="S365" s="9"/>
      <c r="T365" s="9"/>
      <c r="U365" s="9"/>
      <c r="V365" s="9"/>
      <c r="W365" s="9"/>
      <c r="X365" s="9"/>
    </row>
    <row r="366" spans="1:24">
      <c r="A366" s="9"/>
      <c r="B366" s="9"/>
      <c r="C366" s="9"/>
      <c r="D366" s="9"/>
      <c r="E366" s="49"/>
      <c r="F366" s="49"/>
      <c r="G366" s="9"/>
      <c r="H366" s="9"/>
      <c r="I366" s="9"/>
      <c r="J366" s="9"/>
      <c r="K366" s="9"/>
      <c r="L366" s="9"/>
      <c r="M366" s="9"/>
      <c r="N366" s="9"/>
      <c r="O366" s="50"/>
      <c r="P366" s="9"/>
      <c r="Q366" s="49"/>
      <c r="R366" s="49"/>
      <c r="S366" s="9"/>
      <c r="T366" s="9"/>
      <c r="U366" s="9"/>
      <c r="V366" s="9"/>
      <c r="W366" s="9"/>
      <c r="X366" s="9"/>
    </row>
    <row r="367" spans="1:24">
      <c r="A367" s="9"/>
      <c r="B367" s="9"/>
      <c r="C367" s="9"/>
      <c r="D367" s="9"/>
      <c r="E367" s="49"/>
      <c r="F367" s="49"/>
      <c r="G367" s="9"/>
      <c r="H367" s="9"/>
      <c r="I367" s="9"/>
      <c r="J367" s="9"/>
      <c r="K367" s="9"/>
      <c r="L367" s="9"/>
      <c r="M367" s="9"/>
      <c r="N367" s="9"/>
      <c r="O367" s="50"/>
      <c r="P367" s="9"/>
      <c r="Q367" s="49"/>
      <c r="R367" s="49"/>
      <c r="S367" s="9"/>
      <c r="T367" s="9"/>
      <c r="U367" s="9"/>
      <c r="V367" s="9"/>
      <c r="W367" s="9"/>
      <c r="X367" s="9"/>
    </row>
    <row r="368" spans="1:24">
      <c r="A368" s="9"/>
      <c r="B368" s="9"/>
      <c r="C368" s="9"/>
      <c r="D368" s="9"/>
      <c r="E368" s="49"/>
      <c r="F368" s="49"/>
      <c r="G368" s="9"/>
      <c r="H368" s="9"/>
      <c r="I368" s="9"/>
      <c r="J368" s="9"/>
      <c r="K368" s="9"/>
      <c r="L368" s="9"/>
      <c r="M368" s="9"/>
      <c r="N368" s="9"/>
      <c r="O368" s="50"/>
      <c r="P368" s="9"/>
      <c r="Q368" s="49"/>
      <c r="R368" s="49"/>
      <c r="S368" s="9"/>
      <c r="T368" s="9"/>
      <c r="U368" s="9"/>
      <c r="V368" s="9"/>
      <c r="W368" s="9"/>
      <c r="X368" s="9"/>
    </row>
    <row r="369" spans="1:24">
      <c r="A369" s="9"/>
      <c r="B369" s="9"/>
      <c r="C369" s="9"/>
      <c r="D369" s="9"/>
      <c r="E369" s="49"/>
      <c r="F369" s="49"/>
      <c r="G369" s="9"/>
      <c r="H369" s="9"/>
      <c r="I369" s="9"/>
      <c r="J369" s="9"/>
      <c r="K369" s="9"/>
      <c r="L369" s="9"/>
      <c r="M369" s="9"/>
      <c r="N369" s="9"/>
      <c r="O369" s="50"/>
      <c r="P369" s="9"/>
      <c r="Q369" s="49"/>
      <c r="R369" s="49"/>
      <c r="S369" s="9"/>
      <c r="T369" s="9"/>
      <c r="U369" s="9"/>
      <c r="V369" s="9"/>
      <c r="W369" s="9"/>
      <c r="X369" s="9"/>
    </row>
    <row r="370" spans="1:24">
      <c r="A370" s="9"/>
      <c r="B370" s="9"/>
      <c r="C370" s="9"/>
      <c r="D370" s="9"/>
      <c r="E370" s="49"/>
      <c r="F370" s="49"/>
      <c r="G370" s="9"/>
      <c r="H370" s="9"/>
      <c r="I370" s="9"/>
      <c r="J370" s="9"/>
      <c r="K370" s="9"/>
      <c r="L370" s="9"/>
      <c r="M370" s="9"/>
      <c r="N370" s="9"/>
      <c r="O370" s="50"/>
      <c r="P370" s="9"/>
      <c r="Q370" s="49"/>
      <c r="R370" s="49"/>
      <c r="S370" s="9"/>
      <c r="T370" s="9"/>
      <c r="U370" s="9"/>
      <c r="V370" s="9"/>
      <c r="W370" s="9"/>
      <c r="X370" s="9"/>
    </row>
    <row r="371" spans="1:24">
      <c r="A371" s="9"/>
      <c r="B371" s="9"/>
      <c r="C371" s="9"/>
      <c r="D371" s="9"/>
      <c r="E371" s="49"/>
      <c r="F371" s="49"/>
      <c r="G371" s="9"/>
      <c r="H371" s="9"/>
      <c r="I371" s="9"/>
      <c r="J371" s="9"/>
      <c r="K371" s="9"/>
      <c r="L371" s="9"/>
      <c r="M371" s="9"/>
      <c r="N371" s="9"/>
      <c r="O371" s="50"/>
      <c r="P371" s="9"/>
      <c r="Q371" s="49"/>
      <c r="R371" s="49"/>
      <c r="S371" s="9"/>
      <c r="T371" s="9"/>
      <c r="U371" s="9"/>
      <c r="V371" s="9"/>
      <c r="W371" s="9"/>
      <c r="X371" s="9"/>
    </row>
    <row r="372" spans="1:24">
      <c r="A372" s="9"/>
      <c r="B372" s="9"/>
      <c r="C372" s="9"/>
      <c r="D372" s="9"/>
      <c r="E372" s="49"/>
      <c r="F372" s="49"/>
      <c r="G372" s="9"/>
      <c r="H372" s="9"/>
      <c r="I372" s="9"/>
      <c r="J372" s="9"/>
      <c r="K372" s="9"/>
      <c r="L372" s="9"/>
      <c r="M372" s="9"/>
      <c r="N372" s="9"/>
      <c r="O372" s="50"/>
      <c r="P372" s="9"/>
      <c r="Q372" s="49"/>
      <c r="R372" s="49"/>
      <c r="S372" s="9"/>
      <c r="T372" s="9"/>
      <c r="U372" s="9"/>
      <c r="V372" s="9"/>
      <c r="W372" s="9"/>
      <c r="X372" s="9"/>
    </row>
    <row r="373" spans="1:24">
      <c r="A373" s="9"/>
      <c r="B373" s="9"/>
      <c r="C373" s="9"/>
      <c r="D373" s="9"/>
      <c r="E373" s="49"/>
      <c r="F373" s="49"/>
      <c r="G373" s="9"/>
      <c r="H373" s="9"/>
      <c r="I373" s="9"/>
      <c r="J373" s="9"/>
      <c r="K373" s="9"/>
      <c r="L373" s="9"/>
      <c r="M373" s="9"/>
      <c r="N373" s="9"/>
      <c r="O373" s="50"/>
      <c r="P373" s="9"/>
      <c r="Q373" s="49"/>
      <c r="R373" s="49"/>
      <c r="S373" s="9"/>
      <c r="T373" s="9"/>
      <c r="U373" s="9"/>
      <c r="V373" s="9"/>
      <c r="W373" s="9"/>
      <c r="X373" s="9"/>
    </row>
    <row r="374" spans="1:24">
      <c r="A374" s="9"/>
      <c r="B374" s="9"/>
      <c r="C374" s="9"/>
      <c r="D374" s="9"/>
      <c r="E374" s="49"/>
      <c r="F374" s="49"/>
      <c r="G374" s="9"/>
      <c r="H374" s="9"/>
      <c r="I374" s="9"/>
      <c r="J374" s="9"/>
      <c r="K374" s="9"/>
      <c r="L374" s="9"/>
      <c r="M374" s="9"/>
      <c r="N374" s="9"/>
      <c r="O374" s="50"/>
      <c r="P374" s="9"/>
      <c r="Q374" s="49"/>
      <c r="R374" s="49"/>
      <c r="S374" s="9"/>
      <c r="T374" s="9"/>
      <c r="U374" s="9"/>
      <c r="V374" s="9"/>
      <c r="W374" s="9"/>
      <c r="X374" s="9"/>
    </row>
    <row r="375" spans="1:24">
      <c r="A375" s="9"/>
      <c r="B375" s="9"/>
      <c r="C375" s="9"/>
      <c r="D375" s="9"/>
      <c r="E375" s="49"/>
      <c r="F375" s="49"/>
      <c r="G375" s="9"/>
      <c r="H375" s="9"/>
      <c r="I375" s="9"/>
      <c r="J375" s="9"/>
      <c r="K375" s="9"/>
      <c r="L375" s="9"/>
      <c r="M375" s="9"/>
      <c r="N375" s="9"/>
      <c r="O375" s="50"/>
      <c r="P375" s="9"/>
      <c r="Q375" s="49"/>
      <c r="R375" s="49"/>
      <c r="S375" s="9"/>
      <c r="T375" s="9"/>
      <c r="U375" s="9"/>
      <c r="V375" s="9"/>
      <c r="W375" s="9"/>
      <c r="X375" s="9"/>
    </row>
    <row r="376" spans="1:24">
      <c r="A376" s="9"/>
      <c r="B376" s="9"/>
      <c r="C376" s="9"/>
      <c r="D376" s="9"/>
      <c r="E376" s="49"/>
      <c r="F376" s="49"/>
      <c r="G376" s="9"/>
      <c r="H376" s="9"/>
      <c r="I376" s="9"/>
      <c r="J376" s="9"/>
      <c r="K376" s="9"/>
      <c r="L376" s="9"/>
      <c r="M376" s="9"/>
      <c r="N376" s="9"/>
      <c r="O376" s="50"/>
      <c r="P376" s="9"/>
      <c r="Q376" s="49"/>
      <c r="R376" s="49"/>
      <c r="S376" s="9"/>
      <c r="T376" s="9"/>
      <c r="U376" s="9"/>
      <c r="V376" s="9"/>
      <c r="W376" s="9"/>
      <c r="X376" s="9"/>
    </row>
    <row r="377" spans="1:24">
      <c r="A377" s="9"/>
      <c r="B377" s="9"/>
      <c r="C377" s="9"/>
      <c r="D377" s="9"/>
      <c r="E377" s="49"/>
      <c r="F377" s="49"/>
      <c r="G377" s="9"/>
      <c r="H377" s="9"/>
      <c r="I377" s="9"/>
      <c r="J377" s="9"/>
      <c r="K377" s="9"/>
      <c r="L377" s="9"/>
      <c r="M377" s="9"/>
      <c r="N377" s="9"/>
      <c r="O377" s="50"/>
      <c r="P377" s="9"/>
      <c r="Q377" s="49"/>
      <c r="R377" s="49"/>
      <c r="S377" s="9"/>
      <c r="T377" s="9"/>
      <c r="U377" s="9"/>
      <c r="V377" s="9"/>
      <c r="W377" s="9"/>
      <c r="X377" s="9"/>
    </row>
    <row r="378" spans="1:24">
      <c r="A378" s="9"/>
      <c r="B378" s="9"/>
      <c r="C378" s="9"/>
      <c r="D378" s="9"/>
      <c r="E378" s="49"/>
      <c r="F378" s="49"/>
      <c r="G378" s="9"/>
      <c r="H378" s="9"/>
      <c r="I378" s="9"/>
      <c r="J378" s="9"/>
      <c r="K378" s="9"/>
      <c r="L378" s="9"/>
      <c r="M378" s="9"/>
      <c r="N378" s="9"/>
      <c r="O378" s="50"/>
      <c r="P378" s="9"/>
      <c r="Q378" s="49"/>
      <c r="R378" s="49"/>
      <c r="S378" s="9"/>
      <c r="T378" s="9"/>
      <c r="U378" s="9"/>
      <c r="V378" s="9"/>
      <c r="W378" s="9"/>
      <c r="X378" s="9"/>
    </row>
    <row r="379" spans="1:24">
      <c r="A379" s="9"/>
      <c r="B379" s="9"/>
      <c r="C379" s="9"/>
      <c r="D379" s="9"/>
      <c r="E379" s="49"/>
      <c r="F379" s="49"/>
      <c r="G379" s="9"/>
      <c r="H379" s="9"/>
      <c r="I379" s="9"/>
      <c r="J379" s="9"/>
      <c r="K379" s="9"/>
      <c r="L379" s="9"/>
      <c r="M379" s="9"/>
      <c r="N379" s="9"/>
      <c r="O379" s="50"/>
      <c r="P379" s="9"/>
      <c r="Q379" s="49"/>
      <c r="R379" s="49"/>
      <c r="S379" s="9"/>
      <c r="T379" s="9"/>
      <c r="U379" s="9"/>
      <c r="V379" s="9"/>
      <c r="W379" s="9"/>
      <c r="X379" s="9"/>
    </row>
    <row r="380" spans="1:24">
      <c r="A380" s="9"/>
      <c r="B380" s="9"/>
      <c r="C380" s="9"/>
      <c r="D380" s="9"/>
      <c r="E380" s="49"/>
      <c r="F380" s="49"/>
      <c r="G380" s="9"/>
      <c r="H380" s="9"/>
      <c r="I380" s="9"/>
      <c r="J380" s="9"/>
      <c r="K380" s="9"/>
      <c r="L380" s="9"/>
      <c r="M380" s="9"/>
      <c r="N380" s="9"/>
      <c r="O380" s="50"/>
      <c r="P380" s="9"/>
      <c r="Q380" s="49"/>
      <c r="R380" s="49"/>
      <c r="S380" s="9"/>
      <c r="T380" s="9"/>
      <c r="U380" s="9"/>
      <c r="V380" s="9"/>
      <c r="W380" s="9"/>
      <c r="X380" s="9"/>
    </row>
    <row r="381" spans="1:24">
      <c r="A381" s="9"/>
      <c r="B381" s="9"/>
      <c r="C381" s="9"/>
      <c r="D381" s="9"/>
      <c r="E381" s="49"/>
      <c r="F381" s="49"/>
      <c r="G381" s="9"/>
      <c r="H381" s="9"/>
      <c r="I381" s="9"/>
      <c r="J381" s="9"/>
      <c r="K381" s="9"/>
      <c r="L381" s="9"/>
      <c r="M381" s="9"/>
      <c r="N381" s="9"/>
      <c r="O381" s="50"/>
      <c r="P381" s="9"/>
      <c r="Q381" s="49"/>
      <c r="R381" s="49"/>
      <c r="S381" s="9"/>
      <c r="T381" s="9"/>
      <c r="U381" s="9"/>
      <c r="V381" s="9"/>
      <c r="W381" s="9"/>
      <c r="X381" s="9"/>
    </row>
    <row r="382" spans="1:24">
      <c r="A382" s="9"/>
      <c r="B382" s="9"/>
      <c r="C382" s="9"/>
      <c r="D382" s="9"/>
      <c r="E382" s="49"/>
      <c r="F382" s="49"/>
      <c r="G382" s="9"/>
      <c r="H382" s="9"/>
      <c r="I382" s="9"/>
      <c r="J382" s="9"/>
      <c r="K382" s="9"/>
      <c r="L382" s="9"/>
      <c r="M382" s="9"/>
      <c r="N382" s="9"/>
      <c r="O382" s="50"/>
      <c r="P382" s="9"/>
      <c r="Q382" s="49"/>
      <c r="R382" s="49"/>
      <c r="S382" s="9"/>
      <c r="T382" s="9"/>
      <c r="U382" s="9"/>
      <c r="V382" s="9"/>
      <c r="W382" s="9"/>
      <c r="X382" s="9"/>
    </row>
    <row r="383" spans="1:24">
      <c r="A383" s="9"/>
      <c r="B383" s="9"/>
      <c r="C383" s="9"/>
      <c r="D383" s="9"/>
      <c r="E383" s="49"/>
      <c r="F383" s="49"/>
      <c r="G383" s="9"/>
      <c r="H383" s="9"/>
      <c r="I383" s="9"/>
      <c r="J383" s="9"/>
      <c r="K383" s="9"/>
      <c r="L383" s="9"/>
      <c r="M383" s="9"/>
      <c r="N383" s="9"/>
      <c r="O383" s="50"/>
      <c r="P383" s="9"/>
      <c r="Q383" s="49"/>
      <c r="R383" s="49"/>
      <c r="S383" s="9"/>
      <c r="T383" s="9"/>
      <c r="U383" s="9"/>
      <c r="V383" s="9"/>
      <c r="W383" s="9"/>
      <c r="X383" s="9"/>
    </row>
    <row r="384" spans="1:24">
      <c r="A384" s="9"/>
      <c r="B384" s="9"/>
      <c r="C384" s="9"/>
      <c r="D384" s="9"/>
      <c r="E384" s="49"/>
      <c r="F384" s="49"/>
      <c r="G384" s="9"/>
      <c r="H384" s="9"/>
      <c r="I384" s="9"/>
      <c r="J384" s="9"/>
      <c r="K384" s="9"/>
      <c r="L384" s="9"/>
      <c r="M384" s="9"/>
      <c r="N384" s="9"/>
      <c r="O384" s="50"/>
      <c r="P384" s="9"/>
      <c r="Q384" s="49"/>
      <c r="R384" s="49"/>
      <c r="S384" s="9"/>
      <c r="T384" s="9"/>
      <c r="U384" s="9"/>
      <c r="V384" s="9"/>
      <c r="W384" s="9"/>
      <c r="X384" s="9"/>
    </row>
    <row r="385" spans="1:24">
      <c r="A385" s="9"/>
      <c r="B385" s="9"/>
      <c r="C385" s="9"/>
      <c r="D385" s="9"/>
      <c r="E385" s="49"/>
      <c r="F385" s="49"/>
      <c r="G385" s="9"/>
      <c r="H385" s="9"/>
      <c r="I385" s="9"/>
      <c r="J385" s="9"/>
      <c r="K385" s="9"/>
      <c r="L385" s="9"/>
      <c r="M385" s="9"/>
      <c r="N385" s="9"/>
      <c r="O385" s="50"/>
      <c r="P385" s="9"/>
      <c r="Q385" s="49"/>
      <c r="R385" s="49"/>
      <c r="S385" s="9"/>
      <c r="T385" s="9"/>
      <c r="U385" s="9"/>
      <c r="V385" s="9"/>
      <c r="W385" s="9"/>
      <c r="X385" s="9"/>
    </row>
    <row r="386" spans="1:24">
      <c r="A386" s="9"/>
      <c r="B386" s="9"/>
      <c r="C386" s="9"/>
      <c r="D386" s="9"/>
      <c r="E386" s="49"/>
      <c r="F386" s="49"/>
      <c r="G386" s="9"/>
      <c r="H386" s="9"/>
      <c r="I386" s="9"/>
      <c r="J386" s="9"/>
      <c r="K386" s="9"/>
      <c r="L386" s="9"/>
      <c r="M386" s="9"/>
      <c r="N386" s="9"/>
      <c r="O386" s="50"/>
      <c r="P386" s="9"/>
      <c r="Q386" s="49"/>
      <c r="R386" s="49"/>
      <c r="S386" s="9"/>
      <c r="T386" s="9"/>
      <c r="U386" s="9"/>
      <c r="V386" s="9"/>
      <c r="W386" s="9"/>
      <c r="X386" s="9"/>
    </row>
    <row r="387" spans="1:24">
      <c r="A387" s="9"/>
      <c r="B387" s="9"/>
      <c r="C387" s="9"/>
      <c r="D387" s="9"/>
      <c r="E387" s="49"/>
      <c r="F387" s="49"/>
      <c r="G387" s="9"/>
      <c r="H387" s="9"/>
      <c r="I387" s="9"/>
      <c r="J387" s="9"/>
      <c r="K387" s="9"/>
      <c r="L387" s="9"/>
      <c r="M387" s="9"/>
      <c r="N387" s="9"/>
      <c r="O387" s="50"/>
      <c r="P387" s="9"/>
      <c r="Q387" s="49"/>
      <c r="R387" s="49"/>
      <c r="S387" s="9"/>
      <c r="T387" s="9"/>
      <c r="U387" s="9"/>
      <c r="V387" s="9"/>
      <c r="W387" s="9"/>
      <c r="X387" s="9"/>
    </row>
    <row r="388" spans="1:24">
      <c r="A388" s="9"/>
      <c r="B388" s="9"/>
      <c r="C388" s="9"/>
      <c r="D388" s="9"/>
      <c r="E388" s="49"/>
      <c r="F388" s="49"/>
      <c r="G388" s="9"/>
      <c r="H388" s="9"/>
      <c r="I388" s="9"/>
      <c r="J388" s="9"/>
      <c r="K388" s="9"/>
      <c r="L388" s="9"/>
      <c r="M388" s="9"/>
      <c r="N388" s="9"/>
      <c r="O388" s="50"/>
      <c r="P388" s="9"/>
      <c r="Q388" s="49"/>
      <c r="R388" s="49"/>
      <c r="S388" s="9"/>
      <c r="T388" s="9"/>
      <c r="U388" s="9"/>
      <c r="V388" s="9"/>
      <c r="W388" s="9"/>
      <c r="X388" s="9"/>
    </row>
    <row r="389" spans="1:24">
      <c r="A389" s="9"/>
      <c r="B389" s="9"/>
      <c r="C389" s="9"/>
      <c r="D389" s="9"/>
      <c r="E389" s="49"/>
      <c r="F389" s="49"/>
      <c r="G389" s="9"/>
      <c r="H389" s="9"/>
      <c r="I389" s="9"/>
      <c r="J389" s="9"/>
      <c r="K389" s="9"/>
      <c r="L389" s="9"/>
      <c r="M389" s="9"/>
      <c r="N389" s="9"/>
      <c r="O389" s="50"/>
      <c r="P389" s="9"/>
      <c r="Q389" s="49"/>
      <c r="R389" s="49"/>
      <c r="S389" s="9"/>
      <c r="T389" s="9"/>
      <c r="U389" s="9"/>
      <c r="V389" s="9"/>
      <c r="W389" s="9"/>
      <c r="X389" s="9"/>
    </row>
    <row r="390" spans="1:24">
      <c r="A390" s="9"/>
      <c r="B390" s="9"/>
      <c r="C390" s="9"/>
      <c r="D390" s="9"/>
      <c r="E390" s="49"/>
      <c r="F390" s="49"/>
      <c r="G390" s="9"/>
      <c r="H390" s="9"/>
      <c r="I390" s="9"/>
      <c r="J390" s="9"/>
      <c r="K390" s="9"/>
      <c r="L390" s="9"/>
      <c r="M390" s="9"/>
      <c r="N390" s="9"/>
      <c r="O390" s="50"/>
      <c r="P390" s="9"/>
      <c r="Q390" s="49"/>
      <c r="R390" s="49"/>
      <c r="S390" s="9"/>
      <c r="T390" s="9"/>
      <c r="U390" s="9"/>
      <c r="V390" s="9"/>
      <c r="W390" s="9"/>
      <c r="X390" s="9"/>
    </row>
    <row r="391" spans="1:24">
      <c r="A391" s="9"/>
      <c r="B391" s="9"/>
      <c r="C391" s="9"/>
      <c r="D391" s="9"/>
      <c r="E391" s="49"/>
      <c r="F391" s="49"/>
      <c r="G391" s="9"/>
      <c r="H391" s="9"/>
      <c r="I391" s="9"/>
      <c r="J391" s="9"/>
      <c r="K391" s="9"/>
      <c r="L391" s="9"/>
      <c r="M391" s="9"/>
      <c r="N391" s="9"/>
      <c r="O391" s="50"/>
      <c r="P391" s="9"/>
      <c r="Q391" s="49"/>
      <c r="R391" s="49"/>
      <c r="S391" s="9"/>
      <c r="T391" s="9"/>
      <c r="U391" s="9"/>
      <c r="V391" s="9"/>
      <c r="W391" s="9"/>
      <c r="X391" s="9"/>
    </row>
    <row r="392" spans="1:24">
      <c r="A392" s="9"/>
      <c r="B392" s="9"/>
      <c r="C392" s="9"/>
      <c r="D392" s="9"/>
      <c r="E392" s="49"/>
      <c r="F392" s="49"/>
      <c r="G392" s="9"/>
      <c r="H392" s="9"/>
      <c r="I392" s="9"/>
      <c r="J392" s="9"/>
      <c r="K392" s="9"/>
      <c r="L392" s="9"/>
      <c r="M392" s="9"/>
      <c r="N392" s="9"/>
      <c r="O392" s="50"/>
      <c r="P392" s="9"/>
      <c r="Q392" s="49"/>
      <c r="R392" s="49"/>
      <c r="S392" s="9"/>
      <c r="T392" s="9"/>
      <c r="U392" s="9"/>
      <c r="V392" s="9"/>
      <c r="W392" s="9"/>
      <c r="X392" s="9"/>
    </row>
    <row r="393" spans="1:24">
      <c r="A393" s="9"/>
      <c r="B393" s="9"/>
      <c r="C393" s="9"/>
      <c r="D393" s="9"/>
      <c r="E393" s="49"/>
      <c r="F393" s="49"/>
      <c r="G393" s="9"/>
      <c r="H393" s="9"/>
      <c r="I393" s="9"/>
      <c r="J393" s="9"/>
      <c r="K393" s="9"/>
      <c r="L393" s="9"/>
      <c r="M393" s="9"/>
      <c r="N393" s="9"/>
      <c r="O393" s="50"/>
      <c r="P393" s="9"/>
      <c r="Q393" s="49"/>
      <c r="R393" s="49"/>
      <c r="S393" s="9"/>
      <c r="T393" s="9"/>
      <c r="U393" s="9"/>
      <c r="V393" s="9"/>
      <c r="W393" s="9"/>
      <c r="X393" s="9"/>
    </row>
    <row r="394" spans="1:24">
      <c r="A394" s="9"/>
      <c r="B394" s="9"/>
      <c r="C394" s="9"/>
      <c r="D394" s="9"/>
      <c r="E394" s="49"/>
      <c r="F394" s="49"/>
      <c r="G394" s="9"/>
      <c r="H394" s="9"/>
      <c r="I394" s="9"/>
      <c r="J394" s="9"/>
      <c r="K394" s="9"/>
      <c r="L394" s="9"/>
      <c r="M394" s="9"/>
      <c r="N394" s="9"/>
      <c r="O394" s="50"/>
      <c r="P394" s="9"/>
      <c r="Q394" s="49"/>
      <c r="R394" s="49"/>
      <c r="S394" s="9"/>
      <c r="T394" s="9"/>
      <c r="U394" s="9"/>
      <c r="V394" s="9"/>
      <c r="W394" s="9"/>
      <c r="X394" s="9"/>
    </row>
    <row r="395" spans="1:24">
      <c r="A395" s="9"/>
      <c r="B395" s="9"/>
      <c r="C395" s="9"/>
      <c r="D395" s="9"/>
      <c r="E395" s="49"/>
      <c r="F395" s="49"/>
      <c r="G395" s="9"/>
      <c r="H395" s="9"/>
      <c r="I395" s="9"/>
      <c r="J395" s="9"/>
      <c r="K395" s="9"/>
      <c r="L395" s="9"/>
      <c r="M395" s="9"/>
      <c r="N395" s="9"/>
      <c r="O395" s="50"/>
      <c r="P395" s="9"/>
      <c r="Q395" s="49"/>
      <c r="R395" s="49"/>
      <c r="S395" s="9"/>
      <c r="T395" s="9"/>
      <c r="U395" s="9"/>
      <c r="V395" s="9"/>
      <c r="W395" s="9"/>
      <c r="X395" s="9"/>
    </row>
  </sheetData>
  <mergeCells count="1">
    <mergeCell ref="A2:H2"/>
  </mergeCells>
  <phoneticPr fontId="11" type="noConversion"/>
  <dataValidations count="1">
    <dataValidation type="list" allowBlank="1" showErrorMessage="1" sqref="C3:C100" xr:uid="{00000000-0002-0000-0200-000000000000}">
      <formula1>"在投,停投,无法授权,拒审,待授权,拒绝授权"</formula1>
    </dataValidation>
  </dataValidations>
  <hyperlinks>
    <hyperlink ref="E3" r:id="rId1" xr:uid="{00000000-0004-0000-0200-000000000000}"/>
    <hyperlink ref="E4" r:id="rId2" xr:uid="{00000000-0004-0000-0200-000001000000}"/>
    <hyperlink ref="E5" r:id="rId3" display="https://www.xiaohongshu.com/explore/69f2f64d000000002202410c?app_platform=ios&amp;app_version=9.23&amp;share_from_user_hidden=true&amp;xsec_source=app_share&amp;type=normal&amp;xsec_token=CBBV9_vzbj_FXbJ_j67LntrsyjW4OxBrPaT5RMvpK-lIw=&amp;author_share=1&amp;xhsshare=CopyLink&amp;shareRedId=ODY0NzU8Rzo2NzUyOTgwNjY0OThIN0lA&amp;apptime=1778036727&amp;share_id=c7a1f6846c00444d8a5fcdbf6f3744df" xr:uid="{00000000-0004-0000-0200-000002000000}"/>
    <hyperlink ref="E6" r:id="rId4" xr:uid="{00000000-0004-0000-0200-000003000000}"/>
    <hyperlink ref="E7" r:id="rId5" xr:uid="{00000000-0004-0000-0200-000004000000}"/>
    <hyperlink ref="E8" r:id="rId6" xr:uid="{00000000-0004-0000-0200-000005000000}"/>
    <hyperlink ref="E9" r:id="rId7" xr:uid="{00000000-0004-0000-0200-000006000000}"/>
    <hyperlink ref="E10" r:id="rId8" xr:uid="{00000000-0004-0000-0200-000007000000}"/>
    <hyperlink ref="E11" r:id="rId9" xr:uid="{00000000-0004-0000-0200-000008000000}"/>
    <hyperlink ref="E12" r:id="rId10" xr:uid="{00000000-0004-0000-0200-000009000000}"/>
    <hyperlink ref="E13" r:id="rId11" xr:uid="{00000000-0004-0000-0200-00000A000000}"/>
    <hyperlink ref="E14" r:id="rId12" xr:uid="{00000000-0004-0000-0200-00000B000000}"/>
    <hyperlink ref="E15" r:id="rId13" xr:uid="{00000000-0004-0000-0200-00000C000000}"/>
    <hyperlink ref="E16" r:id="rId14" display="https://www.xiaohongshu.com/explore/69fc65f90000000022028b6c?app_platform=ios&amp;app_version=9.28.1&amp;share_from_user_hidden=true&amp;xsec_source=app_share&amp;type=normal&amp;xsec_token=CBAxrSWo8Hhf4veuCxUrwqpC0T6aWsI46v29AvU_0nATA=&amp;author_share=1&amp;xhsshare=CopyLink&amp;shareRedId=N0dDN0hINkI6TEZFSkoyPz41SjlJSEg9&amp;apptime=1778211149&amp;share_id=649545e6b4c74bc3b79f908fac0a7947" xr:uid="{00000000-0004-0000-0200-00000D000000}"/>
    <hyperlink ref="E17" r:id="rId15" display="https://www.xiaohongshu.com/explore/69f8702a000000001b021637?app_platform=ios&amp;app_version=9.28.1&amp;share_from_user_hidden=true&amp;xsec_source=app_share&amp;type=normal&amp;xsec_token=CB2UKSax5DF2QA_I7rhNuoqUlhNkevLLDd7iEEZWVmZ7U=&amp;author_share=1&amp;xhsshare=CopyLink&amp;shareRedId=N0dDN0hINkI6TEZFSkoyPz41SjlJSEg9&amp;apptime=1778211176&amp;share_id=af6a6d5c0f8b459abce45f5a54064a24" xr:uid="{00000000-0004-0000-0200-00000E000000}"/>
    <hyperlink ref="E18" r:id="rId16" display="https://www.xiaohongshu.com/explore/69fab3fd000000003501edf9?app_platform=ios&amp;app_version=9.28.1&amp;share_from_user_hidden=true&amp;xsec_source=app_share&amp;type=normal&amp;xsec_token=CBPZ69__HQk7Q8Y-E8hjtw2iJs_hWjBOFCxxjj36RENAc=&amp;author_share=1&amp;xhsshare=CopyLink&amp;shareRedId=N0dDN0hINkI6TEZFSkoyPz41SjlJSEg9&amp;apptime=1778211219&amp;share_id=0fd8efd77d084114a3cdd4ddb5970ffc" xr:uid="{00000000-0004-0000-0200-00000F000000}"/>
    <hyperlink ref="E19" r:id="rId17" xr:uid="{00000000-0004-0000-0200-000010000000}"/>
    <hyperlink ref="E20" r:id="rId18" xr:uid="{00000000-0004-0000-0200-000011000000}"/>
    <hyperlink ref="E21" r:id="rId19" xr:uid="{00000000-0004-0000-0200-000012000000}"/>
    <hyperlink ref="E22" r:id="rId20" xr:uid="{00000000-0004-0000-0200-000013000000}"/>
    <hyperlink ref="E23" r:id="rId21" xr:uid="{00000000-0004-0000-0200-000014000000}"/>
    <hyperlink ref="E24" r:id="rId22" xr:uid="{00000000-0004-0000-0200-000015000000}"/>
    <hyperlink ref="E25" r:id="rId23" xr:uid="{00000000-0004-0000-0200-000016000000}"/>
    <hyperlink ref="E26" r:id="rId24" xr:uid="{00000000-0004-0000-0200-000017000000}"/>
    <hyperlink ref="E27" r:id="rId25" display="https://www.xiaohongshu.com/explore/6a015c4b00000000060375d5?app_platform=ios&amp;app_version=9.29&amp;share_from_user_hidden=true&amp;xsec_source=app_share&amp;type=video&amp;xsec_token=CB0EIrGEJAR4IkKD6WrpqGlpqf93X6j_93NaDh5PA3tzg=&amp;author_share=1&amp;xhsshare=CopyLink&amp;shareRedId=N0dDN0hINkI6TEZFSkoyPz41SjlJSEg9&amp;apptime=1778482875&amp;share_id=f1045e5ebc884cc3a25f3f6dbe720b37" xr:uid="{00000000-0004-0000-0200-000018000000}"/>
    <hyperlink ref="E28" r:id="rId26" xr:uid="{00000000-0004-0000-0200-000019000000}"/>
    <hyperlink ref="E29" r:id="rId27" xr:uid="{00000000-0004-0000-0200-00001A000000}"/>
    <hyperlink ref="E30" r:id="rId28" xr:uid="{00000000-0004-0000-0200-00001B000000}"/>
    <hyperlink ref="E31" r:id="rId29" xr:uid="{00000000-0004-0000-0200-00001C000000}"/>
    <hyperlink ref="E32" r:id="rId30" xr:uid="{00000000-0004-0000-0200-00001D000000}"/>
    <hyperlink ref="E33" r:id="rId31" xr:uid="{00000000-0004-0000-0200-00001E000000}"/>
    <hyperlink ref="E34" r:id="rId32" xr:uid="{00000000-0004-0000-0200-00001F000000}"/>
    <hyperlink ref="E35" r:id="rId33" xr:uid="{00000000-0004-0000-0200-000020000000}"/>
    <hyperlink ref="E36" r:id="rId34" xr:uid="{00000000-0004-0000-0200-000021000000}"/>
    <hyperlink ref="E37" r:id="rId35" xr:uid="{00000000-0004-0000-0200-000022000000}"/>
    <hyperlink ref="E38" r:id="rId36" xr:uid="{00000000-0004-0000-0200-000023000000}"/>
    <hyperlink ref="E39" r:id="rId37" xr:uid="{00000000-0004-0000-0200-000024000000}"/>
    <hyperlink ref="E40" r:id="rId38" xr:uid="{00000000-0004-0000-0200-000025000000}"/>
    <hyperlink ref="E41" r:id="rId39" xr:uid="{00000000-0004-0000-0200-000026000000}"/>
    <hyperlink ref="E42" r:id="rId40" xr:uid="{00000000-0004-0000-0200-000027000000}"/>
    <hyperlink ref="E43" r:id="rId41" xr:uid="{00000000-0004-0000-0200-000028000000}"/>
    <hyperlink ref="E44" r:id="rId42" xr:uid="{00000000-0004-0000-0200-000029000000}"/>
    <hyperlink ref="E45" r:id="rId43" xr:uid="{00000000-0004-0000-0200-00002A000000}"/>
    <hyperlink ref="E46" r:id="rId44" xr:uid="{00000000-0004-0000-0200-00002B000000}"/>
    <hyperlink ref="E47" r:id="rId45" xr:uid="{00000000-0004-0000-0200-00002C000000}"/>
    <hyperlink ref="E48" r:id="rId46" xr:uid="{00000000-0004-0000-0200-00002D000000}"/>
    <hyperlink ref="E49" r:id="rId47" xr:uid="{00000000-0004-0000-0200-00002E000000}"/>
    <hyperlink ref="E50" r:id="rId48" xr:uid="{00000000-0004-0000-0200-00002F000000}"/>
    <hyperlink ref="E51" r:id="rId49" xr:uid="{00000000-0004-0000-0200-000030000000}"/>
    <hyperlink ref="E52" r:id="rId50" xr:uid="{00000000-0004-0000-0200-000031000000}"/>
    <hyperlink ref="E53" r:id="rId51" xr:uid="{00000000-0004-0000-0200-000032000000}"/>
    <hyperlink ref="E54" r:id="rId52" xr:uid="{00000000-0004-0000-0200-000033000000}"/>
    <hyperlink ref="E55" r:id="rId53" xr:uid="{00000000-0004-0000-0200-000034000000}"/>
    <hyperlink ref="E56" r:id="rId54" xr:uid="{00000000-0004-0000-0200-000035000000}"/>
    <hyperlink ref="E57" r:id="rId55" xr:uid="{00000000-0004-0000-0200-000036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U200"/>
  <sheetViews>
    <sheetView tabSelected="1" workbookViewId="0">
      <selection activeCell="A12" sqref="A12:XFD12"/>
    </sheetView>
  </sheetViews>
  <sheetFormatPr baseColWidth="10" defaultColWidth="14" defaultRowHeight="13"/>
  <cols>
    <col min="1" max="1" width="10" customWidth="1"/>
    <col min="2" max="2" width="11" customWidth="1"/>
    <col min="3" max="3" width="9" customWidth="1"/>
    <col min="7" max="7" width="13" customWidth="1"/>
    <col min="9" max="9" width="11" customWidth="1"/>
    <col min="11" max="14" width="13" customWidth="1"/>
    <col min="16" max="16" width="10" customWidth="1"/>
    <col min="17" max="17" width="14" customWidth="1"/>
  </cols>
  <sheetData>
    <row r="1" spans="1:21">
      <c r="A1" s="66" t="s">
        <v>0</v>
      </c>
      <c r="B1" s="66" t="s">
        <v>1</v>
      </c>
      <c r="C1" s="66" t="s">
        <v>2</v>
      </c>
      <c r="D1" s="66" t="s">
        <v>587</v>
      </c>
      <c r="E1" s="66" t="s">
        <v>3</v>
      </c>
      <c r="F1" s="66" t="s">
        <v>4</v>
      </c>
      <c r="G1" s="66" t="s">
        <v>5</v>
      </c>
      <c r="H1" s="66" t="s">
        <v>6</v>
      </c>
      <c r="I1" s="66" t="s">
        <v>7</v>
      </c>
      <c r="J1" s="66" t="s">
        <v>1003</v>
      </c>
      <c r="K1" s="66" t="s">
        <v>588</v>
      </c>
      <c r="L1" s="66" t="s">
        <v>589</v>
      </c>
      <c r="M1" s="66" t="s">
        <v>590</v>
      </c>
      <c r="N1" s="66" t="s">
        <v>1004</v>
      </c>
      <c r="O1" s="67" t="s">
        <v>10</v>
      </c>
      <c r="P1" s="66" t="s">
        <v>1224</v>
      </c>
      <c r="Q1" s="66" t="s">
        <v>11</v>
      </c>
      <c r="R1" s="66" t="s">
        <v>12</v>
      </c>
      <c r="S1" s="66" t="s">
        <v>13</v>
      </c>
      <c r="T1" s="66" t="s">
        <v>14</v>
      </c>
      <c r="U1" s="66" t="s">
        <v>15</v>
      </c>
    </row>
    <row r="2" spans="1:21">
      <c r="A2" s="85" t="s">
        <v>16</v>
      </c>
      <c r="B2" s="82"/>
      <c r="C2" s="82"/>
      <c r="D2" s="82"/>
      <c r="E2" s="82"/>
      <c r="F2" s="82"/>
      <c r="G2" s="82"/>
      <c r="H2" s="82"/>
      <c r="I2" s="66"/>
      <c r="J2" s="66">
        <f>SUM(J3:J45)</f>
        <v>28117</v>
      </c>
      <c r="K2" s="66"/>
      <c r="L2" s="66"/>
      <c r="M2" s="66"/>
      <c r="N2" s="66">
        <f>SUM(N3:N195)</f>
        <v>3872</v>
      </c>
      <c r="O2" s="67">
        <f>SUM(O3:O195)</f>
        <v>3099</v>
      </c>
      <c r="P2" s="68">
        <f t="shared" ref="P2:P11" si="0">O2/N2</f>
        <v>0.80036157024793386</v>
      </c>
      <c r="Q2" s="68">
        <f t="shared" ref="Q2:Q11" si="1">O2/J2</f>
        <v>0.11021801756944198</v>
      </c>
      <c r="R2" s="66"/>
      <c r="S2" s="66"/>
      <c r="T2" s="66"/>
      <c r="U2" s="9"/>
    </row>
    <row r="3" spans="1:21" ht="14">
      <c r="A3" s="32">
        <v>46174</v>
      </c>
      <c r="B3" s="32">
        <f t="shared" ref="B3:B12" si="2">A3+7</f>
        <v>46181</v>
      </c>
      <c r="C3" s="9" t="s">
        <v>948</v>
      </c>
      <c r="D3" s="9" t="s">
        <v>1225</v>
      </c>
      <c r="E3" s="49" t="s">
        <v>1226</v>
      </c>
      <c r="F3" s="49" t="s">
        <v>1227</v>
      </c>
      <c r="G3" s="9">
        <f>'（数据废表）薯条投放明细表'!B86</f>
        <v>46175</v>
      </c>
      <c r="H3" s="49" t="s">
        <v>1228</v>
      </c>
      <c r="I3" s="9">
        <v>13</v>
      </c>
      <c r="J3" s="9">
        <f>'（数据废表）薯条投放明细表'!I86</f>
        <v>172</v>
      </c>
      <c r="K3" s="9">
        <f>'（数据废表）薯条投放明细表'!K86</f>
        <v>155</v>
      </c>
      <c r="L3" s="9">
        <f>'（数据废表）薯条投放明细表'!L86</f>
        <v>0</v>
      </c>
      <c r="M3" s="9">
        <f>'（数据废表）薯条投放明细表'!M86</f>
        <v>4</v>
      </c>
      <c r="N3" s="9">
        <f>'（数据废表）薯条投放明细表'!N86</f>
        <v>159</v>
      </c>
      <c r="O3" s="50">
        <f>'（数据废表）薯条投放明细表'!J86</f>
        <v>200</v>
      </c>
      <c r="P3" s="69">
        <f t="shared" si="0"/>
        <v>1.2578616352201257</v>
      </c>
      <c r="Q3" s="69">
        <f t="shared" si="1"/>
        <v>1.1627906976744187</v>
      </c>
      <c r="R3" s="70" t="s">
        <v>34</v>
      </c>
      <c r="S3" s="70" t="s">
        <v>210</v>
      </c>
      <c r="T3" s="9"/>
      <c r="U3" s="9" t="str">
        <f t="shared" ref="U3:U12" si="3">IF(J3="","",IF(J3&gt;=5000,"S 级",IF(J3&gt;=1000,"A 级",IF(J3&gt;=500,"B 级","C 级"))))</f>
        <v>C 级</v>
      </c>
    </row>
    <row r="4" spans="1:21" ht="14">
      <c r="A4" s="32">
        <v>46174</v>
      </c>
      <c r="B4" s="32">
        <f t="shared" si="2"/>
        <v>46181</v>
      </c>
      <c r="C4" s="9" t="s">
        <v>948</v>
      </c>
      <c r="D4" s="9" t="s">
        <v>1229</v>
      </c>
      <c r="E4" s="49" t="s">
        <v>1230</v>
      </c>
      <c r="F4" s="49" t="s">
        <v>1231</v>
      </c>
      <c r="G4" s="9">
        <f>'（数据废表）薯条投放明细表'!B87</f>
        <v>46175</v>
      </c>
      <c r="H4" s="49" t="s">
        <v>1232</v>
      </c>
      <c r="I4" s="9">
        <v>30</v>
      </c>
      <c r="J4" s="9">
        <v>349</v>
      </c>
      <c r="K4" s="9">
        <f>'（数据废表）薯条投放明细表'!K87+87</f>
        <v>342</v>
      </c>
      <c r="L4" s="9">
        <f>'（数据废表）薯条投放明细表'!L87</f>
        <v>0</v>
      </c>
      <c r="M4" s="9">
        <f>'（数据废表）薯条投放明细表'!M87+2</f>
        <v>3</v>
      </c>
      <c r="N4" s="9">
        <f>SUM(K4:M4)</f>
        <v>345</v>
      </c>
      <c r="O4" s="50">
        <f>'（数据废表）薯条投放明细表'!J87+200</f>
        <v>400</v>
      </c>
      <c r="P4" s="69">
        <f t="shared" si="0"/>
        <v>1.1594202898550725</v>
      </c>
      <c r="Q4" s="69">
        <f t="shared" si="1"/>
        <v>1.1461318051575931</v>
      </c>
      <c r="R4" s="71" t="s">
        <v>22</v>
      </c>
      <c r="S4" s="71" t="s">
        <v>151</v>
      </c>
      <c r="T4" s="9"/>
      <c r="U4" s="9" t="str">
        <f t="shared" si="3"/>
        <v>C 级</v>
      </c>
    </row>
    <row r="5" spans="1:21" ht="16">
      <c r="A5" s="32">
        <v>46174</v>
      </c>
      <c r="B5" s="32">
        <f t="shared" si="2"/>
        <v>46181</v>
      </c>
      <c r="C5" s="9" t="s">
        <v>948</v>
      </c>
      <c r="D5" s="9" t="s">
        <v>1233</v>
      </c>
      <c r="E5" s="49" t="s">
        <v>1234</v>
      </c>
      <c r="F5" s="49" t="s">
        <v>1235</v>
      </c>
      <c r="G5" s="9">
        <f>'（数据废表）薯条投放明细表'!B88</f>
        <v>46177</v>
      </c>
      <c r="H5" s="72" t="s">
        <v>1236</v>
      </c>
      <c r="I5" s="9">
        <v>68</v>
      </c>
      <c r="J5" s="9">
        <f>'（数据废表）薯条投放明细表'!I88</f>
        <v>190</v>
      </c>
      <c r="K5" s="9">
        <f>'（数据废表）薯条投放明细表'!K88</f>
        <v>30</v>
      </c>
      <c r="L5" s="9">
        <f>'（数据废表）薯条投放明细表'!L88</f>
        <v>7</v>
      </c>
      <c r="M5" s="9">
        <f>'（数据废表）薯条投放明细表'!M88</f>
        <v>0</v>
      </c>
      <c r="N5" s="9">
        <f>'（数据废表）薯条投放明细表'!N88</f>
        <v>37</v>
      </c>
      <c r="O5" s="50">
        <f>'（数据废表）薯条投放明细表'!J88</f>
        <v>200</v>
      </c>
      <c r="P5" s="69">
        <f t="shared" si="0"/>
        <v>5.4054054054054053</v>
      </c>
      <c r="Q5" s="69">
        <f t="shared" si="1"/>
        <v>1.0526315789473684</v>
      </c>
      <c r="R5" s="73" t="s">
        <v>978</v>
      </c>
      <c r="S5" s="73" t="s">
        <v>979</v>
      </c>
      <c r="T5" s="9"/>
      <c r="U5" s="9" t="str">
        <f t="shared" si="3"/>
        <v>C 级</v>
      </c>
    </row>
    <row r="6" spans="1:21" ht="14">
      <c r="A6" s="32">
        <v>46174</v>
      </c>
      <c r="B6" s="32">
        <f t="shared" si="2"/>
        <v>46181</v>
      </c>
      <c r="C6" s="9" t="s">
        <v>948</v>
      </c>
      <c r="D6" s="9" t="s">
        <v>1237</v>
      </c>
      <c r="E6" s="49" t="s">
        <v>1238</v>
      </c>
      <c r="F6" s="49" t="s">
        <v>1239</v>
      </c>
      <c r="G6" s="9">
        <f>'（数据废表）薯条投放明细表'!B89</f>
        <v>46177</v>
      </c>
      <c r="H6" s="49" t="s">
        <v>1240</v>
      </c>
      <c r="I6" s="9">
        <v>162</v>
      </c>
      <c r="J6" s="9">
        <f>'（数据废表）薯条投放明细表'!I89</f>
        <v>166</v>
      </c>
      <c r="K6" s="9">
        <f>'（数据废表）薯条投放明细表'!K89</f>
        <v>5</v>
      </c>
      <c r="L6" s="9">
        <f>'（数据废表）薯条投放明细表'!L89</f>
        <v>0</v>
      </c>
      <c r="M6" s="9">
        <f>'（数据废表）薯条投放明细表'!M89</f>
        <v>0</v>
      </c>
      <c r="N6" s="9">
        <f>'（数据废表）薯条投放明细表'!N89</f>
        <v>5</v>
      </c>
      <c r="O6" s="50">
        <f>'（数据废表）薯条投放明细表'!J89</f>
        <v>200</v>
      </c>
      <c r="P6" s="69">
        <f t="shared" si="0"/>
        <v>40</v>
      </c>
      <c r="Q6" s="69">
        <f t="shared" si="1"/>
        <v>1.2048192771084338</v>
      </c>
      <c r="R6" s="73" t="s">
        <v>978</v>
      </c>
      <c r="S6" s="73" t="s">
        <v>979</v>
      </c>
      <c r="T6" s="9"/>
      <c r="U6" s="9" t="str">
        <f t="shared" si="3"/>
        <v>C 级</v>
      </c>
    </row>
    <row r="7" spans="1:21" ht="14">
      <c r="A7" s="32">
        <v>46174</v>
      </c>
      <c r="B7" s="32">
        <f t="shared" si="2"/>
        <v>46181</v>
      </c>
      <c r="C7" s="9" t="s">
        <v>948</v>
      </c>
      <c r="D7" s="9" t="s">
        <v>1241</v>
      </c>
      <c r="E7" s="49" t="s">
        <v>1242</v>
      </c>
      <c r="F7" s="49" t="s">
        <v>1243</v>
      </c>
      <c r="G7" s="9">
        <f>'（数据废表）薯条投放明细表'!B90</f>
        <v>46177</v>
      </c>
      <c r="H7" s="49" t="s">
        <v>1244</v>
      </c>
      <c r="I7" s="9">
        <v>38</v>
      </c>
      <c r="J7" s="9">
        <f>'（数据废表）薯条投放明细表'!I90</f>
        <v>41</v>
      </c>
      <c r="K7" s="9">
        <f>'（数据废表）薯条投放明细表'!K90</f>
        <v>4</v>
      </c>
      <c r="L7" s="9">
        <f>'（数据废表）薯条投放明细表'!L90</f>
        <v>0</v>
      </c>
      <c r="M7" s="9">
        <f>'（数据废表）薯条投放明细表'!M90</f>
        <v>0</v>
      </c>
      <c r="N7" s="9">
        <f>'（数据废表）薯条投放明细表'!N90</f>
        <v>4</v>
      </c>
      <c r="O7" s="50">
        <f>'（数据废表）薯条投放明细表'!J90</f>
        <v>200</v>
      </c>
      <c r="P7" s="69">
        <f t="shared" si="0"/>
        <v>50</v>
      </c>
      <c r="Q7" s="69">
        <f t="shared" si="1"/>
        <v>4.8780487804878048</v>
      </c>
      <c r="R7" s="73" t="s">
        <v>978</v>
      </c>
      <c r="S7" s="73" t="s">
        <v>979</v>
      </c>
      <c r="T7" s="9"/>
      <c r="U7" s="9" t="str">
        <f t="shared" si="3"/>
        <v>C 级</v>
      </c>
    </row>
    <row r="8" spans="1:21" ht="14">
      <c r="A8" s="32">
        <v>46177</v>
      </c>
      <c r="B8" s="32">
        <f t="shared" si="2"/>
        <v>46184</v>
      </c>
      <c r="C8" s="9" t="s">
        <v>948</v>
      </c>
      <c r="D8" s="9" t="s">
        <v>1245</v>
      </c>
      <c r="E8" s="49" t="s">
        <v>1246</v>
      </c>
      <c r="F8" s="49" t="s">
        <v>1247</v>
      </c>
      <c r="G8" s="32">
        <v>46181</v>
      </c>
      <c r="H8" s="49" t="s">
        <v>1248</v>
      </c>
      <c r="I8" s="9">
        <v>18000</v>
      </c>
      <c r="J8" s="9">
        <v>24829</v>
      </c>
      <c r="K8" s="9">
        <f>'（数据废表）薯条投放明细表'!K92+2824+'（数据废表）薯条投放明细表'!K96</f>
        <v>5764</v>
      </c>
      <c r="L8" s="9">
        <f>'（数据废表）薯条投放明细表'!L92+66+'（数据废表）薯条投放明细表'!L96</f>
        <v>139</v>
      </c>
      <c r="M8" s="9">
        <f>'（数据废表）薯条投放明细表'!M92+12+'（数据废表）薯条投放明细表'!M96</f>
        <v>26</v>
      </c>
      <c r="N8" s="9">
        <f>'（数据废表）薯条投放明细表'!N92</f>
        <v>1533</v>
      </c>
      <c r="O8" s="50">
        <f>'（数据废表）薯条投放明细表'!J92+1000</f>
        <v>1499</v>
      </c>
      <c r="P8" s="69">
        <f t="shared" si="0"/>
        <v>0.97782126549249837</v>
      </c>
      <c r="Q8" s="69">
        <f t="shared" si="1"/>
        <v>6.0372950984735593E-2</v>
      </c>
      <c r="R8" s="70" t="s">
        <v>34</v>
      </c>
      <c r="S8" s="70" t="s">
        <v>281</v>
      </c>
      <c r="T8" s="9"/>
      <c r="U8" s="9" t="str">
        <f t="shared" si="3"/>
        <v>S 级</v>
      </c>
    </row>
    <row r="9" spans="1:21" ht="14">
      <c r="A9" s="32">
        <v>46178</v>
      </c>
      <c r="B9" s="32">
        <f t="shared" si="2"/>
        <v>46185</v>
      </c>
      <c r="C9" s="9" t="s">
        <v>948</v>
      </c>
      <c r="D9" s="9" t="s">
        <v>1249</v>
      </c>
      <c r="E9" t="s">
        <v>1250</v>
      </c>
      <c r="F9" s="49" t="s">
        <v>1251</v>
      </c>
      <c r="G9" s="32">
        <v>46181</v>
      </c>
      <c r="H9" s="49" t="s">
        <v>1252</v>
      </c>
      <c r="I9" s="9">
        <v>408</v>
      </c>
      <c r="J9" s="9">
        <v>2170</v>
      </c>
      <c r="K9" s="9">
        <f>233+'（数据废表）薯条投放明细表'!K97</f>
        <v>1392</v>
      </c>
      <c r="L9" s="9">
        <f>62+'（数据废表）薯条投放明细表'!L97</f>
        <v>276</v>
      </c>
      <c r="M9" s="9">
        <f>0+'（数据废表）薯条投放明细表'!M97</f>
        <v>7</v>
      </c>
      <c r="N9" s="9">
        <f>SUM(K9:M9)</f>
        <v>1675</v>
      </c>
      <c r="O9" s="50">
        <v>200</v>
      </c>
      <c r="P9" s="69">
        <f t="shared" si="0"/>
        <v>0.11940298507462686</v>
      </c>
      <c r="Q9" s="74">
        <f t="shared" si="1"/>
        <v>9.2165898617511524E-2</v>
      </c>
      <c r="R9" s="70" t="s">
        <v>22</v>
      </c>
      <c r="S9" s="70" t="s">
        <v>1253</v>
      </c>
      <c r="T9" s="9"/>
      <c r="U9" s="9" t="str">
        <f t="shared" si="3"/>
        <v>A 级</v>
      </c>
    </row>
    <row r="10" spans="1:21" ht="14">
      <c r="A10" s="32">
        <v>46179</v>
      </c>
      <c r="B10" s="32">
        <f t="shared" si="2"/>
        <v>46186</v>
      </c>
      <c r="C10" s="9" t="s">
        <v>948</v>
      </c>
      <c r="D10" s="9" t="s">
        <v>1254</v>
      </c>
      <c r="E10" s="49" t="s">
        <v>1255</v>
      </c>
      <c r="F10" s="49" t="s">
        <v>1256</v>
      </c>
      <c r="G10" s="32">
        <v>46183</v>
      </c>
      <c r="H10" s="49" t="s">
        <v>1257</v>
      </c>
      <c r="I10" s="9">
        <v>65</v>
      </c>
      <c r="J10" s="9">
        <f>'（数据废表）薯条投放明细表'!I95</f>
        <v>200</v>
      </c>
      <c r="K10" s="9">
        <f>'（数据废表）薯条投放明细表'!K95</f>
        <v>83</v>
      </c>
      <c r="L10" s="9">
        <f>'（数据废表）薯条投放明细表'!L95</f>
        <v>27</v>
      </c>
      <c r="M10" s="9">
        <f>'（数据废表）薯条投放明细表'!M95</f>
        <v>4</v>
      </c>
      <c r="N10" s="9">
        <f>'（数据废表）薯条投放明细表'!N95</f>
        <v>114</v>
      </c>
      <c r="O10" s="50">
        <f>'（数据废表）薯条投放明细表'!J95</f>
        <v>200</v>
      </c>
      <c r="P10" s="69">
        <f t="shared" si="0"/>
        <v>1.7543859649122806</v>
      </c>
      <c r="Q10" s="69">
        <f t="shared" si="1"/>
        <v>1</v>
      </c>
      <c r="R10" s="71" t="s">
        <v>22</v>
      </c>
      <c r="S10" s="71" t="s">
        <v>23</v>
      </c>
      <c r="T10" s="9"/>
      <c r="U10" s="9" t="str">
        <f t="shared" si="3"/>
        <v>C 级</v>
      </c>
    </row>
    <row r="11" spans="1:21">
      <c r="A11" s="32">
        <v>46187</v>
      </c>
      <c r="B11" s="32">
        <f t="shared" si="2"/>
        <v>46194</v>
      </c>
      <c r="C11" s="9" t="s">
        <v>948</v>
      </c>
      <c r="D11" s="9" t="s">
        <v>1258</v>
      </c>
      <c r="E11" s="49" t="s">
        <v>1259</v>
      </c>
      <c r="F11" s="49" t="s">
        <v>1260</v>
      </c>
      <c r="G11" s="32">
        <v>46189</v>
      </c>
      <c r="H11" s="49" t="s">
        <v>1261</v>
      </c>
      <c r="I11" s="9">
        <v>444</v>
      </c>
      <c r="J11" s="9">
        <f>'（数据废表）薯条投放明细表'!I98</f>
        <v>0</v>
      </c>
      <c r="K11" s="9">
        <f>'（数据废表）薯条投放明细表'!K98</f>
        <v>0</v>
      </c>
      <c r="L11" s="9">
        <f>'（数据废表）薯条投放明细表'!L98</f>
        <v>0</v>
      </c>
      <c r="M11" s="9">
        <f>'（数据废表）薯条投放明细表'!M98</f>
        <v>0</v>
      </c>
      <c r="N11" s="9">
        <f>'（数据废表）薯条投放明细表'!N98</f>
        <v>0</v>
      </c>
      <c r="O11" s="50">
        <f>'（数据废表）薯条投放明细表'!J98</f>
        <v>0</v>
      </c>
      <c r="P11" s="69" t="e">
        <f t="shared" si="0"/>
        <v>#DIV/0!</v>
      </c>
      <c r="Q11" s="69" t="e">
        <f t="shared" si="1"/>
        <v>#DIV/0!</v>
      </c>
      <c r="R11" s="71"/>
      <c r="S11" s="71"/>
      <c r="T11" s="9"/>
      <c r="U11" s="9" t="str">
        <f t="shared" si="3"/>
        <v>C 级</v>
      </c>
    </row>
    <row r="12" spans="1:21">
      <c r="A12" s="32"/>
      <c r="B12" s="32"/>
      <c r="C12" s="9"/>
      <c r="D12" s="9"/>
      <c r="E12" s="49"/>
      <c r="F12" s="49"/>
      <c r="G12" s="9"/>
      <c r="H12" s="49"/>
      <c r="I12" s="9"/>
      <c r="J12" s="9"/>
      <c r="K12" s="9"/>
      <c r="L12" s="9"/>
      <c r="M12" s="9"/>
      <c r="N12" s="9"/>
      <c r="O12" s="50"/>
      <c r="P12" s="69"/>
      <c r="Q12" s="69"/>
      <c r="R12" s="71"/>
      <c r="S12" s="71"/>
      <c r="T12" s="9"/>
      <c r="U12" s="9"/>
    </row>
    <row r="13" spans="1:21">
      <c r="A13" s="32"/>
      <c r="B13" s="32"/>
      <c r="C13" s="9"/>
      <c r="D13" s="9"/>
      <c r="E13" s="49"/>
      <c r="F13" s="49"/>
      <c r="G13" s="9"/>
      <c r="H13" s="49"/>
      <c r="I13" s="9"/>
      <c r="J13" s="9"/>
      <c r="K13" s="9"/>
      <c r="L13" s="9"/>
      <c r="M13" s="9"/>
      <c r="N13" s="9"/>
      <c r="O13" s="50"/>
      <c r="P13" s="69"/>
      <c r="Q13" s="69"/>
      <c r="R13" s="71"/>
      <c r="S13" s="71"/>
      <c r="T13" s="9"/>
      <c r="U13" s="9"/>
    </row>
    <row r="14" spans="1:21">
      <c r="A14" s="32"/>
      <c r="B14" s="32"/>
      <c r="C14" s="9"/>
      <c r="D14" s="9"/>
      <c r="E14" s="49"/>
      <c r="F14" s="49"/>
      <c r="G14" s="9"/>
      <c r="H14" s="49"/>
      <c r="I14" s="9"/>
      <c r="J14" s="9"/>
      <c r="K14" s="9"/>
      <c r="L14" s="9"/>
      <c r="M14" s="9"/>
      <c r="N14" s="9"/>
      <c r="O14" s="50"/>
      <c r="P14" s="69"/>
      <c r="Q14" s="69"/>
      <c r="R14" s="71"/>
      <c r="S14" s="71"/>
      <c r="T14" s="9"/>
      <c r="U14" s="9"/>
    </row>
    <row r="15" spans="1:21">
      <c r="A15" s="32"/>
      <c r="B15" s="32"/>
      <c r="C15" s="9"/>
      <c r="D15" s="9"/>
      <c r="E15" s="49"/>
      <c r="F15" s="49"/>
      <c r="G15" s="9"/>
      <c r="H15" s="49"/>
      <c r="I15" s="9"/>
      <c r="J15" s="9"/>
      <c r="K15" s="9"/>
      <c r="L15" s="9"/>
      <c r="M15" s="9"/>
      <c r="N15" s="9"/>
      <c r="O15" s="50"/>
      <c r="P15" s="69"/>
      <c r="Q15" s="69"/>
      <c r="R15" s="71"/>
      <c r="S15" s="71"/>
      <c r="T15" s="9"/>
      <c r="U15" s="9"/>
    </row>
    <row r="16" spans="1:21">
      <c r="A16" s="32"/>
      <c r="B16" s="32"/>
      <c r="C16" s="9"/>
      <c r="D16" s="9"/>
      <c r="E16" s="49"/>
      <c r="F16" s="49"/>
      <c r="G16" s="9"/>
      <c r="H16" s="49"/>
      <c r="I16" s="9"/>
      <c r="J16" s="9"/>
      <c r="K16" s="9"/>
      <c r="L16" s="9"/>
      <c r="M16" s="9"/>
      <c r="N16" s="9"/>
      <c r="O16" s="50"/>
      <c r="P16" s="69"/>
      <c r="Q16" s="69"/>
      <c r="R16" s="71"/>
      <c r="S16" s="71"/>
      <c r="T16" s="9"/>
      <c r="U16" s="9"/>
    </row>
    <row r="17" spans="1:21">
      <c r="A17" s="32"/>
      <c r="B17" s="32"/>
      <c r="C17" s="9"/>
      <c r="D17" s="9"/>
      <c r="E17" s="49"/>
      <c r="F17" s="49"/>
      <c r="G17" s="9"/>
      <c r="H17" s="49"/>
      <c r="I17" s="9"/>
      <c r="J17" s="9"/>
      <c r="K17" s="9"/>
      <c r="L17" s="9"/>
      <c r="M17" s="9"/>
      <c r="N17" s="9"/>
      <c r="O17" s="50"/>
      <c r="P17" s="69"/>
      <c r="Q17" s="69"/>
      <c r="R17" s="71"/>
      <c r="S17" s="71"/>
      <c r="T17" s="9"/>
      <c r="U17" s="9"/>
    </row>
    <row r="18" spans="1:21">
      <c r="A18" s="32"/>
      <c r="B18" s="32"/>
      <c r="C18" s="9"/>
      <c r="D18" s="9"/>
      <c r="E18" s="49"/>
      <c r="F18" s="49"/>
      <c r="G18" s="9"/>
      <c r="H18" s="49"/>
      <c r="I18" s="9"/>
      <c r="J18" s="9"/>
      <c r="K18" s="9"/>
      <c r="L18" s="9"/>
      <c r="M18" s="9"/>
      <c r="N18" s="9"/>
      <c r="O18" s="50"/>
      <c r="P18" s="69"/>
      <c r="Q18" s="69"/>
      <c r="R18" s="71"/>
      <c r="S18" s="71"/>
      <c r="T18" s="9"/>
      <c r="U18" s="9"/>
    </row>
    <row r="19" spans="1:21">
      <c r="A19" s="32"/>
      <c r="B19" s="32"/>
      <c r="C19" s="9"/>
      <c r="D19" s="9"/>
      <c r="E19" s="49"/>
      <c r="F19" s="49"/>
      <c r="G19" s="9"/>
      <c r="H19" s="49"/>
      <c r="I19" s="9"/>
      <c r="J19" s="9"/>
      <c r="K19" s="9"/>
      <c r="L19" s="9"/>
      <c r="M19" s="9"/>
      <c r="N19" s="9"/>
      <c r="O19" s="50"/>
      <c r="P19" s="69"/>
      <c r="Q19" s="69"/>
      <c r="R19" s="71"/>
      <c r="S19" s="71"/>
      <c r="T19" s="9"/>
      <c r="U19" s="9"/>
    </row>
    <row r="20" spans="1:21">
      <c r="A20" s="32"/>
      <c r="B20" s="32"/>
      <c r="C20" s="9"/>
      <c r="D20" s="9"/>
      <c r="E20" s="49"/>
      <c r="F20" s="49"/>
      <c r="G20" s="9"/>
      <c r="H20" s="49"/>
      <c r="I20" s="9"/>
      <c r="J20" s="9"/>
      <c r="K20" s="9"/>
      <c r="L20" s="9"/>
      <c r="M20" s="9"/>
      <c r="N20" s="9"/>
      <c r="O20" s="50"/>
      <c r="P20" s="69"/>
      <c r="Q20" s="69"/>
      <c r="R20" s="71"/>
      <c r="S20" s="71"/>
      <c r="T20" s="9"/>
      <c r="U20" s="9"/>
    </row>
    <row r="21" spans="1:21">
      <c r="A21" s="32"/>
      <c r="B21" s="32"/>
      <c r="C21" s="9"/>
      <c r="D21" s="9"/>
      <c r="E21" s="49"/>
      <c r="F21" s="49"/>
      <c r="G21" s="9"/>
      <c r="H21" s="49"/>
      <c r="I21" s="9"/>
      <c r="J21" s="9"/>
      <c r="K21" s="9"/>
      <c r="L21" s="9"/>
      <c r="M21" s="9"/>
      <c r="N21" s="9"/>
      <c r="O21" s="50"/>
      <c r="P21" s="69"/>
      <c r="Q21" s="69"/>
      <c r="R21" s="71"/>
      <c r="S21" s="71"/>
      <c r="T21" s="9"/>
      <c r="U21" s="9"/>
    </row>
    <row r="22" spans="1:21">
      <c r="A22" s="32"/>
      <c r="B22" s="32"/>
      <c r="C22" s="9"/>
      <c r="D22" s="9"/>
      <c r="E22" s="49"/>
      <c r="F22" s="49"/>
      <c r="G22" s="9"/>
      <c r="H22" s="49"/>
      <c r="I22" s="9"/>
      <c r="J22" s="9"/>
      <c r="K22" s="9"/>
      <c r="L22" s="9"/>
      <c r="M22" s="9"/>
      <c r="N22" s="9"/>
      <c r="O22" s="50"/>
      <c r="P22" s="69"/>
      <c r="Q22" s="69"/>
      <c r="R22" s="71"/>
      <c r="S22" s="71"/>
      <c r="T22" s="9"/>
      <c r="U22" s="9"/>
    </row>
    <row r="23" spans="1:21">
      <c r="A23" s="32"/>
      <c r="B23" s="32"/>
      <c r="C23" s="9"/>
      <c r="D23" s="9"/>
      <c r="E23" s="49"/>
      <c r="F23" s="49"/>
      <c r="G23" s="9"/>
      <c r="H23" s="49"/>
      <c r="I23" s="9"/>
      <c r="J23" s="9"/>
      <c r="K23" s="9"/>
      <c r="L23" s="9"/>
      <c r="M23" s="9"/>
      <c r="N23" s="9"/>
      <c r="O23" s="50"/>
      <c r="P23" s="69"/>
      <c r="Q23" s="69"/>
      <c r="R23" s="71"/>
      <c r="S23" s="71"/>
      <c r="T23" s="9"/>
      <c r="U23" s="9"/>
    </row>
    <row r="24" spans="1:21">
      <c r="A24" s="32"/>
      <c r="B24" s="32"/>
      <c r="C24" s="9"/>
      <c r="D24" s="9"/>
      <c r="E24" s="49"/>
      <c r="F24" s="49"/>
      <c r="G24" s="9"/>
      <c r="H24" s="49"/>
      <c r="I24" s="9"/>
      <c r="J24" s="9"/>
      <c r="K24" s="9"/>
      <c r="L24" s="9"/>
      <c r="M24" s="9"/>
      <c r="N24" s="9"/>
      <c r="O24" s="50"/>
      <c r="P24" s="69"/>
      <c r="Q24" s="69"/>
      <c r="R24" s="71"/>
      <c r="S24" s="71"/>
      <c r="T24" s="9"/>
      <c r="U24" s="9"/>
    </row>
    <row r="25" spans="1:21">
      <c r="A25" s="32"/>
      <c r="B25" s="32"/>
      <c r="C25" s="9"/>
      <c r="D25" s="9"/>
      <c r="E25" s="49"/>
      <c r="F25" s="49"/>
      <c r="G25" s="9"/>
      <c r="H25" s="49"/>
      <c r="I25" s="9"/>
      <c r="J25" s="9"/>
      <c r="K25" s="9"/>
      <c r="L25" s="9"/>
      <c r="M25" s="9"/>
      <c r="N25" s="9"/>
      <c r="O25" s="50"/>
      <c r="P25" s="69"/>
      <c r="Q25" s="69"/>
      <c r="R25" s="71"/>
      <c r="S25" s="71"/>
      <c r="T25" s="9"/>
      <c r="U25" s="9"/>
    </row>
    <row r="26" spans="1:21">
      <c r="A26" s="32"/>
      <c r="B26" s="32"/>
      <c r="C26" s="9"/>
      <c r="D26" s="9"/>
      <c r="E26" s="49"/>
      <c r="F26" s="49"/>
      <c r="G26" s="9"/>
      <c r="H26" s="49"/>
      <c r="I26" s="9"/>
      <c r="J26" s="9"/>
      <c r="K26" s="9"/>
      <c r="L26" s="9"/>
      <c r="M26" s="9"/>
      <c r="N26" s="9"/>
      <c r="O26" s="50"/>
      <c r="P26" s="69"/>
      <c r="Q26" s="69"/>
      <c r="R26" s="71"/>
      <c r="S26" s="71"/>
      <c r="T26" s="9"/>
      <c r="U26" s="9"/>
    </row>
    <row r="27" spans="1:21">
      <c r="A27" s="32"/>
      <c r="B27" s="32"/>
      <c r="C27" s="9"/>
      <c r="D27" s="9"/>
      <c r="E27" s="49"/>
      <c r="F27" s="49"/>
      <c r="G27" s="9"/>
      <c r="H27" s="49"/>
      <c r="I27" s="9"/>
      <c r="J27" s="9"/>
      <c r="K27" s="9"/>
      <c r="L27" s="9"/>
      <c r="M27" s="9"/>
      <c r="N27" s="9"/>
      <c r="O27" s="50"/>
      <c r="P27" s="69"/>
      <c r="Q27" s="69"/>
      <c r="R27" s="71"/>
      <c r="S27" s="71"/>
      <c r="T27" s="9"/>
      <c r="U27" s="9"/>
    </row>
    <row r="28" spans="1:21">
      <c r="A28" s="32"/>
      <c r="B28" s="32"/>
      <c r="C28" s="9"/>
      <c r="D28" s="9"/>
      <c r="E28" s="49"/>
      <c r="F28" s="49"/>
      <c r="G28" s="9"/>
      <c r="H28" s="49"/>
      <c r="I28" s="9"/>
      <c r="J28" s="9"/>
      <c r="K28" s="9"/>
      <c r="L28" s="9"/>
      <c r="M28" s="9"/>
      <c r="N28" s="9"/>
      <c r="O28" s="50"/>
      <c r="P28" s="69"/>
      <c r="Q28" s="69"/>
      <c r="R28" s="71"/>
      <c r="S28" s="71"/>
      <c r="T28" s="9"/>
      <c r="U28" s="9"/>
    </row>
    <row r="29" spans="1:21">
      <c r="A29" s="32"/>
      <c r="B29" s="32"/>
      <c r="C29" s="9"/>
      <c r="D29" s="9"/>
      <c r="E29" s="49"/>
      <c r="F29" s="49"/>
      <c r="G29" s="9"/>
      <c r="H29" s="49"/>
      <c r="I29" s="9"/>
      <c r="J29" s="9"/>
      <c r="K29" s="9"/>
      <c r="L29" s="9"/>
      <c r="M29" s="9"/>
      <c r="N29" s="9"/>
      <c r="O29" s="50"/>
      <c r="P29" s="69"/>
      <c r="Q29" s="69"/>
      <c r="R29" s="71"/>
      <c r="S29" s="71"/>
      <c r="T29" s="9"/>
      <c r="U29" s="9"/>
    </row>
    <row r="30" spans="1:21">
      <c r="A30" s="32"/>
      <c r="B30" s="32"/>
      <c r="C30" s="9"/>
      <c r="D30" s="9"/>
      <c r="E30" s="49"/>
      <c r="F30" s="49"/>
      <c r="G30" s="9"/>
      <c r="H30" s="49"/>
      <c r="I30" s="9"/>
      <c r="J30" s="9"/>
      <c r="K30" s="9"/>
      <c r="L30" s="9"/>
      <c r="M30" s="9"/>
      <c r="N30" s="9"/>
      <c r="O30" s="50"/>
      <c r="P30" s="69"/>
      <c r="Q30" s="69"/>
      <c r="R30" s="71"/>
      <c r="S30" s="71"/>
      <c r="T30" s="9"/>
      <c r="U30" s="9"/>
    </row>
    <row r="31" spans="1:21">
      <c r="A31" s="32"/>
      <c r="B31" s="32"/>
      <c r="C31" s="9"/>
      <c r="D31" s="9"/>
      <c r="E31" s="49"/>
      <c r="F31" s="49"/>
      <c r="G31" s="9"/>
      <c r="H31" s="49"/>
      <c r="I31" s="9"/>
      <c r="J31" s="9"/>
      <c r="K31" s="9"/>
      <c r="L31" s="9"/>
      <c r="M31" s="9"/>
      <c r="N31" s="9"/>
      <c r="O31" s="50"/>
      <c r="P31" s="69"/>
      <c r="Q31" s="69"/>
      <c r="R31" s="71"/>
      <c r="S31" s="71"/>
      <c r="T31" s="9"/>
      <c r="U31" s="9"/>
    </row>
    <row r="32" spans="1:21">
      <c r="A32" s="9"/>
      <c r="B32" s="9"/>
      <c r="C32" s="9"/>
      <c r="D32" s="9"/>
      <c r="E32" s="49"/>
      <c r="F32" s="49"/>
      <c r="G32" s="9"/>
      <c r="H32" s="49"/>
      <c r="I32" s="9"/>
      <c r="J32" s="9"/>
      <c r="K32" s="9"/>
      <c r="L32" s="9"/>
      <c r="M32" s="9"/>
      <c r="N32" s="9"/>
      <c r="O32" s="50"/>
      <c r="P32" s="9"/>
      <c r="Q32" s="9"/>
      <c r="R32" s="9"/>
      <c r="S32" s="9"/>
      <c r="T32" s="9"/>
      <c r="U32" s="9"/>
    </row>
    <row r="33" spans="1:21">
      <c r="A33" s="9"/>
      <c r="B33" s="9"/>
      <c r="C33" s="9"/>
      <c r="D33" s="9"/>
      <c r="E33" s="49"/>
      <c r="F33" s="49"/>
      <c r="G33" s="9"/>
      <c r="H33" s="49"/>
      <c r="I33" s="9"/>
      <c r="J33" s="9"/>
      <c r="K33" s="9"/>
      <c r="L33" s="9"/>
      <c r="M33" s="9"/>
      <c r="N33" s="9"/>
      <c r="O33" s="50"/>
      <c r="P33" s="9"/>
      <c r="Q33" s="9"/>
      <c r="R33" s="9"/>
      <c r="S33" s="9"/>
      <c r="T33" s="9"/>
      <c r="U33" s="9"/>
    </row>
    <row r="34" spans="1:21">
      <c r="A34" s="9"/>
      <c r="B34" s="9"/>
      <c r="C34" s="9"/>
      <c r="D34" s="9"/>
      <c r="E34" s="49"/>
      <c r="F34" s="49"/>
      <c r="G34" s="9"/>
      <c r="H34" s="49"/>
      <c r="I34" s="9"/>
      <c r="J34" s="9"/>
      <c r="K34" s="9"/>
      <c r="L34" s="9"/>
      <c r="M34" s="9"/>
      <c r="N34" s="9"/>
      <c r="O34" s="50"/>
      <c r="P34" s="9"/>
      <c r="Q34" s="9"/>
      <c r="R34" s="9"/>
      <c r="S34" s="9"/>
      <c r="T34" s="9"/>
      <c r="U34" s="9"/>
    </row>
    <row r="35" spans="1:21">
      <c r="A35" s="9"/>
      <c r="B35" s="9"/>
      <c r="C35" s="9"/>
      <c r="D35" s="9"/>
      <c r="E35" s="49"/>
      <c r="F35" s="49"/>
      <c r="G35" s="9"/>
      <c r="H35" s="49"/>
      <c r="I35" s="9"/>
      <c r="J35" s="9"/>
      <c r="K35" s="9"/>
      <c r="L35" s="9"/>
      <c r="M35" s="9"/>
      <c r="N35" s="9"/>
      <c r="O35" s="50"/>
      <c r="P35" s="9"/>
      <c r="Q35" s="9"/>
      <c r="R35" s="9"/>
      <c r="S35" s="9"/>
      <c r="T35" s="9"/>
      <c r="U35" s="9"/>
    </row>
    <row r="36" spans="1:21">
      <c r="A36" s="9"/>
      <c r="B36" s="9"/>
      <c r="C36" s="9"/>
      <c r="D36" s="9"/>
      <c r="E36" s="49"/>
      <c r="F36" s="49"/>
      <c r="G36" s="9"/>
      <c r="H36" s="49"/>
      <c r="I36" s="9"/>
      <c r="J36" s="9"/>
      <c r="K36" s="9"/>
      <c r="L36" s="9"/>
      <c r="M36" s="9"/>
      <c r="N36" s="9"/>
      <c r="O36" s="50"/>
      <c r="P36" s="9"/>
      <c r="Q36" s="9"/>
      <c r="R36" s="9"/>
      <c r="S36" s="9"/>
      <c r="T36" s="9"/>
      <c r="U36" s="9"/>
    </row>
    <row r="37" spans="1:21">
      <c r="A37" s="9"/>
      <c r="B37" s="9"/>
      <c r="C37" s="9"/>
      <c r="D37" s="9"/>
      <c r="E37" s="49"/>
      <c r="F37" s="49"/>
      <c r="G37" s="9"/>
      <c r="H37" s="49"/>
      <c r="I37" s="9"/>
      <c r="J37" s="9"/>
      <c r="K37" s="9"/>
      <c r="L37" s="9"/>
      <c r="M37" s="9"/>
      <c r="N37" s="9"/>
      <c r="O37" s="50"/>
      <c r="P37" s="9"/>
      <c r="Q37" s="9"/>
      <c r="R37" s="9"/>
      <c r="S37" s="9"/>
      <c r="T37" s="9"/>
      <c r="U37" s="9"/>
    </row>
    <row r="38" spans="1:21">
      <c r="A38" s="9"/>
      <c r="B38" s="9"/>
      <c r="C38" s="9"/>
      <c r="D38" s="9"/>
      <c r="E38" s="49"/>
      <c r="F38" s="49"/>
      <c r="G38" s="9"/>
      <c r="H38" s="49"/>
      <c r="I38" s="9"/>
      <c r="J38" s="9"/>
      <c r="K38" s="9"/>
      <c r="L38" s="9"/>
      <c r="M38" s="9"/>
      <c r="N38" s="9"/>
      <c r="O38" s="50"/>
      <c r="P38" s="9"/>
      <c r="Q38" s="9"/>
      <c r="R38" s="9"/>
      <c r="S38" s="9"/>
      <c r="T38" s="9"/>
      <c r="U38" s="9"/>
    </row>
    <row r="39" spans="1:21">
      <c r="A39" s="9"/>
      <c r="B39" s="9"/>
      <c r="C39" s="9"/>
      <c r="D39" s="9"/>
      <c r="E39" s="49"/>
      <c r="F39" s="49"/>
      <c r="G39" s="9"/>
      <c r="H39" s="49"/>
      <c r="I39" s="9"/>
      <c r="J39" s="9"/>
      <c r="K39" s="9"/>
      <c r="L39" s="9"/>
      <c r="M39" s="9"/>
      <c r="N39" s="9"/>
      <c r="O39" s="50"/>
      <c r="P39" s="9"/>
      <c r="Q39" s="9"/>
      <c r="R39" s="9"/>
      <c r="S39" s="9"/>
      <c r="T39" s="9"/>
      <c r="U39" s="9"/>
    </row>
    <row r="40" spans="1:21">
      <c r="A40" s="9"/>
      <c r="B40" s="9"/>
      <c r="C40" s="9"/>
      <c r="D40" s="9"/>
      <c r="E40" s="49"/>
      <c r="F40" s="49"/>
      <c r="G40" s="9"/>
      <c r="H40" s="49"/>
      <c r="I40" s="9"/>
      <c r="J40" s="9"/>
      <c r="K40" s="9"/>
      <c r="L40" s="9"/>
      <c r="M40" s="9"/>
      <c r="N40" s="9"/>
      <c r="O40" s="50"/>
      <c r="P40" s="9"/>
      <c r="Q40" s="9"/>
      <c r="R40" s="9"/>
      <c r="S40" s="9"/>
      <c r="T40" s="9"/>
      <c r="U40" s="9"/>
    </row>
    <row r="41" spans="1:21">
      <c r="A41" s="9"/>
      <c r="B41" s="9"/>
      <c r="C41" s="9"/>
      <c r="D41" s="9"/>
      <c r="E41" s="49"/>
      <c r="F41" s="49"/>
      <c r="G41" s="9"/>
      <c r="H41" s="49"/>
      <c r="I41" s="9"/>
      <c r="J41" s="9"/>
      <c r="K41" s="9"/>
      <c r="L41" s="9"/>
      <c r="M41" s="9"/>
      <c r="N41" s="9"/>
      <c r="O41" s="50"/>
      <c r="P41" s="9"/>
      <c r="Q41" s="9"/>
      <c r="R41" s="9"/>
      <c r="S41" s="9"/>
      <c r="T41" s="9"/>
      <c r="U41" s="9"/>
    </row>
    <row r="42" spans="1:21">
      <c r="A42" s="9"/>
      <c r="B42" s="9"/>
      <c r="C42" s="9"/>
      <c r="D42" s="9"/>
      <c r="E42" s="49"/>
      <c r="F42" s="49"/>
      <c r="G42" s="9"/>
      <c r="H42" s="49"/>
      <c r="I42" s="9"/>
      <c r="J42" s="9"/>
      <c r="K42" s="9"/>
      <c r="L42" s="9"/>
      <c r="M42" s="9"/>
      <c r="N42" s="9"/>
      <c r="O42" s="50"/>
      <c r="P42" s="9"/>
      <c r="Q42" s="9"/>
      <c r="R42" s="9"/>
      <c r="S42" s="9"/>
      <c r="T42" s="9"/>
      <c r="U42" s="9"/>
    </row>
    <row r="43" spans="1:21">
      <c r="A43" s="9"/>
      <c r="B43" s="9"/>
      <c r="C43" s="9"/>
      <c r="D43" s="9"/>
      <c r="E43" s="49"/>
      <c r="F43" s="49"/>
      <c r="G43" s="9"/>
      <c r="H43" s="49"/>
      <c r="I43" s="9"/>
      <c r="J43" s="9"/>
      <c r="K43" s="9"/>
      <c r="L43" s="9"/>
      <c r="M43" s="9"/>
      <c r="N43" s="9"/>
      <c r="O43" s="50"/>
      <c r="P43" s="9"/>
      <c r="Q43" s="9"/>
      <c r="R43" s="9"/>
      <c r="S43" s="9"/>
      <c r="T43" s="9"/>
      <c r="U43" s="9"/>
    </row>
    <row r="44" spans="1:21">
      <c r="A44" s="9"/>
      <c r="B44" s="9"/>
      <c r="C44" s="9"/>
      <c r="D44" s="9"/>
      <c r="E44" s="49"/>
      <c r="F44" s="49"/>
      <c r="G44" s="9"/>
      <c r="H44" s="49"/>
      <c r="I44" s="9"/>
      <c r="J44" s="9"/>
      <c r="K44" s="9"/>
      <c r="L44" s="9"/>
      <c r="M44" s="9"/>
      <c r="N44" s="9"/>
      <c r="O44" s="50"/>
      <c r="P44" s="9"/>
      <c r="Q44" s="9"/>
      <c r="R44" s="9"/>
      <c r="S44" s="9"/>
      <c r="T44" s="9"/>
      <c r="U44" s="9"/>
    </row>
    <row r="45" spans="1:21">
      <c r="A45" s="9"/>
      <c r="B45" s="9"/>
      <c r="C45" s="9"/>
      <c r="D45" s="9"/>
      <c r="E45" s="49"/>
      <c r="F45" s="49"/>
      <c r="G45" s="9"/>
      <c r="H45" s="49"/>
      <c r="I45" s="9"/>
      <c r="J45" s="9"/>
      <c r="K45" s="9"/>
      <c r="L45" s="9"/>
      <c r="M45" s="9"/>
      <c r="N45" s="9"/>
      <c r="O45" s="50"/>
      <c r="P45" s="9"/>
      <c r="Q45" s="9"/>
      <c r="R45" s="9"/>
      <c r="S45" s="9"/>
      <c r="T45" s="9"/>
      <c r="U45" s="9"/>
    </row>
    <row r="46" spans="1:21">
      <c r="A46" s="9"/>
      <c r="B46" s="9"/>
      <c r="C46" s="9"/>
      <c r="D46" s="9"/>
      <c r="E46" s="49"/>
      <c r="F46" s="49"/>
      <c r="G46" s="9"/>
      <c r="H46" s="49"/>
      <c r="I46" s="9"/>
      <c r="J46" s="9"/>
      <c r="K46" s="9"/>
      <c r="L46" s="9"/>
      <c r="M46" s="9"/>
      <c r="N46" s="9"/>
      <c r="O46" s="50"/>
      <c r="P46" s="9"/>
      <c r="Q46" s="9"/>
      <c r="R46" s="9"/>
      <c r="S46" s="9"/>
      <c r="T46" s="9"/>
      <c r="U46" s="9"/>
    </row>
    <row r="47" spans="1:21">
      <c r="A47" s="9"/>
      <c r="B47" s="9"/>
      <c r="C47" s="9"/>
      <c r="D47" s="9"/>
      <c r="E47" s="49"/>
      <c r="F47" s="49"/>
      <c r="G47" s="9"/>
      <c r="H47" s="49"/>
      <c r="I47" s="9"/>
      <c r="J47" s="9"/>
      <c r="K47" s="9"/>
      <c r="L47" s="9"/>
      <c r="M47" s="9"/>
      <c r="N47" s="9"/>
      <c r="O47" s="50"/>
      <c r="P47" s="9"/>
      <c r="Q47" s="9"/>
      <c r="R47" s="9"/>
      <c r="S47" s="9"/>
      <c r="T47" s="9"/>
      <c r="U47" s="9"/>
    </row>
    <row r="48" spans="1:21">
      <c r="A48" s="9"/>
      <c r="B48" s="9"/>
      <c r="C48" s="9"/>
      <c r="D48" s="9"/>
      <c r="E48" s="49"/>
      <c r="F48" s="49"/>
      <c r="G48" s="9"/>
      <c r="H48" s="49"/>
      <c r="I48" s="9"/>
      <c r="J48" s="9"/>
      <c r="K48" s="9"/>
      <c r="L48" s="9"/>
      <c r="M48" s="9"/>
      <c r="N48" s="9"/>
      <c r="O48" s="50"/>
      <c r="P48" s="9"/>
      <c r="Q48" s="9"/>
      <c r="R48" s="9"/>
      <c r="S48" s="9"/>
      <c r="T48" s="9"/>
      <c r="U48" s="9"/>
    </row>
    <row r="49" spans="1:21">
      <c r="A49" s="9"/>
      <c r="B49" s="9"/>
      <c r="C49" s="9"/>
      <c r="D49" s="9"/>
      <c r="E49" s="49"/>
      <c r="F49" s="49"/>
      <c r="G49" s="9"/>
      <c r="H49" s="49"/>
      <c r="I49" s="9"/>
      <c r="J49" s="9"/>
      <c r="K49" s="9"/>
      <c r="L49" s="9"/>
      <c r="M49" s="9"/>
      <c r="N49" s="9"/>
      <c r="O49" s="50"/>
      <c r="P49" s="9"/>
      <c r="Q49" s="9"/>
      <c r="R49" s="9"/>
      <c r="S49" s="9"/>
      <c r="T49" s="9"/>
      <c r="U49" s="9"/>
    </row>
    <row r="50" spans="1:21">
      <c r="A50" s="9"/>
      <c r="B50" s="9"/>
      <c r="C50" s="9"/>
      <c r="D50" s="9"/>
      <c r="E50" s="49"/>
      <c r="F50" s="49"/>
      <c r="G50" s="9"/>
      <c r="H50" s="49"/>
      <c r="I50" s="9"/>
      <c r="J50" s="9"/>
      <c r="K50" s="9"/>
      <c r="L50" s="9"/>
      <c r="M50" s="9"/>
      <c r="N50" s="9"/>
      <c r="O50" s="50"/>
      <c r="P50" s="9"/>
      <c r="Q50" s="9"/>
      <c r="R50" s="9"/>
      <c r="S50" s="9"/>
      <c r="T50" s="9"/>
      <c r="U50" s="9"/>
    </row>
    <row r="51" spans="1:21">
      <c r="A51" s="9"/>
      <c r="B51" s="9"/>
      <c r="C51" s="9"/>
      <c r="D51" s="9"/>
      <c r="E51" s="49"/>
      <c r="F51" s="49"/>
      <c r="G51" s="9"/>
      <c r="H51" s="49"/>
      <c r="I51" s="9"/>
      <c r="J51" s="9"/>
      <c r="K51" s="9"/>
      <c r="L51" s="9"/>
      <c r="M51" s="9"/>
      <c r="N51" s="9"/>
      <c r="O51" s="50"/>
      <c r="P51" s="9"/>
      <c r="Q51" s="9"/>
      <c r="R51" s="9"/>
      <c r="S51" s="9"/>
      <c r="T51" s="9"/>
      <c r="U51" s="9"/>
    </row>
    <row r="52" spans="1:21">
      <c r="A52" s="9"/>
      <c r="B52" s="9"/>
      <c r="C52" s="9"/>
      <c r="D52" s="9"/>
      <c r="E52" s="49"/>
      <c r="F52" s="49"/>
      <c r="G52" s="9"/>
      <c r="H52" s="49"/>
      <c r="I52" s="9"/>
      <c r="J52" s="9"/>
      <c r="K52" s="9"/>
      <c r="L52" s="9"/>
      <c r="M52" s="9"/>
      <c r="N52" s="9"/>
      <c r="O52" s="50"/>
      <c r="P52" s="9"/>
      <c r="Q52" s="9"/>
      <c r="R52" s="9"/>
      <c r="S52" s="9"/>
      <c r="T52" s="9"/>
      <c r="U52" s="9"/>
    </row>
    <row r="53" spans="1:21">
      <c r="A53" s="9"/>
      <c r="B53" s="9"/>
      <c r="C53" s="9"/>
      <c r="D53" s="9"/>
      <c r="E53" s="49"/>
      <c r="F53" s="49"/>
      <c r="G53" s="9"/>
      <c r="H53" s="49"/>
      <c r="I53" s="9"/>
      <c r="J53" s="9"/>
      <c r="K53" s="9"/>
      <c r="L53" s="9"/>
      <c r="M53" s="9"/>
      <c r="N53" s="9"/>
      <c r="O53" s="50"/>
      <c r="P53" s="9"/>
      <c r="Q53" s="9"/>
      <c r="R53" s="9"/>
      <c r="S53" s="9"/>
      <c r="T53" s="9"/>
      <c r="U53" s="9"/>
    </row>
    <row r="54" spans="1:21">
      <c r="A54" s="9"/>
      <c r="B54" s="9"/>
      <c r="C54" s="9"/>
      <c r="D54" s="9"/>
      <c r="E54" s="49"/>
      <c r="F54" s="49"/>
      <c r="G54" s="9"/>
      <c r="H54" s="49"/>
      <c r="I54" s="9"/>
      <c r="J54" s="9"/>
      <c r="K54" s="9"/>
      <c r="L54" s="9"/>
      <c r="M54" s="9"/>
      <c r="N54" s="9"/>
      <c r="O54" s="50"/>
      <c r="P54" s="9"/>
      <c r="Q54" s="9"/>
      <c r="R54" s="9"/>
      <c r="S54" s="9"/>
      <c r="T54" s="9"/>
      <c r="U54" s="9"/>
    </row>
    <row r="55" spans="1:21">
      <c r="A55" s="9"/>
      <c r="B55" s="9"/>
      <c r="C55" s="9"/>
      <c r="D55" s="9"/>
      <c r="E55" s="49"/>
      <c r="F55" s="49"/>
      <c r="G55" s="9"/>
      <c r="H55" s="49"/>
      <c r="I55" s="9"/>
      <c r="J55" s="9"/>
      <c r="K55" s="9"/>
      <c r="L55" s="9"/>
      <c r="M55" s="9"/>
      <c r="N55" s="9"/>
      <c r="O55" s="50"/>
      <c r="P55" s="9"/>
      <c r="Q55" s="9"/>
      <c r="R55" s="9"/>
      <c r="S55" s="9"/>
      <c r="T55" s="9"/>
      <c r="U55" s="9"/>
    </row>
    <row r="56" spans="1:21">
      <c r="A56" s="9"/>
      <c r="B56" s="9"/>
      <c r="C56" s="9"/>
      <c r="D56" s="9"/>
      <c r="E56" s="49"/>
      <c r="F56" s="49"/>
      <c r="G56" s="9"/>
      <c r="H56" s="49"/>
      <c r="I56" s="9"/>
      <c r="J56" s="9"/>
      <c r="K56" s="9"/>
      <c r="L56" s="9"/>
      <c r="M56" s="9"/>
      <c r="N56" s="9"/>
      <c r="O56" s="50"/>
      <c r="P56" s="9"/>
      <c r="Q56" s="9"/>
      <c r="R56" s="9"/>
      <c r="S56" s="9"/>
      <c r="T56" s="9"/>
      <c r="U56" s="9"/>
    </row>
    <row r="57" spans="1:21">
      <c r="A57" s="9"/>
      <c r="B57" s="9"/>
      <c r="C57" s="9"/>
      <c r="D57" s="9"/>
      <c r="E57" s="49"/>
      <c r="F57" s="49"/>
      <c r="G57" s="9"/>
      <c r="H57" s="49"/>
      <c r="I57" s="9"/>
      <c r="J57" s="9"/>
      <c r="K57" s="9"/>
      <c r="L57" s="9"/>
      <c r="M57" s="9"/>
      <c r="N57" s="9"/>
      <c r="O57" s="50"/>
      <c r="P57" s="9"/>
      <c r="Q57" s="9"/>
      <c r="R57" s="9"/>
      <c r="S57" s="9"/>
      <c r="T57" s="9"/>
      <c r="U57" s="9"/>
    </row>
    <row r="58" spans="1:21">
      <c r="A58" s="9"/>
      <c r="B58" s="9"/>
      <c r="C58" s="9"/>
      <c r="D58" s="9"/>
      <c r="E58" s="49"/>
      <c r="F58" s="49"/>
      <c r="G58" s="9"/>
      <c r="H58" s="49"/>
      <c r="I58" s="9"/>
      <c r="J58" s="9"/>
      <c r="K58" s="9"/>
      <c r="L58" s="9"/>
      <c r="M58" s="9"/>
      <c r="N58" s="9"/>
      <c r="O58" s="50"/>
      <c r="P58" s="9"/>
      <c r="Q58" s="9"/>
      <c r="R58" s="9"/>
      <c r="S58" s="9"/>
      <c r="T58" s="9"/>
      <c r="U58" s="9"/>
    </row>
    <row r="59" spans="1:21">
      <c r="A59" s="9"/>
      <c r="B59" s="9"/>
      <c r="C59" s="9"/>
      <c r="D59" s="9"/>
      <c r="E59" s="49"/>
      <c r="F59" s="49"/>
      <c r="G59" s="9"/>
      <c r="H59" s="49"/>
      <c r="I59" s="9"/>
      <c r="J59" s="9"/>
      <c r="K59" s="9"/>
      <c r="L59" s="9"/>
      <c r="M59" s="9"/>
      <c r="N59" s="9"/>
      <c r="O59" s="50"/>
      <c r="P59" s="9"/>
      <c r="Q59" s="9"/>
      <c r="R59" s="9"/>
      <c r="S59" s="9"/>
      <c r="T59" s="9"/>
      <c r="U59" s="9"/>
    </row>
    <row r="60" spans="1:21">
      <c r="A60" s="9"/>
      <c r="B60" s="9"/>
      <c r="C60" s="9"/>
      <c r="D60" s="9"/>
      <c r="E60" s="49"/>
      <c r="F60" s="49"/>
      <c r="G60" s="9"/>
      <c r="H60" s="49"/>
      <c r="I60" s="9"/>
      <c r="J60" s="9"/>
      <c r="K60" s="9"/>
      <c r="L60" s="9"/>
      <c r="M60" s="9"/>
      <c r="N60" s="9"/>
      <c r="O60" s="50"/>
      <c r="P60" s="9"/>
      <c r="Q60" s="9"/>
      <c r="R60" s="9"/>
      <c r="S60" s="9"/>
      <c r="T60" s="9"/>
      <c r="U60" s="9"/>
    </row>
    <row r="61" spans="1:21">
      <c r="A61" s="9"/>
      <c r="B61" s="9"/>
      <c r="C61" s="9"/>
      <c r="D61" s="9"/>
      <c r="E61" s="49"/>
      <c r="F61" s="49"/>
      <c r="G61" s="9"/>
      <c r="H61" s="49"/>
      <c r="I61" s="9"/>
      <c r="J61" s="9"/>
      <c r="K61" s="9"/>
      <c r="L61" s="9"/>
      <c r="M61" s="9"/>
      <c r="N61" s="9"/>
      <c r="O61" s="50"/>
      <c r="P61" s="9"/>
      <c r="Q61" s="9"/>
      <c r="R61" s="9"/>
      <c r="S61" s="9"/>
      <c r="T61" s="9"/>
      <c r="U61" s="9"/>
    </row>
    <row r="62" spans="1:21">
      <c r="A62" s="9"/>
      <c r="B62" s="9"/>
      <c r="C62" s="9"/>
      <c r="D62" s="9"/>
      <c r="E62" s="49"/>
      <c r="F62" s="49"/>
      <c r="G62" s="9"/>
      <c r="H62" s="49"/>
      <c r="I62" s="9"/>
      <c r="J62" s="9"/>
      <c r="K62" s="9"/>
      <c r="L62" s="9"/>
      <c r="M62" s="9"/>
      <c r="N62" s="9"/>
      <c r="O62" s="50"/>
      <c r="P62" s="9"/>
      <c r="Q62" s="9"/>
      <c r="R62" s="9"/>
      <c r="S62" s="9"/>
      <c r="T62" s="9"/>
      <c r="U62" s="9"/>
    </row>
    <row r="63" spans="1:21">
      <c r="A63" s="9"/>
      <c r="B63" s="9"/>
      <c r="C63" s="9"/>
      <c r="D63" s="9"/>
      <c r="E63" s="49"/>
      <c r="F63" s="49"/>
      <c r="G63" s="9"/>
      <c r="H63" s="49"/>
      <c r="I63" s="9"/>
      <c r="J63" s="9"/>
      <c r="K63" s="9"/>
      <c r="L63" s="9"/>
      <c r="M63" s="9"/>
      <c r="N63" s="9"/>
      <c r="O63" s="50"/>
      <c r="P63" s="9"/>
      <c r="Q63" s="9"/>
      <c r="R63" s="9"/>
      <c r="S63" s="9"/>
      <c r="T63" s="9"/>
      <c r="U63" s="9"/>
    </row>
    <row r="64" spans="1:21">
      <c r="A64" s="9"/>
      <c r="B64" s="9"/>
      <c r="C64" s="9"/>
      <c r="D64" s="9"/>
      <c r="E64" s="49"/>
      <c r="F64" s="49"/>
      <c r="G64" s="9"/>
      <c r="H64" s="49"/>
      <c r="I64" s="9"/>
      <c r="J64" s="9"/>
      <c r="K64" s="9"/>
      <c r="L64" s="9"/>
      <c r="M64" s="9"/>
      <c r="N64" s="9"/>
      <c r="O64" s="50"/>
      <c r="P64" s="9"/>
      <c r="Q64" s="9"/>
      <c r="R64" s="9"/>
      <c r="S64" s="9"/>
      <c r="T64" s="9"/>
      <c r="U64" s="9"/>
    </row>
    <row r="65" spans="1:21">
      <c r="A65" s="9"/>
      <c r="B65" s="9"/>
      <c r="C65" s="9"/>
      <c r="D65" s="9"/>
      <c r="E65" s="49"/>
      <c r="F65" s="49"/>
      <c r="G65" s="9"/>
      <c r="H65" s="49"/>
      <c r="I65" s="9"/>
      <c r="J65" s="9"/>
      <c r="K65" s="9"/>
      <c r="L65" s="9"/>
      <c r="M65" s="9"/>
      <c r="N65" s="9"/>
      <c r="O65" s="50"/>
      <c r="P65" s="9"/>
      <c r="Q65" s="9"/>
      <c r="R65" s="9"/>
      <c r="S65" s="9"/>
      <c r="T65" s="9"/>
      <c r="U65" s="9"/>
    </row>
    <row r="66" spans="1:21">
      <c r="A66" s="9"/>
      <c r="B66" s="9"/>
      <c r="C66" s="9"/>
      <c r="D66" s="9"/>
      <c r="E66" s="49"/>
      <c r="F66" s="49"/>
      <c r="G66" s="9"/>
      <c r="H66" s="49"/>
      <c r="I66" s="9"/>
      <c r="J66" s="9"/>
      <c r="K66" s="9"/>
      <c r="L66" s="9"/>
      <c r="M66" s="9"/>
      <c r="N66" s="9"/>
      <c r="O66" s="50"/>
      <c r="P66" s="9"/>
      <c r="Q66" s="9"/>
      <c r="R66" s="9"/>
      <c r="S66" s="9"/>
      <c r="T66" s="9"/>
      <c r="U66" s="9"/>
    </row>
    <row r="67" spans="1:21">
      <c r="A67" s="9"/>
      <c r="B67" s="9"/>
      <c r="C67" s="9"/>
      <c r="D67" s="9"/>
      <c r="E67" s="49"/>
      <c r="F67" s="49"/>
      <c r="G67" s="9"/>
      <c r="H67" s="49"/>
      <c r="I67" s="9"/>
      <c r="J67" s="9"/>
      <c r="K67" s="9"/>
      <c r="L67" s="9"/>
      <c r="M67" s="9"/>
      <c r="N67" s="9"/>
      <c r="O67" s="50"/>
      <c r="P67" s="9"/>
      <c r="Q67" s="9"/>
      <c r="R67" s="9"/>
      <c r="S67" s="9"/>
      <c r="T67" s="9"/>
      <c r="U67" s="9"/>
    </row>
    <row r="68" spans="1:21">
      <c r="A68" s="9"/>
      <c r="B68" s="9"/>
      <c r="C68" s="9"/>
      <c r="D68" s="9"/>
      <c r="E68" s="49"/>
      <c r="F68" s="49"/>
      <c r="G68" s="9"/>
      <c r="H68" s="49"/>
      <c r="I68" s="9"/>
      <c r="J68" s="9"/>
      <c r="K68" s="9"/>
      <c r="L68" s="9"/>
      <c r="M68" s="9"/>
      <c r="N68" s="9"/>
      <c r="O68" s="50"/>
      <c r="P68" s="9"/>
      <c r="Q68" s="9"/>
      <c r="R68" s="9"/>
      <c r="S68" s="9"/>
      <c r="T68" s="9"/>
      <c r="U68" s="9"/>
    </row>
    <row r="69" spans="1:21">
      <c r="A69" s="9"/>
      <c r="B69" s="9"/>
      <c r="C69" s="9"/>
      <c r="D69" s="9"/>
      <c r="E69" s="49"/>
      <c r="F69" s="49"/>
      <c r="G69" s="9"/>
      <c r="H69" s="49"/>
      <c r="I69" s="9"/>
      <c r="J69" s="9"/>
      <c r="K69" s="9"/>
      <c r="L69" s="9"/>
      <c r="M69" s="9"/>
      <c r="N69" s="9"/>
      <c r="O69" s="50"/>
      <c r="P69" s="9"/>
      <c r="Q69" s="9"/>
      <c r="R69" s="9"/>
      <c r="S69" s="9"/>
      <c r="T69" s="9"/>
      <c r="U69" s="9"/>
    </row>
    <row r="70" spans="1:21">
      <c r="A70" s="9"/>
      <c r="B70" s="9"/>
      <c r="C70" s="9"/>
      <c r="D70" s="9"/>
      <c r="E70" s="49"/>
      <c r="F70" s="49"/>
      <c r="G70" s="9"/>
      <c r="H70" s="49"/>
      <c r="I70" s="9"/>
      <c r="J70" s="9"/>
      <c r="K70" s="9"/>
      <c r="L70" s="9"/>
      <c r="M70" s="9"/>
      <c r="N70" s="9"/>
      <c r="O70" s="50"/>
      <c r="P70" s="9"/>
      <c r="Q70" s="9"/>
      <c r="R70" s="9"/>
      <c r="S70" s="9"/>
      <c r="T70" s="9"/>
      <c r="U70" s="9"/>
    </row>
    <row r="71" spans="1:21">
      <c r="A71" s="9"/>
      <c r="B71" s="9"/>
      <c r="C71" s="9"/>
      <c r="D71" s="9"/>
      <c r="E71" s="49"/>
      <c r="F71" s="49"/>
      <c r="G71" s="9"/>
      <c r="H71" s="49"/>
      <c r="I71" s="9"/>
      <c r="J71" s="9"/>
      <c r="K71" s="9"/>
      <c r="L71" s="9"/>
      <c r="M71" s="9"/>
      <c r="N71" s="9"/>
      <c r="O71" s="50"/>
      <c r="P71" s="9"/>
      <c r="Q71" s="9"/>
      <c r="R71" s="9"/>
      <c r="S71" s="9"/>
      <c r="T71" s="9"/>
      <c r="U71" s="9"/>
    </row>
    <row r="72" spans="1:21">
      <c r="A72" s="9"/>
      <c r="B72" s="9"/>
      <c r="C72" s="9"/>
      <c r="D72" s="9"/>
      <c r="E72" s="49"/>
      <c r="F72" s="49"/>
      <c r="G72" s="9"/>
      <c r="H72" s="49"/>
      <c r="I72" s="9"/>
      <c r="J72" s="9"/>
      <c r="K72" s="9"/>
      <c r="L72" s="9"/>
      <c r="M72" s="9"/>
      <c r="N72" s="9"/>
      <c r="O72" s="50"/>
      <c r="P72" s="9"/>
      <c r="Q72" s="9"/>
      <c r="R72" s="9"/>
      <c r="S72" s="9"/>
      <c r="T72" s="9"/>
      <c r="U72" s="9"/>
    </row>
    <row r="73" spans="1:21">
      <c r="A73" s="9"/>
      <c r="B73" s="9"/>
      <c r="C73" s="9"/>
      <c r="D73" s="9"/>
      <c r="E73" s="49"/>
      <c r="F73" s="49"/>
      <c r="G73" s="9"/>
      <c r="H73" s="49"/>
      <c r="I73" s="9"/>
      <c r="J73" s="9"/>
      <c r="K73" s="9"/>
      <c r="L73" s="9"/>
      <c r="M73" s="9"/>
      <c r="N73" s="9"/>
      <c r="O73" s="50"/>
      <c r="P73" s="9"/>
      <c r="Q73" s="9"/>
      <c r="R73" s="9"/>
      <c r="S73" s="9"/>
      <c r="T73" s="9"/>
      <c r="U73" s="9"/>
    </row>
    <row r="74" spans="1:21">
      <c r="A74" s="9"/>
      <c r="B74" s="9"/>
      <c r="C74" s="9"/>
      <c r="D74" s="9"/>
      <c r="E74" s="49"/>
      <c r="F74" s="49"/>
      <c r="G74" s="9"/>
      <c r="H74" s="49"/>
      <c r="I74" s="9"/>
      <c r="J74" s="9"/>
      <c r="K74" s="9"/>
      <c r="L74" s="9"/>
      <c r="M74" s="9"/>
      <c r="N74" s="9"/>
      <c r="O74" s="50"/>
      <c r="P74" s="9"/>
      <c r="Q74" s="9"/>
      <c r="R74" s="9"/>
      <c r="S74" s="9"/>
      <c r="T74" s="9"/>
      <c r="U74" s="9"/>
    </row>
    <row r="75" spans="1:21">
      <c r="A75" s="9"/>
      <c r="B75" s="9"/>
      <c r="C75" s="9"/>
      <c r="D75" s="9"/>
      <c r="E75" s="49"/>
      <c r="F75" s="49"/>
      <c r="G75" s="9"/>
      <c r="H75" s="49"/>
      <c r="I75" s="9"/>
      <c r="J75" s="9"/>
      <c r="K75" s="9"/>
      <c r="L75" s="9"/>
      <c r="M75" s="9"/>
      <c r="N75" s="9"/>
      <c r="O75" s="50"/>
      <c r="P75" s="9"/>
      <c r="Q75" s="9"/>
      <c r="R75" s="9"/>
      <c r="S75" s="9"/>
      <c r="T75" s="9"/>
      <c r="U75" s="9"/>
    </row>
    <row r="76" spans="1:21">
      <c r="A76" s="9"/>
      <c r="B76" s="9"/>
      <c r="C76" s="9"/>
      <c r="D76" s="9"/>
      <c r="E76" s="49"/>
      <c r="F76" s="49"/>
      <c r="G76" s="9"/>
      <c r="H76" s="49"/>
      <c r="I76" s="9"/>
      <c r="J76" s="9"/>
      <c r="K76" s="9"/>
      <c r="L76" s="9"/>
      <c r="M76" s="9"/>
      <c r="N76" s="9"/>
      <c r="O76" s="50"/>
      <c r="P76" s="9"/>
      <c r="Q76" s="9"/>
      <c r="R76" s="9"/>
      <c r="S76" s="9"/>
      <c r="T76" s="9"/>
      <c r="U76" s="9"/>
    </row>
    <row r="77" spans="1:21">
      <c r="A77" s="9"/>
      <c r="B77" s="9"/>
      <c r="C77" s="9"/>
      <c r="D77" s="9"/>
      <c r="E77" s="49"/>
      <c r="F77" s="49"/>
      <c r="G77" s="9"/>
      <c r="H77" s="49"/>
      <c r="I77" s="9"/>
      <c r="J77" s="9"/>
      <c r="K77" s="9"/>
      <c r="L77" s="9"/>
      <c r="M77" s="9"/>
      <c r="N77" s="9"/>
      <c r="O77" s="50"/>
      <c r="P77" s="9"/>
      <c r="Q77" s="9"/>
      <c r="R77" s="9"/>
      <c r="S77" s="9"/>
      <c r="T77" s="9"/>
      <c r="U77" s="9"/>
    </row>
    <row r="78" spans="1:21">
      <c r="A78" s="9"/>
      <c r="B78" s="9"/>
      <c r="C78" s="9"/>
      <c r="D78" s="9"/>
      <c r="E78" s="49"/>
      <c r="F78" s="49"/>
      <c r="G78" s="9"/>
      <c r="H78" s="49"/>
      <c r="I78" s="9"/>
      <c r="J78" s="9"/>
      <c r="K78" s="9"/>
      <c r="L78" s="9"/>
      <c r="M78" s="9"/>
      <c r="N78" s="9"/>
      <c r="O78" s="50"/>
      <c r="P78" s="9"/>
      <c r="Q78" s="9"/>
      <c r="R78" s="9"/>
      <c r="S78" s="9"/>
      <c r="T78" s="9"/>
      <c r="U78" s="9"/>
    </row>
    <row r="79" spans="1:21">
      <c r="A79" s="9"/>
      <c r="B79" s="9"/>
      <c r="C79" s="9"/>
      <c r="D79" s="9"/>
      <c r="E79" s="49"/>
      <c r="F79" s="49"/>
      <c r="G79" s="9"/>
      <c r="H79" s="49"/>
      <c r="I79" s="9"/>
      <c r="J79" s="9"/>
      <c r="K79" s="9"/>
      <c r="L79" s="9"/>
      <c r="M79" s="9"/>
      <c r="N79" s="9"/>
      <c r="O79" s="50"/>
      <c r="P79" s="9"/>
      <c r="Q79" s="9"/>
      <c r="R79" s="9"/>
      <c r="S79" s="9"/>
      <c r="T79" s="9"/>
      <c r="U79" s="9"/>
    </row>
    <row r="80" spans="1:21">
      <c r="A80" s="9"/>
      <c r="B80" s="9"/>
      <c r="C80" s="9"/>
      <c r="D80" s="9"/>
      <c r="E80" s="49"/>
      <c r="F80" s="49"/>
      <c r="G80" s="9"/>
      <c r="H80" s="49"/>
      <c r="I80" s="9"/>
      <c r="J80" s="9"/>
      <c r="K80" s="9"/>
      <c r="L80" s="9"/>
      <c r="M80" s="9"/>
      <c r="N80" s="9"/>
      <c r="O80" s="50"/>
      <c r="P80" s="9"/>
      <c r="Q80" s="9"/>
      <c r="R80" s="9"/>
      <c r="S80" s="9"/>
      <c r="T80" s="9"/>
      <c r="U80" s="9"/>
    </row>
    <row r="81" spans="1:21">
      <c r="A81" s="9"/>
      <c r="B81" s="9"/>
      <c r="C81" s="9"/>
      <c r="D81" s="9"/>
      <c r="E81" s="49"/>
      <c r="F81" s="49"/>
      <c r="G81" s="9"/>
      <c r="H81" s="49"/>
      <c r="I81" s="9"/>
      <c r="J81" s="9"/>
      <c r="K81" s="9"/>
      <c r="L81" s="9"/>
      <c r="M81" s="9"/>
      <c r="N81" s="9"/>
      <c r="O81" s="50"/>
      <c r="P81" s="9"/>
      <c r="Q81" s="9"/>
      <c r="R81" s="9"/>
      <c r="S81" s="9"/>
      <c r="T81" s="9"/>
      <c r="U81" s="9"/>
    </row>
    <row r="82" spans="1:21">
      <c r="A82" s="9"/>
      <c r="B82" s="9"/>
      <c r="C82" s="9"/>
      <c r="D82" s="9"/>
      <c r="E82" s="49"/>
      <c r="F82" s="49"/>
      <c r="G82" s="9"/>
      <c r="H82" s="49"/>
      <c r="I82" s="9"/>
      <c r="J82" s="9"/>
      <c r="K82" s="9"/>
      <c r="L82" s="9"/>
      <c r="M82" s="9"/>
      <c r="N82" s="9"/>
      <c r="O82" s="50"/>
      <c r="P82" s="9"/>
      <c r="Q82" s="9"/>
      <c r="R82" s="9"/>
      <c r="S82" s="9"/>
      <c r="T82" s="9"/>
      <c r="U82" s="9"/>
    </row>
    <row r="83" spans="1:21">
      <c r="A83" s="9"/>
      <c r="B83" s="9"/>
      <c r="C83" s="9"/>
      <c r="D83" s="9"/>
      <c r="E83" s="49"/>
      <c r="F83" s="49"/>
      <c r="G83" s="9"/>
      <c r="H83" s="49"/>
      <c r="I83" s="9"/>
      <c r="J83" s="9"/>
      <c r="K83" s="9"/>
      <c r="L83" s="9"/>
      <c r="M83" s="9"/>
      <c r="N83" s="9"/>
      <c r="O83" s="50"/>
      <c r="P83" s="9"/>
      <c r="Q83" s="9"/>
      <c r="R83" s="9"/>
      <c r="S83" s="9"/>
      <c r="T83" s="9"/>
      <c r="U83" s="9"/>
    </row>
    <row r="84" spans="1:21">
      <c r="A84" s="9"/>
      <c r="B84" s="9"/>
      <c r="C84" s="9"/>
      <c r="D84" s="9"/>
      <c r="E84" s="49"/>
      <c r="F84" s="49"/>
      <c r="G84" s="9"/>
      <c r="H84" s="49"/>
      <c r="I84" s="9"/>
      <c r="J84" s="9"/>
      <c r="K84" s="9"/>
      <c r="L84" s="9"/>
      <c r="M84" s="9"/>
      <c r="N84" s="9"/>
      <c r="O84" s="50"/>
      <c r="P84" s="9"/>
      <c r="Q84" s="9"/>
      <c r="R84" s="9"/>
      <c r="S84" s="9"/>
      <c r="T84" s="9"/>
      <c r="U84" s="9"/>
    </row>
    <row r="85" spans="1:21">
      <c r="A85" s="9"/>
      <c r="B85" s="9"/>
      <c r="C85" s="9"/>
      <c r="D85" s="9"/>
      <c r="E85" s="49"/>
      <c r="F85" s="49"/>
      <c r="G85" s="9"/>
      <c r="H85" s="49"/>
      <c r="I85" s="9"/>
      <c r="J85" s="9"/>
      <c r="K85" s="9"/>
      <c r="L85" s="9"/>
      <c r="M85" s="9"/>
      <c r="N85" s="9"/>
      <c r="O85" s="50"/>
      <c r="P85" s="9"/>
      <c r="Q85" s="9"/>
      <c r="R85" s="9"/>
      <c r="S85" s="9"/>
      <c r="T85" s="9"/>
      <c r="U85" s="9"/>
    </row>
    <row r="86" spans="1:21">
      <c r="A86" s="9"/>
      <c r="B86" s="9"/>
      <c r="C86" s="9"/>
      <c r="D86" s="9"/>
      <c r="E86" s="49"/>
      <c r="F86" s="49"/>
      <c r="G86" s="9"/>
      <c r="H86" s="49"/>
      <c r="I86" s="9"/>
      <c r="J86" s="9"/>
      <c r="K86" s="9"/>
      <c r="L86" s="9"/>
      <c r="M86" s="9"/>
      <c r="N86" s="9"/>
      <c r="O86" s="50"/>
      <c r="P86" s="9"/>
      <c r="Q86" s="9"/>
      <c r="R86" s="9"/>
      <c r="S86" s="9"/>
      <c r="T86" s="9"/>
      <c r="U86" s="9"/>
    </row>
    <row r="87" spans="1:21">
      <c r="A87" s="9"/>
      <c r="B87" s="9"/>
      <c r="C87" s="9"/>
      <c r="D87" s="9"/>
      <c r="E87" s="49"/>
      <c r="F87" s="49"/>
      <c r="G87" s="9"/>
      <c r="H87" s="49"/>
      <c r="I87" s="9"/>
      <c r="J87" s="9"/>
      <c r="K87" s="9"/>
      <c r="L87" s="9"/>
      <c r="M87" s="9"/>
      <c r="N87" s="9"/>
      <c r="O87" s="50"/>
      <c r="P87" s="9"/>
      <c r="Q87" s="9"/>
      <c r="R87" s="9"/>
      <c r="S87" s="9"/>
      <c r="T87" s="9"/>
      <c r="U87" s="9"/>
    </row>
    <row r="88" spans="1:21">
      <c r="A88" s="9"/>
      <c r="B88" s="9"/>
      <c r="C88" s="9"/>
      <c r="D88" s="9"/>
      <c r="E88" s="49"/>
      <c r="F88" s="49"/>
      <c r="G88" s="9"/>
      <c r="H88" s="49"/>
      <c r="I88" s="9"/>
      <c r="J88" s="9"/>
      <c r="K88" s="9"/>
      <c r="L88" s="9"/>
      <c r="M88" s="9"/>
      <c r="N88" s="9"/>
      <c r="O88" s="50"/>
      <c r="P88" s="9"/>
      <c r="Q88" s="9"/>
      <c r="R88" s="9"/>
      <c r="S88" s="9"/>
      <c r="T88" s="9"/>
      <c r="U88" s="9"/>
    </row>
    <row r="89" spans="1:21">
      <c r="A89" s="9"/>
      <c r="B89" s="9"/>
      <c r="C89" s="9"/>
      <c r="D89" s="9"/>
      <c r="E89" s="49"/>
      <c r="F89" s="49"/>
      <c r="G89" s="9"/>
      <c r="H89" s="49"/>
      <c r="I89" s="9"/>
      <c r="J89" s="9"/>
      <c r="K89" s="9"/>
      <c r="L89" s="9"/>
      <c r="M89" s="9"/>
      <c r="N89" s="9"/>
      <c r="O89" s="50"/>
      <c r="P89" s="9"/>
      <c r="Q89" s="9"/>
      <c r="R89" s="9"/>
      <c r="S89" s="9"/>
      <c r="T89" s="9"/>
      <c r="U89" s="9"/>
    </row>
    <row r="90" spans="1:21">
      <c r="A90" s="9"/>
      <c r="B90" s="9"/>
      <c r="C90" s="9"/>
      <c r="D90" s="9"/>
      <c r="E90" s="49"/>
      <c r="F90" s="49"/>
      <c r="G90" s="9"/>
      <c r="H90" s="49"/>
      <c r="I90" s="9"/>
      <c r="J90" s="9"/>
      <c r="K90" s="9"/>
      <c r="L90" s="9"/>
      <c r="M90" s="9"/>
      <c r="N90" s="9"/>
      <c r="O90" s="50"/>
      <c r="P90" s="9"/>
      <c r="Q90" s="9"/>
      <c r="R90" s="9"/>
      <c r="S90" s="9"/>
      <c r="T90" s="9"/>
      <c r="U90" s="9"/>
    </row>
    <row r="91" spans="1:21">
      <c r="A91" s="9"/>
      <c r="B91" s="9"/>
      <c r="C91" s="9"/>
      <c r="D91" s="9"/>
      <c r="E91" s="49"/>
      <c r="F91" s="49"/>
      <c r="G91" s="9"/>
      <c r="H91" s="49"/>
      <c r="I91" s="9"/>
      <c r="J91" s="9"/>
      <c r="K91" s="9"/>
      <c r="L91" s="9"/>
      <c r="M91" s="9"/>
      <c r="N91" s="9"/>
      <c r="O91" s="50"/>
      <c r="P91" s="9"/>
      <c r="Q91" s="9"/>
      <c r="R91" s="9"/>
      <c r="S91" s="9"/>
      <c r="T91" s="9"/>
      <c r="U91" s="9"/>
    </row>
    <row r="92" spans="1:21">
      <c r="A92" s="9"/>
      <c r="B92" s="9"/>
      <c r="C92" s="9"/>
      <c r="D92" s="9"/>
      <c r="E92" s="49"/>
      <c r="F92" s="49"/>
      <c r="G92" s="9"/>
      <c r="H92" s="49"/>
      <c r="I92" s="9"/>
      <c r="J92" s="9"/>
      <c r="K92" s="9"/>
      <c r="L92" s="9"/>
      <c r="M92" s="9"/>
      <c r="N92" s="9"/>
      <c r="O92" s="50"/>
      <c r="P92" s="9"/>
      <c r="Q92" s="9"/>
      <c r="R92" s="9"/>
      <c r="S92" s="9"/>
      <c r="T92" s="9"/>
      <c r="U92" s="9"/>
    </row>
    <row r="93" spans="1:21">
      <c r="A93" s="9"/>
      <c r="B93" s="9"/>
      <c r="C93" s="9"/>
      <c r="D93" s="9"/>
      <c r="E93" s="49"/>
      <c r="F93" s="49"/>
      <c r="G93" s="9"/>
      <c r="H93" s="49"/>
      <c r="I93" s="9"/>
      <c r="J93" s="9"/>
      <c r="K93" s="9"/>
      <c r="L93" s="9"/>
      <c r="M93" s="9"/>
      <c r="N93" s="9"/>
      <c r="O93" s="50"/>
      <c r="P93" s="9"/>
      <c r="Q93" s="9"/>
      <c r="R93" s="9"/>
      <c r="S93" s="9"/>
      <c r="T93" s="9"/>
      <c r="U93" s="9"/>
    </row>
    <row r="94" spans="1:21">
      <c r="A94" s="9"/>
      <c r="B94" s="9"/>
      <c r="C94" s="9"/>
      <c r="D94" s="9"/>
      <c r="E94" s="49"/>
      <c r="F94" s="49"/>
      <c r="G94" s="9"/>
      <c r="H94" s="49"/>
      <c r="I94" s="9"/>
      <c r="J94" s="9"/>
      <c r="K94" s="9"/>
      <c r="L94" s="9"/>
      <c r="M94" s="9"/>
      <c r="N94" s="9"/>
      <c r="O94" s="50"/>
      <c r="P94" s="9"/>
      <c r="Q94" s="9"/>
      <c r="R94" s="9"/>
      <c r="S94" s="9"/>
      <c r="T94" s="9"/>
      <c r="U94" s="9"/>
    </row>
    <row r="95" spans="1:21">
      <c r="A95" s="9"/>
      <c r="B95" s="9"/>
      <c r="C95" s="9"/>
      <c r="D95" s="9"/>
      <c r="E95" s="49"/>
      <c r="F95" s="49"/>
      <c r="G95" s="9"/>
      <c r="H95" s="49"/>
      <c r="I95" s="9"/>
      <c r="J95" s="9"/>
      <c r="K95" s="9"/>
      <c r="L95" s="9"/>
      <c r="M95" s="9"/>
      <c r="N95" s="9"/>
      <c r="O95" s="50"/>
      <c r="P95" s="9"/>
      <c r="Q95" s="9"/>
      <c r="R95" s="9"/>
      <c r="S95" s="9"/>
      <c r="T95" s="9"/>
      <c r="U95" s="9"/>
    </row>
    <row r="96" spans="1:21">
      <c r="A96" s="9"/>
      <c r="B96" s="9"/>
      <c r="C96" s="9"/>
      <c r="D96" s="9"/>
      <c r="E96" s="49"/>
      <c r="F96" s="49"/>
      <c r="G96" s="9"/>
      <c r="H96" s="49"/>
      <c r="I96" s="9"/>
      <c r="J96" s="9"/>
      <c r="K96" s="9"/>
      <c r="L96" s="9"/>
      <c r="M96" s="9"/>
      <c r="N96" s="9"/>
      <c r="O96" s="50"/>
      <c r="P96" s="9"/>
      <c r="Q96" s="9"/>
      <c r="R96" s="9"/>
      <c r="S96" s="9"/>
      <c r="T96" s="9"/>
      <c r="U96" s="9"/>
    </row>
    <row r="97" spans="1:21">
      <c r="A97" s="9"/>
      <c r="B97" s="9"/>
      <c r="C97" s="9"/>
      <c r="D97" s="9"/>
      <c r="E97" s="49"/>
      <c r="F97" s="49"/>
      <c r="G97" s="9"/>
      <c r="H97" s="49"/>
      <c r="I97" s="9"/>
      <c r="J97" s="9"/>
      <c r="K97" s="9"/>
      <c r="L97" s="9"/>
      <c r="M97" s="9"/>
      <c r="N97" s="9"/>
      <c r="O97" s="50"/>
      <c r="P97" s="9"/>
      <c r="Q97" s="9"/>
      <c r="R97" s="9"/>
      <c r="S97" s="9"/>
      <c r="T97" s="9"/>
      <c r="U97" s="9"/>
    </row>
    <row r="98" spans="1:21">
      <c r="A98" s="9"/>
      <c r="B98" s="9"/>
      <c r="C98" s="9"/>
      <c r="D98" s="9"/>
      <c r="E98" s="49"/>
      <c r="F98" s="49"/>
      <c r="G98" s="9"/>
      <c r="H98" s="49"/>
      <c r="I98" s="9"/>
      <c r="J98" s="9"/>
      <c r="K98" s="9"/>
      <c r="L98" s="9"/>
      <c r="M98" s="9"/>
      <c r="N98" s="9"/>
      <c r="O98" s="50"/>
      <c r="P98" s="9"/>
      <c r="Q98" s="9"/>
      <c r="R98" s="9"/>
      <c r="S98" s="9"/>
      <c r="T98" s="9"/>
      <c r="U98" s="9"/>
    </row>
    <row r="99" spans="1:21">
      <c r="A99" s="9"/>
      <c r="B99" s="9"/>
      <c r="C99" s="9"/>
      <c r="D99" s="9"/>
      <c r="E99" s="49"/>
      <c r="F99" s="49"/>
      <c r="G99" s="9"/>
      <c r="H99" s="49"/>
      <c r="I99" s="9"/>
      <c r="J99" s="9"/>
      <c r="K99" s="9"/>
      <c r="L99" s="9"/>
      <c r="M99" s="9"/>
      <c r="N99" s="9"/>
      <c r="O99" s="50"/>
      <c r="P99" s="9"/>
      <c r="Q99" s="9"/>
      <c r="R99" s="9"/>
      <c r="S99" s="9"/>
      <c r="T99" s="9"/>
      <c r="U99" s="9"/>
    </row>
    <row r="100" spans="1:21">
      <c r="A100" s="9"/>
      <c r="B100" s="9"/>
      <c r="C100" s="9"/>
      <c r="D100" s="9"/>
      <c r="E100" s="49"/>
      <c r="F100" s="49"/>
      <c r="G100" s="9"/>
      <c r="H100" s="49"/>
      <c r="I100" s="9"/>
      <c r="J100" s="9"/>
      <c r="K100" s="9"/>
      <c r="L100" s="9"/>
      <c r="M100" s="9"/>
      <c r="N100" s="9"/>
      <c r="O100" s="50"/>
      <c r="P100" s="9"/>
      <c r="Q100" s="9"/>
      <c r="R100" s="9"/>
      <c r="S100" s="9"/>
      <c r="T100" s="9"/>
      <c r="U100" s="9"/>
    </row>
    <row r="101" spans="1:21">
      <c r="A101" s="9"/>
      <c r="B101" s="9"/>
      <c r="C101" s="9"/>
      <c r="D101" s="9"/>
      <c r="E101" s="49"/>
      <c r="F101" s="49"/>
      <c r="G101" s="9"/>
      <c r="H101" s="49"/>
      <c r="I101" s="9"/>
      <c r="J101" s="9"/>
      <c r="K101" s="9"/>
      <c r="L101" s="9"/>
      <c r="M101" s="9"/>
      <c r="N101" s="9"/>
      <c r="O101" s="50"/>
      <c r="P101" s="9"/>
      <c r="Q101" s="9"/>
      <c r="R101" s="9"/>
      <c r="S101" s="9"/>
      <c r="T101" s="9"/>
      <c r="U101" s="9"/>
    </row>
    <row r="102" spans="1:21">
      <c r="A102" s="9"/>
      <c r="B102" s="9"/>
      <c r="C102" s="9"/>
      <c r="D102" s="9"/>
      <c r="E102" s="49"/>
      <c r="F102" s="49"/>
      <c r="G102" s="9"/>
      <c r="H102" s="49"/>
      <c r="I102" s="9"/>
      <c r="J102" s="9"/>
      <c r="K102" s="9"/>
      <c r="L102" s="9"/>
      <c r="M102" s="9"/>
      <c r="N102" s="9"/>
      <c r="O102" s="50"/>
      <c r="P102" s="9"/>
      <c r="Q102" s="9"/>
      <c r="R102" s="9"/>
      <c r="S102" s="9"/>
      <c r="T102" s="9"/>
      <c r="U102" s="9"/>
    </row>
    <row r="103" spans="1:21">
      <c r="A103" s="9"/>
      <c r="B103" s="9"/>
      <c r="C103" s="9"/>
      <c r="D103" s="9"/>
      <c r="E103" s="49"/>
      <c r="F103" s="49"/>
      <c r="G103" s="9"/>
      <c r="H103" s="49"/>
      <c r="I103" s="9"/>
      <c r="J103" s="9"/>
      <c r="K103" s="9"/>
      <c r="L103" s="9"/>
      <c r="M103" s="9"/>
      <c r="N103" s="9"/>
      <c r="O103" s="50"/>
      <c r="P103" s="9"/>
      <c r="Q103" s="9"/>
      <c r="R103" s="9"/>
      <c r="S103" s="9"/>
      <c r="T103" s="9"/>
      <c r="U103" s="9"/>
    </row>
    <row r="104" spans="1:21">
      <c r="A104" s="9"/>
      <c r="B104" s="9"/>
      <c r="C104" s="9"/>
      <c r="D104" s="9"/>
      <c r="E104" s="49"/>
      <c r="F104" s="49"/>
      <c r="G104" s="9"/>
      <c r="H104" s="49"/>
      <c r="I104" s="9"/>
      <c r="J104" s="9"/>
      <c r="K104" s="9"/>
      <c r="L104" s="9"/>
      <c r="M104" s="9"/>
      <c r="N104" s="9"/>
      <c r="O104" s="50"/>
      <c r="P104" s="9"/>
      <c r="Q104" s="9"/>
      <c r="R104" s="9"/>
      <c r="S104" s="9"/>
      <c r="T104" s="9"/>
      <c r="U104" s="9"/>
    </row>
    <row r="105" spans="1:21">
      <c r="A105" s="9"/>
      <c r="B105" s="9"/>
      <c r="C105" s="9"/>
      <c r="D105" s="9"/>
      <c r="E105" s="49"/>
      <c r="F105" s="49"/>
      <c r="G105" s="9"/>
      <c r="H105" s="49"/>
      <c r="I105" s="9"/>
      <c r="J105" s="9"/>
      <c r="K105" s="9"/>
      <c r="L105" s="9"/>
      <c r="M105" s="9"/>
      <c r="N105" s="9"/>
      <c r="O105" s="50"/>
      <c r="P105" s="9"/>
      <c r="Q105" s="9"/>
      <c r="R105" s="9"/>
      <c r="S105" s="9"/>
      <c r="T105" s="9"/>
      <c r="U105" s="9"/>
    </row>
    <row r="106" spans="1:21">
      <c r="A106" s="9"/>
      <c r="B106" s="9"/>
      <c r="C106" s="9"/>
      <c r="D106" s="9"/>
      <c r="E106" s="49"/>
      <c r="F106" s="49"/>
      <c r="G106" s="9"/>
      <c r="H106" s="49"/>
      <c r="I106" s="9"/>
      <c r="J106" s="9"/>
      <c r="K106" s="9"/>
      <c r="L106" s="9"/>
      <c r="M106" s="9"/>
      <c r="N106" s="9"/>
      <c r="O106" s="50"/>
      <c r="P106" s="9"/>
      <c r="Q106" s="9"/>
      <c r="R106" s="9"/>
      <c r="S106" s="9"/>
      <c r="T106" s="9"/>
      <c r="U106" s="9"/>
    </row>
    <row r="107" spans="1:21">
      <c r="A107" s="9"/>
      <c r="B107" s="9"/>
      <c r="C107" s="9"/>
      <c r="D107" s="9"/>
      <c r="E107" s="49"/>
      <c r="F107" s="49"/>
      <c r="G107" s="9"/>
      <c r="H107" s="49"/>
      <c r="I107" s="9"/>
      <c r="J107" s="9"/>
      <c r="K107" s="9"/>
      <c r="L107" s="9"/>
      <c r="M107" s="9"/>
      <c r="N107" s="9"/>
      <c r="O107" s="50"/>
      <c r="P107" s="9"/>
      <c r="Q107" s="9"/>
      <c r="R107" s="9"/>
      <c r="S107" s="9"/>
      <c r="T107" s="9"/>
      <c r="U107" s="9"/>
    </row>
    <row r="108" spans="1:21">
      <c r="A108" s="9"/>
      <c r="B108" s="9"/>
      <c r="C108" s="9"/>
      <c r="D108" s="9"/>
      <c r="E108" s="49"/>
      <c r="F108" s="49"/>
      <c r="G108" s="9"/>
      <c r="H108" s="49"/>
      <c r="I108" s="9"/>
      <c r="J108" s="9"/>
      <c r="K108" s="9"/>
      <c r="L108" s="9"/>
      <c r="M108" s="9"/>
      <c r="N108" s="9"/>
      <c r="O108" s="50"/>
      <c r="P108" s="9"/>
      <c r="Q108" s="9"/>
      <c r="R108" s="9"/>
      <c r="S108" s="9"/>
      <c r="T108" s="9"/>
      <c r="U108" s="9"/>
    </row>
    <row r="109" spans="1:21">
      <c r="A109" s="9"/>
      <c r="B109" s="9"/>
      <c r="C109" s="9"/>
      <c r="D109" s="9"/>
      <c r="E109" s="49"/>
      <c r="F109" s="49"/>
      <c r="G109" s="9"/>
      <c r="H109" s="49"/>
      <c r="I109" s="9"/>
      <c r="J109" s="9"/>
      <c r="K109" s="9"/>
      <c r="L109" s="9"/>
      <c r="M109" s="9"/>
      <c r="N109" s="9"/>
      <c r="O109" s="50"/>
      <c r="P109" s="9"/>
      <c r="Q109" s="9"/>
      <c r="R109" s="9"/>
      <c r="S109" s="9"/>
      <c r="T109" s="9"/>
      <c r="U109" s="9"/>
    </row>
    <row r="110" spans="1:21">
      <c r="A110" s="9"/>
      <c r="B110" s="9"/>
      <c r="C110" s="9"/>
      <c r="D110" s="9"/>
      <c r="E110" s="49"/>
      <c r="F110" s="49"/>
      <c r="G110" s="9"/>
      <c r="H110" s="49"/>
      <c r="I110" s="9"/>
      <c r="J110" s="9"/>
      <c r="K110" s="9"/>
      <c r="L110" s="9"/>
      <c r="M110" s="9"/>
      <c r="N110" s="9"/>
      <c r="O110" s="50"/>
      <c r="P110" s="9"/>
      <c r="Q110" s="9"/>
      <c r="R110" s="9"/>
      <c r="S110" s="9"/>
      <c r="T110" s="9"/>
      <c r="U110" s="9"/>
    </row>
    <row r="111" spans="1:21">
      <c r="A111" s="9"/>
      <c r="B111" s="9"/>
      <c r="C111" s="9"/>
      <c r="D111" s="9"/>
      <c r="E111" s="49"/>
      <c r="F111" s="49"/>
      <c r="G111" s="9"/>
      <c r="H111" s="49"/>
      <c r="I111" s="9"/>
      <c r="J111" s="9"/>
      <c r="K111" s="9"/>
      <c r="L111" s="9"/>
      <c r="M111" s="9"/>
      <c r="N111" s="9"/>
      <c r="O111" s="50"/>
      <c r="P111" s="9"/>
      <c r="Q111" s="9"/>
      <c r="R111" s="9"/>
      <c r="S111" s="9"/>
      <c r="T111" s="9"/>
      <c r="U111" s="9"/>
    </row>
    <row r="112" spans="1:21">
      <c r="A112" s="9"/>
      <c r="B112" s="9"/>
      <c r="C112" s="9"/>
      <c r="D112" s="9"/>
      <c r="E112" s="49"/>
      <c r="F112" s="49"/>
      <c r="G112" s="9"/>
      <c r="H112" s="49"/>
      <c r="I112" s="9"/>
      <c r="J112" s="9"/>
      <c r="K112" s="9"/>
      <c r="L112" s="9"/>
      <c r="M112" s="9"/>
      <c r="N112" s="9"/>
      <c r="O112" s="50"/>
      <c r="P112" s="9"/>
      <c r="Q112" s="9"/>
      <c r="R112" s="9"/>
      <c r="S112" s="9"/>
      <c r="T112" s="9"/>
      <c r="U112" s="9"/>
    </row>
    <row r="113" spans="1:21">
      <c r="A113" s="9"/>
      <c r="B113" s="9"/>
      <c r="C113" s="9"/>
      <c r="D113" s="9"/>
      <c r="E113" s="49"/>
      <c r="F113" s="49"/>
      <c r="G113" s="9"/>
      <c r="H113" s="49"/>
      <c r="I113" s="9"/>
      <c r="J113" s="9"/>
      <c r="K113" s="9"/>
      <c r="L113" s="9"/>
      <c r="M113" s="9"/>
      <c r="N113" s="9"/>
      <c r="O113" s="50"/>
      <c r="P113" s="9"/>
      <c r="Q113" s="9"/>
      <c r="R113" s="9"/>
      <c r="S113" s="9"/>
      <c r="T113" s="9"/>
      <c r="U113" s="9"/>
    </row>
    <row r="114" spans="1:21">
      <c r="A114" s="9"/>
      <c r="B114" s="9"/>
      <c r="C114" s="9"/>
      <c r="D114" s="9"/>
      <c r="E114" s="49"/>
      <c r="F114" s="49"/>
      <c r="G114" s="9"/>
      <c r="H114" s="49"/>
      <c r="I114" s="9"/>
      <c r="J114" s="9"/>
      <c r="K114" s="9"/>
      <c r="L114" s="9"/>
      <c r="M114" s="9"/>
      <c r="N114" s="9"/>
      <c r="O114" s="50"/>
      <c r="P114" s="9"/>
      <c r="Q114" s="9"/>
      <c r="R114" s="9"/>
      <c r="S114" s="9"/>
      <c r="T114" s="9"/>
      <c r="U114" s="9"/>
    </row>
    <row r="115" spans="1:21">
      <c r="A115" s="9"/>
      <c r="B115" s="9"/>
      <c r="C115" s="9"/>
      <c r="D115" s="9"/>
      <c r="E115" s="49"/>
      <c r="F115" s="49"/>
      <c r="G115" s="9"/>
      <c r="H115" s="49"/>
      <c r="I115" s="9"/>
      <c r="J115" s="9"/>
      <c r="K115" s="9"/>
      <c r="L115" s="9"/>
      <c r="M115" s="9"/>
      <c r="N115" s="9"/>
      <c r="O115" s="50"/>
      <c r="P115" s="9"/>
      <c r="Q115" s="9"/>
      <c r="R115" s="9"/>
      <c r="S115" s="9"/>
      <c r="T115" s="9"/>
      <c r="U115" s="9"/>
    </row>
    <row r="116" spans="1:21">
      <c r="A116" s="9"/>
      <c r="B116" s="9"/>
      <c r="C116" s="9"/>
      <c r="D116" s="9"/>
      <c r="E116" s="49"/>
      <c r="F116" s="49"/>
      <c r="G116" s="9"/>
      <c r="H116" s="49"/>
      <c r="I116" s="9"/>
      <c r="J116" s="9"/>
      <c r="K116" s="9"/>
      <c r="L116" s="9"/>
      <c r="M116" s="9"/>
      <c r="N116" s="9"/>
      <c r="O116" s="50"/>
      <c r="P116" s="9"/>
      <c r="Q116" s="9"/>
      <c r="R116" s="9"/>
      <c r="S116" s="9"/>
      <c r="T116" s="9"/>
      <c r="U116" s="9"/>
    </row>
    <row r="117" spans="1:21">
      <c r="A117" s="9"/>
      <c r="B117" s="9"/>
      <c r="C117" s="9"/>
      <c r="D117" s="9"/>
      <c r="E117" s="49"/>
      <c r="F117" s="49"/>
      <c r="G117" s="9"/>
      <c r="H117" s="49"/>
      <c r="I117" s="9"/>
      <c r="J117" s="9"/>
      <c r="K117" s="9"/>
      <c r="L117" s="9"/>
      <c r="M117" s="9"/>
      <c r="N117" s="9"/>
      <c r="O117" s="50"/>
      <c r="P117" s="9"/>
      <c r="Q117" s="9"/>
      <c r="R117" s="9"/>
      <c r="S117" s="9"/>
      <c r="T117" s="9"/>
      <c r="U117" s="9"/>
    </row>
    <row r="118" spans="1:21">
      <c r="A118" s="9"/>
      <c r="B118" s="9"/>
      <c r="C118" s="9"/>
      <c r="D118" s="9"/>
      <c r="E118" s="49"/>
      <c r="F118" s="49"/>
      <c r="G118" s="9"/>
      <c r="H118" s="49"/>
      <c r="I118" s="9"/>
      <c r="J118" s="9"/>
      <c r="K118" s="9"/>
      <c r="L118" s="9"/>
      <c r="M118" s="9"/>
      <c r="N118" s="9"/>
      <c r="O118" s="50"/>
      <c r="P118" s="9"/>
      <c r="Q118" s="9"/>
      <c r="R118" s="9"/>
      <c r="S118" s="9"/>
      <c r="T118" s="9"/>
      <c r="U118" s="9"/>
    </row>
    <row r="119" spans="1:21">
      <c r="A119" s="9"/>
      <c r="B119" s="9"/>
      <c r="C119" s="9"/>
      <c r="D119" s="9"/>
      <c r="E119" s="49"/>
      <c r="F119" s="49"/>
      <c r="G119" s="9"/>
      <c r="H119" s="49"/>
      <c r="I119" s="9"/>
      <c r="J119" s="9"/>
      <c r="K119" s="9"/>
      <c r="L119" s="9"/>
      <c r="M119" s="9"/>
      <c r="N119" s="9"/>
      <c r="O119" s="50"/>
      <c r="P119" s="9"/>
      <c r="Q119" s="9"/>
      <c r="R119" s="9"/>
      <c r="S119" s="9"/>
      <c r="T119" s="9"/>
      <c r="U119" s="9"/>
    </row>
    <row r="120" spans="1:21">
      <c r="A120" s="9"/>
      <c r="B120" s="9"/>
      <c r="C120" s="9"/>
      <c r="D120" s="9"/>
      <c r="E120" s="49"/>
      <c r="F120" s="49"/>
      <c r="G120" s="9"/>
      <c r="H120" s="49"/>
      <c r="I120" s="9"/>
      <c r="J120" s="9"/>
      <c r="K120" s="9"/>
      <c r="L120" s="9"/>
      <c r="M120" s="9"/>
      <c r="N120" s="9"/>
      <c r="O120" s="50"/>
      <c r="P120" s="9"/>
      <c r="Q120" s="9"/>
      <c r="R120" s="9"/>
      <c r="S120" s="9"/>
      <c r="T120" s="9"/>
      <c r="U120" s="9"/>
    </row>
    <row r="121" spans="1:21">
      <c r="A121" s="9"/>
      <c r="B121" s="9"/>
      <c r="C121" s="9"/>
      <c r="D121" s="9"/>
      <c r="E121" s="49"/>
      <c r="F121" s="49"/>
      <c r="G121" s="9"/>
      <c r="H121" s="49"/>
      <c r="I121" s="9"/>
      <c r="J121" s="9"/>
      <c r="K121" s="9"/>
      <c r="L121" s="9"/>
      <c r="M121" s="9"/>
      <c r="N121" s="9"/>
      <c r="O121" s="50"/>
      <c r="P121" s="9"/>
      <c r="Q121" s="9"/>
      <c r="R121" s="9"/>
      <c r="S121" s="9"/>
      <c r="T121" s="9"/>
      <c r="U121" s="9"/>
    </row>
    <row r="122" spans="1:21">
      <c r="A122" s="9"/>
      <c r="B122" s="9"/>
      <c r="C122" s="9"/>
      <c r="D122" s="9"/>
      <c r="E122" s="49"/>
      <c r="F122" s="49"/>
      <c r="G122" s="9"/>
      <c r="H122" s="49"/>
      <c r="I122" s="9"/>
      <c r="J122" s="9"/>
      <c r="K122" s="9"/>
      <c r="L122" s="9"/>
      <c r="M122" s="9"/>
      <c r="N122" s="9"/>
      <c r="O122" s="50"/>
      <c r="P122" s="9"/>
      <c r="Q122" s="9"/>
      <c r="R122" s="9"/>
      <c r="S122" s="9"/>
      <c r="T122" s="9"/>
      <c r="U122" s="9"/>
    </row>
    <row r="123" spans="1:21">
      <c r="A123" s="9"/>
      <c r="B123" s="9"/>
      <c r="C123" s="9"/>
      <c r="D123" s="9"/>
      <c r="E123" s="49"/>
      <c r="F123" s="49"/>
      <c r="G123" s="9"/>
      <c r="H123" s="49"/>
      <c r="I123" s="9"/>
      <c r="J123" s="9"/>
      <c r="K123" s="9"/>
      <c r="L123" s="9"/>
      <c r="M123" s="9"/>
      <c r="N123" s="9"/>
      <c r="O123" s="50"/>
      <c r="P123" s="9"/>
      <c r="Q123" s="9"/>
      <c r="R123" s="9"/>
      <c r="S123" s="9"/>
      <c r="T123" s="9"/>
      <c r="U123" s="9"/>
    </row>
    <row r="124" spans="1:21">
      <c r="A124" s="9"/>
      <c r="B124" s="9"/>
      <c r="C124" s="9"/>
      <c r="D124" s="9"/>
      <c r="E124" s="49"/>
      <c r="F124" s="49"/>
      <c r="G124" s="9"/>
      <c r="H124" s="49"/>
      <c r="I124" s="9"/>
      <c r="J124" s="9"/>
      <c r="K124" s="9"/>
      <c r="L124" s="9"/>
      <c r="M124" s="9"/>
      <c r="N124" s="9"/>
      <c r="O124" s="50"/>
      <c r="P124" s="9"/>
      <c r="Q124" s="9"/>
      <c r="R124" s="9"/>
      <c r="S124" s="9"/>
      <c r="T124" s="9"/>
      <c r="U124" s="9"/>
    </row>
    <row r="125" spans="1:21">
      <c r="A125" s="9"/>
      <c r="B125" s="9"/>
      <c r="C125" s="9"/>
      <c r="D125" s="9"/>
      <c r="E125" s="49"/>
      <c r="F125" s="49"/>
      <c r="G125" s="9"/>
      <c r="H125" s="49"/>
      <c r="I125" s="9"/>
      <c r="J125" s="9"/>
      <c r="K125" s="9"/>
      <c r="L125" s="9"/>
      <c r="M125" s="9"/>
      <c r="N125" s="9"/>
      <c r="O125" s="50"/>
      <c r="P125" s="9"/>
      <c r="Q125" s="9"/>
      <c r="R125" s="9"/>
      <c r="S125" s="9"/>
      <c r="T125" s="9"/>
      <c r="U125" s="9"/>
    </row>
    <row r="126" spans="1:21">
      <c r="A126" s="9"/>
      <c r="B126" s="9"/>
      <c r="C126" s="9"/>
      <c r="D126" s="9"/>
      <c r="E126" s="49"/>
      <c r="F126" s="49"/>
      <c r="G126" s="9"/>
      <c r="H126" s="49"/>
      <c r="I126" s="9"/>
      <c r="J126" s="9"/>
      <c r="K126" s="9"/>
      <c r="L126" s="9"/>
      <c r="M126" s="9"/>
      <c r="N126" s="9"/>
      <c r="O126" s="50"/>
      <c r="P126" s="9"/>
      <c r="Q126" s="9"/>
      <c r="R126" s="9"/>
      <c r="S126" s="9"/>
      <c r="T126" s="9"/>
      <c r="U126" s="9"/>
    </row>
    <row r="127" spans="1:21">
      <c r="A127" s="9"/>
      <c r="B127" s="9"/>
      <c r="C127" s="9"/>
      <c r="D127" s="9"/>
      <c r="E127" s="49"/>
      <c r="F127" s="49"/>
      <c r="G127" s="9"/>
      <c r="H127" s="49"/>
      <c r="I127" s="9"/>
      <c r="J127" s="9"/>
      <c r="K127" s="9"/>
      <c r="L127" s="9"/>
      <c r="M127" s="9"/>
      <c r="N127" s="9"/>
      <c r="O127" s="50"/>
      <c r="P127" s="9"/>
      <c r="Q127" s="9"/>
      <c r="R127" s="9"/>
      <c r="S127" s="9"/>
      <c r="T127" s="9"/>
      <c r="U127" s="9"/>
    </row>
    <row r="128" spans="1:21">
      <c r="A128" s="9"/>
      <c r="B128" s="9"/>
      <c r="C128" s="9"/>
      <c r="D128" s="9"/>
      <c r="E128" s="49"/>
      <c r="F128" s="49"/>
      <c r="G128" s="9"/>
      <c r="H128" s="49"/>
      <c r="I128" s="9"/>
      <c r="J128" s="9"/>
      <c r="K128" s="9"/>
      <c r="L128" s="9"/>
      <c r="M128" s="9"/>
      <c r="N128" s="9"/>
      <c r="O128" s="50"/>
      <c r="P128" s="9"/>
      <c r="Q128" s="9"/>
      <c r="R128" s="9"/>
      <c r="S128" s="9"/>
      <c r="T128" s="9"/>
      <c r="U128" s="9"/>
    </row>
    <row r="129" spans="1:21">
      <c r="A129" s="9"/>
      <c r="B129" s="9"/>
      <c r="C129" s="9"/>
      <c r="D129" s="9"/>
      <c r="E129" s="49"/>
      <c r="F129" s="49"/>
      <c r="G129" s="9"/>
      <c r="H129" s="49"/>
      <c r="I129" s="9"/>
      <c r="J129" s="9"/>
      <c r="K129" s="9"/>
      <c r="L129" s="9"/>
      <c r="M129" s="9"/>
      <c r="N129" s="9"/>
      <c r="O129" s="50"/>
      <c r="P129" s="9"/>
      <c r="Q129" s="9"/>
      <c r="R129" s="9"/>
      <c r="S129" s="9"/>
      <c r="T129" s="9"/>
      <c r="U129" s="9"/>
    </row>
    <row r="130" spans="1:21">
      <c r="A130" s="9"/>
      <c r="B130" s="9"/>
      <c r="C130" s="9"/>
      <c r="D130" s="9"/>
      <c r="E130" s="49"/>
      <c r="F130" s="49"/>
      <c r="G130" s="9"/>
      <c r="H130" s="49"/>
      <c r="I130" s="9"/>
      <c r="J130" s="9"/>
      <c r="K130" s="9"/>
      <c r="L130" s="9"/>
      <c r="M130" s="9"/>
      <c r="N130" s="9"/>
      <c r="O130" s="50"/>
      <c r="P130" s="9"/>
      <c r="Q130" s="9"/>
      <c r="R130" s="9"/>
      <c r="S130" s="9"/>
      <c r="T130" s="9"/>
      <c r="U130" s="9"/>
    </row>
    <row r="131" spans="1:21">
      <c r="A131" s="9"/>
      <c r="B131" s="9"/>
      <c r="C131" s="9"/>
      <c r="D131" s="9"/>
      <c r="E131" s="49"/>
      <c r="F131" s="49"/>
      <c r="G131" s="9"/>
      <c r="H131" s="49"/>
      <c r="I131" s="9"/>
      <c r="J131" s="9"/>
      <c r="K131" s="9"/>
      <c r="L131" s="9"/>
      <c r="M131" s="9"/>
      <c r="N131" s="9"/>
      <c r="O131" s="50"/>
      <c r="P131" s="9"/>
      <c r="Q131" s="9"/>
      <c r="R131" s="9"/>
      <c r="S131" s="9"/>
      <c r="T131" s="9"/>
      <c r="U131" s="9"/>
    </row>
    <row r="132" spans="1:21">
      <c r="A132" s="9"/>
      <c r="B132" s="9"/>
      <c r="C132" s="9"/>
      <c r="D132" s="9"/>
      <c r="E132" s="49"/>
      <c r="F132" s="49"/>
      <c r="G132" s="9"/>
      <c r="H132" s="49"/>
      <c r="I132" s="9"/>
      <c r="J132" s="9"/>
      <c r="K132" s="9"/>
      <c r="L132" s="9"/>
      <c r="M132" s="9"/>
      <c r="N132" s="9"/>
      <c r="O132" s="50"/>
      <c r="P132" s="9"/>
      <c r="Q132" s="9"/>
      <c r="R132" s="9"/>
      <c r="S132" s="9"/>
      <c r="T132" s="9"/>
      <c r="U132" s="9"/>
    </row>
    <row r="133" spans="1:21">
      <c r="A133" s="9"/>
      <c r="B133" s="9"/>
      <c r="C133" s="9"/>
      <c r="D133" s="9"/>
      <c r="E133" s="49"/>
      <c r="F133" s="49"/>
      <c r="G133" s="9"/>
      <c r="H133" s="49"/>
      <c r="I133" s="9"/>
      <c r="J133" s="9"/>
      <c r="K133" s="9"/>
      <c r="L133" s="9"/>
      <c r="M133" s="9"/>
      <c r="N133" s="9"/>
      <c r="O133" s="50"/>
      <c r="P133" s="9"/>
      <c r="Q133" s="9"/>
      <c r="R133" s="9"/>
      <c r="S133" s="9"/>
      <c r="T133" s="9"/>
      <c r="U133" s="9"/>
    </row>
    <row r="134" spans="1:21">
      <c r="A134" s="9"/>
      <c r="B134" s="9"/>
      <c r="C134" s="9"/>
      <c r="D134" s="9"/>
      <c r="E134" s="49"/>
      <c r="F134" s="49"/>
      <c r="G134" s="9"/>
      <c r="H134" s="49"/>
      <c r="I134" s="9"/>
      <c r="J134" s="9"/>
      <c r="K134" s="9"/>
      <c r="L134" s="9"/>
      <c r="M134" s="9"/>
      <c r="N134" s="9"/>
      <c r="O134" s="50"/>
      <c r="P134" s="9"/>
      <c r="Q134" s="9"/>
      <c r="R134" s="9"/>
      <c r="S134" s="9"/>
      <c r="T134" s="9"/>
      <c r="U134" s="9"/>
    </row>
    <row r="135" spans="1:21">
      <c r="A135" s="9"/>
      <c r="B135" s="9"/>
      <c r="C135" s="9"/>
      <c r="D135" s="9"/>
      <c r="E135" s="49"/>
      <c r="F135" s="49"/>
      <c r="G135" s="9"/>
      <c r="H135" s="49"/>
      <c r="I135" s="9"/>
      <c r="J135" s="9"/>
      <c r="K135" s="9"/>
      <c r="L135" s="9"/>
      <c r="M135" s="9"/>
      <c r="N135" s="9"/>
      <c r="O135" s="50"/>
      <c r="P135" s="9"/>
      <c r="Q135" s="9"/>
      <c r="R135" s="9"/>
      <c r="S135" s="9"/>
      <c r="T135" s="9"/>
      <c r="U135" s="9"/>
    </row>
    <row r="136" spans="1:21">
      <c r="A136" s="9"/>
      <c r="B136" s="9"/>
      <c r="C136" s="9"/>
      <c r="D136" s="9"/>
      <c r="E136" s="49"/>
      <c r="F136" s="49"/>
      <c r="G136" s="9"/>
      <c r="H136" s="49"/>
      <c r="I136" s="9"/>
      <c r="J136" s="9"/>
      <c r="K136" s="9"/>
      <c r="L136" s="9"/>
      <c r="M136" s="9"/>
      <c r="N136" s="9"/>
      <c r="O136" s="50"/>
      <c r="P136" s="9"/>
      <c r="Q136" s="9"/>
      <c r="R136" s="9"/>
      <c r="S136" s="9"/>
      <c r="T136" s="9"/>
      <c r="U136" s="9"/>
    </row>
    <row r="137" spans="1:21">
      <c r="A137" s="9"/>
      <c r="B137" s="9"/>
      <c r="C137" s="9"/>
      <c r="D137" s="9"/>
      <c r="E137" s="49"/>
      <c r="F137" s="49"/>
      <c r="G137" s="9"/>
      <c r="H137" s="49"/>
      <c r="I137" s="9"/>
      <c r="J137" s="9"/>
      <c r="K137" s="9"/>
      <c r="L137" s="9"/>
      <c r="M137" s="9"/>
      <c r="N137" s="9"/>
      <c r="O137" s="50"/>
      <c r="P137" s="9"/>
      <c r="Q137" s="9"/>
      <c r="R137" s="9"/>
      <c r="S137" s="9"/>
      <c r="T137" s="9"/>
      <c r="U137" s="9"/>
    </row>
    <row r="138" spans="1:21">
      <c r="A138" s="9"/>
      <c r="B138" s="9"/>
      <c r="C138" s="9"/>
      <c r="D138" s="9"/>
      <c r="E138" s="49"/>
      <c r="F138" s="49"/>
      <c r="G138" s="9"/>
      <c r="H138" s="49"/>
      <c r="I138" s="9"/>
      <c r="J138" s="9"/>
      <c r="K138" s="9"/>
      <c r="L138" s="9"/>
      <c r="M138" s="9"/>
      <c r="N138" s="9"/>
      <c r="O138" s="50"/>
      <c r="P138" s="9"/>
      <c r="Q138" s="9"/>
      <c r="R138" s="9"/>
      <c r="S138" s="9"/>
      <c r="T138" s="9"/>
      <c r="U138" s="9"/>
    </row>
    <row r="139" spans="1:21">
      <c r="A139" s="9"/>
      <c r="B139" s="9"/>
      <c r="C139" s="9"/>
      <c r="D139" s="9"/>
      <c r="E139" s="49"/>
      <c r="F139" s="49"/>
      <c r="G139" s="9"/>
      <c r="H139" s="49"/>
      <c r="I139" s="9"/>
      <c r="J139" s="9"/>
      <c r="K139" s="9"/>
      <c r="L139" s="9"/>
      <c r="M139" s="9"/>
      <c r="N139" s="9"/>
      <c r="O139" s="50"/>
      <c r="P139" s="9"/>
      <c r="Q139" s="9"/>
      <c r="R139" s="9"/>
      <c r="S139" s="9"/>
      <c r="T139" s="9"/>
      <c r="U139" s="9"/>
    </row>
    <row r="140" spans="1:21">
      <c r="A140" s="9"/>
      <c r="B140" s="9"/>
      <c r="C140" s="9"/>
      <c r="D140" s="9"/>
      <c r="E140" s="49"/>
      <c r="F140" s="49"/>
      <c r="G140" s="9"/>
      <c r="H140" s="49"/>
      <c r="I140" s="9"/>
      <c r="J140" s="9"/>
      <c r="K140" s="9"/>
      <c r="L140" s="9"/>
      <c r="M140" s="9"/>
      <c r="N140" s="9"/>
      <c r="O140" s="50"/>
      <c r="P140" s="9"/>
      <c r="Q140" s="9"/>
      <c r="R140" s="9"/>
      <c r="S140" s="9"/>
      <c r="T140" s="9"/>
      <c r="U140" s="9"/>
    </row>
    <row r="141" spans="1:21">
      <c r="A141" s="9"/>
      <c r="B141" s="9"/>
      <c r="C141" s="9"/>
      <c r="D141" s="9"/>
      <c r="E141" s="49"/>
      <c r="F141" s="49"/>
      <c r="G141" s="9"/>
      <c r="H141" s="49"/>
      <c r="I141" s="9"/>
      <c r="J141" s="9"/>
      <c r="K141" s="9"/>
      <c r="L141" s="9"/>
      <c r="M141" s="9"/>
      <c r="N141" s="9"/>
      <c r="O141" s="50"/>
      <c r="P141" s="9"/>
      <c r="Q141" s="9"/>
      <c r="R141" s="9"/>
      <c r="S141" s="9"/>
      <c r="T141" s="9"/>
      <c r="U141" s="9"/>
    </row>
    <row r="142" spans="1:21">
      <c r="A142" s="9"/>
      <c r="B142" s="9"/>
      <c r="C142" s="9"/>
      <c r="D142" s="9"/>
      <c r="E142" s="49"/>
      <c r="F142" s="49"/>
      <c r="G142" s="9"/>
      <c r="H142" s="49"/>
      <c r="I142" s="9"/>
      <c r="J142" s="9"/>
      <c r="K142" s="9"/>
      <c r="L142" s="9"/>
      <c r="M142" s="9"/>
      <c r="N142" s="9"/>
      <c r="O142" s="50"/>
      <c r="P142" s="9"/>
      <c r="Q142" s="9"/>
      <c r="R142" s="9"/>
      <c r="S142" s="9"/>
      <c r="T142" s="9"/>
      <c r="U142" s="9"/>
    </row>
    <row r="143" spans="1:21">
      <c r="A143" s="9"/>
      <c r="B143" s="9"/>
      <c r="C143" s="9"/>
      <c r="D143" s="9"/>
      <c r="E143" s="49"/>
      <c r="F143" s="49"/>
      <c r="G143" s="9"/>
      <c r="H143" s="49"/>
      <c r="I143" s="9"/>
      <c r="J143" s="9"/>
      <c r="K143" s="9"/>
      <c r="L143" s="9"/>
      <c r="M143" s="9"/>
      <c r="N143" s="9"/>
      <c r="O143" s="50"/>
      <c r="P143" s="9"/>
      <c r="Q143" s="9"/>
      <c r="R143" s="9"/>
      <c r="S143" s="9"/>
      <c r="T143" s="9"/>
      <c r="U143" s="9"/>
    </row>
    <row r="144" spans="1:21">
      <c r="A144" s="9"/>
      <c r="B144" s="9"/>
      <c r="C144" s="9"/>
      <c r="D144" s="9"/>
      <c r="E144" s="49"/>
      <c r="F144" s="49"/>
      <c r="G144" s="9"/>
      <c r="H144" s="49"/>
      <c r="I144" s="9"/>
      <c r="J144" s="9"/>
      <c r="K144" s="9"/>
      <c r="L144" s="9"/>
      <c r="M144" s="9"/>
      <c r="N144" s="9"/>
      <c r="O144" s="50"/>
      <c r="P144" s="9"/>
      <c r="Q144" s="9"/>
      <c r="R144" s="9"/>
      <c r="S144" s="9"/>
      <c r="T144" s="9"/>
      <c r="U144" s="9"/>
    </row>
    <row r="145" spans="1:21">
      <c r="A145" s="9"/>
      <c r="B145" s="9"/>
      <c r="C145" s="9"/>
      <c r="D145" s="9"/>
      <c r="E145" s="49"/>
      <c r="F145" s="49"/>
      <c r="G145" s="9"/>
      <c r="H145" s="49"/>
      <c r="I145" s="9"/>
      <c r="J145" s="9"/>
      <c r="K145" s="9"/>
      <c r="L145" s="9"/>
      <c r="M145" s="9"/>
      <c r="N145" s="9"/>
      <c r="O145" s="50"/>
      <c r="P145" s="9"/>
      <c r="Q145" s="9"/>
      <c r="R145" s="9"/>
      <c r="S145" s="9"/>
      <c r="T145" s="9"/>
      <c r="U145" s="9"/>
    </row>
    <row r="146" spans="1:21">
      <c r="A146" s="9"/>
      <c r="B146" s="9"/>
      <c r="C146" s="9"/>
      <c r="D146" s="9"/>
      <c r="E146" s="49"/>
      <c r="F146" s="49"/>
      <c r="G146" s="9"/>
      <c r="H146" s="49"/>
      <c r="I146" s="9"/>
      <c r="J146" s="9"/>
      <c r="K146" s="9"/>
      <c r="L146" s="9"/>
      <c r="M146" s="9"/>
      <c r="N146" s="9"/>
      <c r="O146" s="50"/>
      <c r="P146" s="9"/>
      <c r="Q146" s="9"/>
      <c r="R146" s="9"/>
      <c r="S146" s="9"/>
      <c r="T146" s="9"/>
      <c r="U146" s="9"/>
    </row>
    <row r="147" spans="1:21">
      <c r="A147" s="9"/>
      <c r="B147" s="9"/>
      <c r="C147" s="9"/>
      <c r="D147" s="9"/>
      <c r="E147" s="49"/>
      <c r="F147" s="49"/>
      <c r="G147" s="9"/>
      <c r="H147" s="49"/>
      <c r="I147" s="9"/>
      <c r="J147" s="9"/>
      <c r="K147" s="9"/>
      <c r="L147" s="9"/>
      <c r="M147" s="9"/>
      <c r="N147" s="9"/>
      <c r="O147" s="50"/>
      <c r="P147" s="9"/>
      <c r="Q147" s="9"/>
      <c r="R147" s="9"/>
      <c r="S147" s="9"/>
      <c r="T147" s="9"/>
      <c r="U147" s="9"/>
    </row>
    <row r="148" spans="1:21">
      <c r="A148" s="9"/>
      <c r="B148" s="9"/>
      <c r="C148" s="9"/>
      <c r="D148" s="9"/>
      <c r="E148" s="49"/>
      <c r="F148" s="49"/>
      <c r="G148" s="9"/>
      <c r="H148" s="49"/>
      <c r="I148" s="9"/>
      <c r="J148" s="9"/>
      <c r="K148" s="9"/>
      <c r="L148" s="9"/>
      <c r="M148" s="9"/>
      <c r="N148" s="9"/>
      <c r="O148" s="50"/>
      <c r="P148" s="9"/>
      <c r="Q148" s="9"/>
      <c r="R148" s="9"/>
      <c r="S148" s="9"/>
      <c r="T148" s="9"/>
      <c r="U148" s="9"/>
    </row>
    <row r="149" spans="1:21">
      <c r="A149" s="9"/>
      <c r="B149" s="9"/>
      <c r="C149" s="9"/>
      <c r="D149" s="9"/>
      <c r="E149" s="49"/>
      <c r="F149" s="49"/>
      <c r="G149" s="9"/>
      <c r="H149" s="49"/>
      <c r="I149" s="9"/>
      <c r="J149" s="9"/>
      <c r="K149" s="9"/>
      <c r="L149" s="9"/>
      <c r="M149" s="9"/>
      <c r="N149" s="9"/>
      <c r="O149" s="50"/>
      <c r="P149" s="9"/>
      <c r="Q149" s="9"/>
      <c r="R149" s="9"/>
      <c r="S149" s="9"/>
      <c r="T149" s="9"/>
      <c r="U149" s="9"/>
    </row>
    <row r="150" spans="1:21">
      <c r="A150" s="9"/>
      <c r="B150" s="9"/>
      <c r="C150" s="9"/>
      <c r="D150" s="9"/>
      <c r="E150" s="49"/>
      <c r="F150" s="49"/>
      <c r="G150" s="9"/>
      <c r="H150" s="49"/>
      <c r="I150" s="9"/>
      <c r="J150" s="9"/>
      <c r="K150" s="9"/>
      <c r="L150" s="9"/>
      <c r="M150" s="9"/>
      <c r="N150" s="9"/>
      <c r="O150" s="50"/>
      <c r="P150" s="9"/>
      <c r="Q150" s="9"/>
      <c r="R150" s="9"/>
      <c r="S150" s="9"/>
      <c r="T150" s="9"/>
      <c r="U150" s="9"/>
    </row>
    <row r="151" spans="1:21">
      <c r="A151" s="9"/>
      <c r="B151" s="9"/>
      <c r="C151" s="9"/>
      <c r="D151" s="9"/>
      <c r="E151" s="49"/>
      <c r="F151" s="49"/>
      <c r="G151" s="9"/>
      <c r="H151" s="49"/>
      <c r="I151" s="9"/>
      <c r="J151" s="9"/>
      <c r="K151" s="9"/>
      <c r="L151" s="9"/>
      <c r="M151" s="9"/>
      <c r="N151" s="9"/>
      <c r="O151" s="50"/>
      <c r="P151" s="9"/>
      <c r="Q151" s="9"/>
      <c r="R151" s="9"/>
      <c r="S151" s="9"/>
      <c r="T151" s="9"/>
      <c r="U151" s="9"/>
    </row>
    <row r="152" spans="1:21">
      <c r="A152" s="9"/>
      <c r="B152" s="9"/>
      <c r="C152" s="9"/>
      <c r="D152" s="9"/>
      <c r="E152" s="49"/>
      <c r="F152" s="49"/>
      <c r="G152" s="9"/>
      <c r="H152" s="49"/>
      <c r="I152" s="9"/>
      <c r="J152" s="9"/>
      <c r="K152" s="9"/>
      <c r="L152" s="9"/>
      <c r="M152" s="9"/>
      <c r="N152" s="9"/>
      <c r="O152" s="50"/>
      <c r="P152" s="9"/>
      <c r="Q152" s="9"/>
      <c r="R152" s="9"/>
      <c r="S152" s="9"/>
      <c r="T152" s="9"/>
      <c r="U152" s="9"/>
    </row>
    <row r="153" spans="1:21">
      <c r="A153" s="9"/>
      <c r="B153" s="9"/>
      <c r="C153" s="9"/>
      <c r="D153" s="9"/>
      <c r="E153" s="49"/>
      <c r="F153" s="49"/>
      <c r="G153" s="9"/>
      <c r="H153" s="49"/>
      <c r="I153" s="9"/>
      <c r="J153" s="9"/>
      <c r="K153" s="9"/>
      <c r="L153" s="9"/>
      <c r="M153" s="9"/>
      <c r="N153" s="9"/>
      <c r="O153" s="50"/>
      <c r="P153" s="9"/>
      <c r="Q153" s="9"/>
      <c r="R153" s="9"/>
      <c r="S153" s="9"/>
      <c r="T153" s="9"/>
      <c r="U153" s="9"/>
    </row>
    <row r="154" spans="1:21">
      <c r="A154" s="9"/>
      <c r="B154" s="9"/>
      <c r="C154" s="9"/>
      <c r="D154" s="9"/>
      <c r="E154" s="49"/>
      <c r="F154" s="49"/>
      <c r="G154" s="9"/>
      <c r="H154" s="49"/>
      <c r="I154" s="9"/>
      <c r="J154" s="9"/>
      <c r="K154" s="9"/>
      <c r="L154" s="9"/>
      <c r="M154" s="9"/>
      <c r="N154" s="9"/>
      <c r="O154" s="50"/>
      <c r="P154" s="9"/>
      <c r="Q154" s="9"/>
      <c r="R154" s="9"/>
      <c r="S154" s="9"/>
      <c r="T154" s="9"/>
      <c r="U154" s="9"/>
    </row>
    <row r="155" spans="1:21">
      <c r="A155" s="9"/>
      <c r="B155" s="9"/>
      <c r="C155" s="9"/>
      <c r="D155" s="9"/>
      <c r="E155" s="49"/>
      <c r="F155" s="49"/>
      <c r="G155" s="9"/>
      <c r="H155" s="49"/>
      <c r="I155" s="9"/>
      <c r="J155" s="9"/>
      <c r="K155" s="9"/>
      <c r="L155" s="9"/>
      <c r="M155" s="9"/>
      <c r="N155" s="9"/>
      <c r="O155" s="50"/>
      <c r="P155" s="9"/>
      <c r="Q155" s="9"/>
      <c r="R155" s="9"/>
      <c r="S155" s="9"/>
      <c r="T155" s="9"/>
      <c r="U155" s="9"/>
    </row>
    <row r="156" spans="1:21">
      <c r="A156" s="9"/>
      <c r="B156" s="9"/>
      <c r="C156" s="9"/>
      <c r="D156" s="9"/>
      <c r="E156" s="49"/>
      <c r="F156" s="49"/>
      <c r="G156" s="9"/>
      <c r="H156" s="49"/>
      <c r="I156" s="9"/>
      <c r="J156" s="9"/>
      <c r="K156" s="9"/>
      <c r="L156" s="9"/>
      <c r="M156" s="9"/>
      <c r="N156" s="9"/>
      <c r="O156" s="50"/>
      <c r="P156" s="9"/>
      <c r="Q156" s="9"/>
      <c r="R156" s="9"/>
      <c r="S156" s="9"/>
      <c r="T156" s="9"/>
      <c r="U156" s="9"/>
    </row>
    <row r="157" spans="1:21">
      <c r="A157" s="9"/>
      <c r="B157" s="9"/>
      <c r="C157" s="9"/>
      <c r="D157" s="9"/>
      <c r="E157" s="49"/>
      <c r="F157" s="49"/>
      <c r="G157" s="9"/>
      <c r="H157" s="49"/>
      <c r="I157" s="9"/>
      <c r="J157" s="9"/>
      <c r="K157" s="9"/>
      <c r="L157" s="9"/>
      <c r="M157" s="9"/>
      <c r="N157" s="9"/>
      <c r="O157" s="50"/>
      <c r="P157" s="9"/>
      <c r="Q157" s="9"/>
      <c r="R157" s="9"/>
      <c r="S157" s="9"/>
      <c r="T157" s="9"/>
      <c r="U157" s="9"/>
    </row>
    <row r="158" spans="1:21">
      <c r="A158" s="9"/>
      <c r="B158" s="9"/>
      <c r="C158" s="9"/>
      <c r="D158" s="9"/>
      <c r="E158" s="49"/>
      <c r="F158" s="49"/>
      <c r="G158" s="9"/>
      <c r="H158" s="49"/>
      <c r="I158" s="9"/>
      <c r="J158" s="9"/>
      <c r="K158" s="9"/>
      <c r="L158" s="9"/>
      <c r="M158" s="9"/>
      <c r="N158" s="9"/>
      <c r="O158" s="50"/>
      <c r="P158" s="9"/>
      <c r="Q158" s="9"/>
      <c r="R158" s="9"/>
      <c r="S158" s="9"/>
      <c r="T158" s="9"/>
      <c r="U158" s="9"/>
    </row>
    <row r="159" spans="1:21">
      <c r="A159" s="9"/>
      <c r="B159" s="9"/>
      <c r="C159" s="9"/>
      <c r="D159" s="9"/>
      <c r="E159" s="49"/>
      <c r="F159" s="49"/>
      <c r="G159" s="9"/>
      <c r="H159" s="49"/>
      <c r="I159" s="9"/>
      <c r="J159" s="9"/>
      <c r="K159" s="9"/>
      <c r="L159" s="9"/>
      <c r="M159" s="9"/>
      <c r="N159" s="9"/>
      <c r="O159" s="50"/>
      <c r="P159" s="9"/>
      <c r="Q159" s="9"/>
      <c r="R159" s="9"/>
      <c r="S159" s="9"/>
      <c r="T159" s="9"/>
      <c r="U159" s="9"/>
    </row>
    <row r="160" spans="1:21">
      <c r="A160" s="9"/>
      <c r="B160" s="9"/>
      <c r="C160" s="9"/>
      <c r="D160" s="9"/>
      <c r="E160" s="49"/>
      <c r="F160" s="49"/>
      <c r="G160" s="9"/>
      <c r="H160" s="49"/>
      <c r="I160" s="9"/>
      <c r="J160" s="9"/>
      <c r="K160" s="9"/>
      <c r="L160" s="9"/>
      <c r="M160" s="9"/>
      <c r="N160" s="9"/>
      <c r="O160" s="50"/>
      <c r="P160" s="9"/>
      <c r="Q160" s="9"/>
      <c r="R160" s="9"/>
      <c r="S160" s="9"/>
      <c r="T160" s="9"/>
      <c r="U160" s="9"/>
    </row>
    <row r="161" spans="1:21">
      <c r="A161" s="9"/>
      <c r="B161" s="9"/>
      <c r="C161" s="9"/>
      <c r="D161" s="9"/>
      <c r="E161" s="49"/>
      <c r="F161" s="49"/>
      <c r="G161" s="9"/>
      <c r="H161" s="49"/>
      <c r="I161" s="9"/>
      <c r="J161" s="9"/>
      <c r="K161" s="9"/>
      <c r="L161" s="9"/>
      <c r="M161" s="9"/>
      <c r="N161" s="9"/>
      <c r="O161" s="50"/>
      <c r="P161" s="9"/>
      <c r="Q161" s="9"/>
      <c r="R161" s="9"/>
      <c r="S161" s="9"/>
      <c r="T161" s="9"/>
      <c r="U161" s="9"/>
    </row>
    <row r="162" spans="1:21">
      <c r="A162" s="9"/>
      <c r="B162" s="9"/>
      <c r="C162" s="9"/>
      <c r="D162" s="9"/>
      <c r="E162" s="49"/>
      <c r="F162" s="49"/>
      <c r="G162" s="9"/>
      <c r="H162" s="49"/>
      <c r="I162" s="9"/>
      <c r="J162" s="9"/>
      <c r="K162" s="9"/>
      <c r="L162" s="9"/>
      <c r="M162" s="9"/>
      <c r="N162" s="9"/>
      <c r="O162" s="50"/>
      <c r="P162" s="9"/>
      <c r="Q162" s="9"/>
      <c r="R162" s="9"/>
      <c r="S162" s="9"/>
      <c r="T162" s="9"/>
      <c r="U162" s="9"/>
    </row>
    <row r="163" spans="1:21">
      <c r="A163" s="9"/>
      <c r="B163" s="9"/>
      <c r="C163" s="9"/>
      <c r="D163" s="9"/>
      <c r="E163" s="49"/>
      <c r="F163" s="49"/>
      <c r="G163" s="9"/>
      <c r="H163" s="49"/>
      <c r="I163" s="9"/>
      <c r="J163" s="9"/>
      <c r="K163" s="9"/>
      <c r="L163" s="9"/>
      <c r="M163" s="9"/>
      <c r="N163" s="9"/>
      <c r="O163" s="50"/>
      <c r="P163" s="9"/>
      <c r="Q163" s="9"/>
      <c r="R163" s="9"/>
      <c r="S163" s="9"/>
      <c r="T163" s="9"/>
      <c r="U163" s="9"/>
    </row>
    <row r="164" spans="1:21">
      <c r="A164" s="9"/>
      <c r="B164" s="9"/>
      <c r="C164" s="9"/>
      <c r="D164" s="9"/>
      <c r="E164" s="49"/>
      <c r="F164" s="49"/>
      <c r="G164" s="9"/>
      <c r="H164" s="49"/>
      <c r="I164" s="9"/>
      <c r="J164" s="9"/>
      <c r="K164" s="9"/>
      <c r="L164" s="9"/>
      <c r="M164" s="9"/>
      <c r="N164" s="9"/>
      <c r="O164" s="50"/>
      <c r="P164" s="9"/>
      <c r="Q164" s="9"/>
      <c r="R164" s="9"/>
      <c r="S164" s="9"/>
      <c r="T164" s="9"/>
      <c r="U164" s="9"/>
    </row>
    <row r="165" spans="1:21">
      <c r="A165" s="9"/>
      <c r="B165" s="9"/>
      <c r="C165" s="9"/>
      <c r="D165" s="9"/>
      <c r="E165" s="49"/>
      <c r="F165" s="49"/>
      <c r="G165" s="9"/>
      <c r="H165" s="49"/>
      <c r="I165" s="9"/>
      <c r="J165" s="9"/>
      <c r="K165" s="9"/>
      <c r="L165" s="9"/>
      <c r="M165" s="9"/>
      <c r="N165" s="9"/>
      <c r="O165" s="50"/>
      <c r="P165" s="9"/>
      <c r="Q165" s="9"/>
      <c r="R165" s="9"/>
      <c r="S165" s="9"/>
      <c r="T165" s="9"/>
      <c r="U165" s="9"/>
    </row>
    <row r="166" spans="1:21">
      <c r="A166" s="9"/>
      <c r="B166" s="9"/>
      <c r="C166" s="9"/>
      <c r="D166" s="9"/>
      <c r="E166" s="49"/>
      <c r="F166" s="49"/>
      <c r="G166" s="9"/>
      <c r="H166" s="49"/>
      <c r="I166" s="9"/>
      <c r="J166" s="9"/>
      <c r="K166" s="9"/>
      <c r="L166" s="9"/>
      <c r="M166" s="9"/>
      <c r="N166" s="9"/>
      <c r="O166" s="50"/>
      <c r="P166" s="9"/>
      <c r="Q166" s="9"/>
      <c r="R166" s="9"/>
      <c r="S166" s="9"/>
      <c r="T166" s="9"/>
      <c r="U166" s="9"/>
    </row>
    <row r="167" spans="1:21">
      <c r="A167" s="9"/>
      <c r="B167" s="9"/>
      <c r="C167" s="9"/>
      <c r="D167" s="9"/>
      <c r="E167" s="49"/>
      <c r="F167" s="49"/>
      <c r="G167" s="9"/>
      <c r="H167" s="49"/>
      <c r="I167" s="9"/>
      <c r="J167" s="9"/>
      <c r="K167" s="9"/>
      <c r="L167" s="9"/>
      <c r="M167" s="9"/>
      <c r="N167" s="9"/>
      <c r="O167" s="50"/>
      <c r="P167" s="9"/>
      <c r="Q167" s="9"/>
      <c r="R167" s="9"/>
      <c r="S167" s="9"/>
      <c r="T167" s="9"/>
      <c r="U167" s="9"/>
    </row>
    <row r="168" spans="1:21">
      <c r="A168" s="9"/>
      <c r="B168" s="9"/>
      <c r="C168" s="9"/>
      <c r="D168" s="9"/>
      <c r="E168" s="49"/>
      <c r="F168" s="49"/>
      <c r="G168" s="9"/>
      <c r="H168" s="49"/>
      <c r="I168" s="9"/>
      <c r="J168" s="9"/>
      <c r="K168" s="9"/>
      <c r="L168" s="9"/>
      <c r="M168" s="9"/>
      <c r="N168" s="9"/>
      <c r="O168" s="50"/>
      <c r="P168" s="9"/>
      <c r="Q168" s="9"/>
      <c r="R168" s="9"/>
      <c r="S168" s="9"/>
      <c r="T168" s="9"/>
      <c r="U168" s="9"/>
    </row>
    <row r="169" spans="1:21">
      <c r="A169" s="9"/>
      <c r="B169" s="9"/>
      <c r="C169" s="9"/>
      <c r="D169" s="9"/>
      <c r="E169" s="49"/>
      <c r="F169" s="49"/>
      <c r="G169" s="9"/>
      <c r="H169" s="49"/>
      <c r="I169" s="9"/>
      <c r="J169" s="9"/>
      <c r="K169" s="9"/>
      <c r="L169" s="9"/>
      <c r="M169" s="9"/>
      <c r="N169" s="9"/>
      <c r="O169" s="50"/>
      <c r="P169" s="9"/>
      <c r="Q169" s="9"/>
      <c r="R169" s="9"/>
      <c r="S169" s="9"/>
      <c r="T169" s="9"/>
      <c r="U169" s="9"/>
    </row>
    <row r="170" spans="1:21">
      <c r="A170" s="9"/>
      <c r="B170" s="9"/>
      <c r="C170" s="9"/>
      <c r="D170" s="9"/>
      <c r="E170" s="49"/>
      <c r="F170" s="49"/>
      <c r="G170" s="9"/>
      <c r="H170" s="49"/>
      <c r="I170" s="9"/>
      <c r="J170" s="9"/>
      <c r="K170" s="9"/>
      <c r="L170" s="9"/>
      <c r="M170" s="9"/>
      <c r="N170" s="9"/>
      <c r="O170" s="50"/>
      <c r="P170" s="9"/>
      <c r="Q170" s="9"/>
      <c r="R170" s="9"/>
      <c r="S170" s="9"/>
      <c r="T170" s="9"/>
      <c r="U170" s="9"/>
    </row>
    <row r="171" spans="1:21">
      <c r="A171" s="9"/>
      <c r="B171" s="9"/>
      <c r="C171" s="9"/>
      <c r="D171" s="9"/>
      <c r="E171" s="49"/>
      <c r="F171" s="49"/>
      <c r="G171" s="9"/>
      <c r="H171" s="49"/>
      <c r="I171" s="9"/>
      <c r="J171" s="9"/>
      <c r="K171" s="9"/>
      <c r="L171" s="9"/>
      <c r="M171" s="9"/>
      <c r="N171" s="9"/>
      <c r="O171" s="50"/>
      <c r="P171" s="9"/>
      <c r="Q171" s="9"/>
      <c r="R171" s="9"/>
      <c r="S171" s="9"/>
      <c r="T171" s="9"/>
      <c r="U171" s="9"/>
    </row>
    <row r="172" spans="1:21">
      <c r="A172" s="9"/>
      <c r="B172" s="9"/>
      <c r="C172" s="9"/>
      <c r="D172" s="9"/>
      <c r="E172" s="49"/>
      <c r="F172" s="49"/>
      <c r="G172" s="9"/>
      <c r="H172" s="49"/>
      <c r="I172" s="9"/>
      <c r="J172" s="9"/>
      <c r="K172" s="9"/>
      <c r="L172" s="9"/>
      <c r="M172" s="9"/>
      <c r="N172" s="9"/>
      <c r="O172" s="50"/>
      <c r="P172" s="9"/>
      <c r="Q172" s="9"/>
      <c r="R172" s="9"/>
      <c r="S172" s="9"/>
      <c r="T172" s="9"/>
      <c r="U172" s="9"/>
    </row>
    <row r="173" spans="1:21">
      <c r="A173" s="9"/>
      <c r="B173" s="9"/>
      <c r="C173" s="9"/>
      <c r="D173" s="9"/>
      <c r="E173" s="49"/>
      <c r="F173" s="49"/>
      <c r="G173" s="9"/>
      <c r="H173" s="49"/>
      <c r="I173" s="9"/>
      <c r="J173" s="9"/>
      <c r="K173" s="9"/>
      <c r="L173" s="9"/>
      <c r="M173" s="9"/>
      <c r="N173" s="9"/>
      <c r="O173" s="50"/>
      <c r="P173" s="9"/>
      <c r="Q173" s="9"/>
      <c r="R173" s="9"/>
      <c r="S173" s="9"/>
      <c r="T173" s="9"/>
      <c r="U173" s="9"/>
    </row>
    <row r="174" spans="1:21">
      <c r="A174" s="9"/>
      <c r="B174" s="9"/>
      <c r="C174" s="9"/>
      <c r="D174" s="9"/>
      <c r="E174" s="49"/>
      <c r="F174" s="49"/>
      <c r="G174" s="9"/>
      <c r="H174" s="49"/>
      <c r="I174" s="9"/>
      <c r="J174" s="9"/>
      <c r="K174" s="9"/>
      <c r="L174" s="9"/>
      <c r="M174" s="9"/>
      <c r="N174" s="9"/>
      <c r="O174" s="50"/>
      <c r="P174" s="9"/>
      <c r="Q174" s="9"/>
      <c r="R174" s="9"/>
      <c r="S174" s="9"/>
      <c r="T174" s="9"/>
      <c r="U174" s="9"/>
    </row>
    <row r="175" spans="1:21">
      <c r="A175" s="9"/>
      <c r="B175" s="9"/>
      <c r="C175" s="9"/>
      <c r="D175" s="9"/>
      <c r="E175" s="49"/>
      <c r="F175" s="49"/>
      <c r="G175" s="9"/>
      <c r="H175" s="49"/>
      <c r="I175" s="9"/>
      <c r="J175" s="9"/>
      <c r="K175" s="9"/>
      <c r="L175" s="9"/>
      <c r="M175" s="9"/>
      <c r="N175" s="9"/>
      <c r="O175" s="50"/>
      <c r="P175" s="9"/>
      <c r="Q175" s="9"/>
      <c r="R175" s="9"/>
      <c r="S175" s="9"/>
      <c r="T175" s="9"/>
      <c r="U175" s="9"/>
    </row>
    <row r="176" spans="1:21">
      <c r="A176" s="9"/>
      <c r="B176" s="9"/>
      <c r="C176" s="9"/>
      <c r="D176" s="9"/>
      <c r="E176" s="49"/>
      <c r="F176" s="49"/>
      <c r="G176" s="9"/>
      <c r="H176" s="49"/>
      <c r="I176" s="9"/>
      <c r="J176" s="9"/>
      <c r="K176" s="9"/>
      <c r="L176" s="9"/>
      <c r="M176" s="9"/>
      <c r="N176" s="9"/>
      <c r="O176" s="50"/>
      <c r="P176" s="9"/>
      <c r="Q176" s="9"/>
      <c r="R176" s="9"/>
      <c r="S176" s="9"/>
      <c r="T176" s="9"/>
      <c r="U176" s="9"/>
    </row>
    <row r="177" spans="1:21">
      <c r="A177" s="9"/>
      <c r="B177" s="9"/>
      <c r="C177" s="9"/>
      <c r="D177" s="9"/>
      <c r="E177" s="49"/>
      <c r="F177" s="49"/>
      <c r="G177" s="9"/>
      <c r="H177" s="49"/>
      <c r="I177" s="9"/>
      <c r="J177" s="9"/>
      <c r="K177" s="9"/>
      <c r="L177" s="9"/>
      <c r="M177" s="9"/>
      <c r="N177" s="9"/>
      <c r="O177" s="50"/>
      <c r="P177" s="9"/>
      <c r="Q177" s="9"/>
      <c r="R177" s="9"/>
      <c r="S177" s="9"/>
      <c r="T177" s="9"/>
      <c r="U177" s="9"/>
    </row>
    <row r="178" spans="1:21">
      <c r="A178" s="9"/>
      <c r="B178" s="9"/>
      <c r="C178" s="9"/>
      <c r="D178" s="9"/>
      <c r="E178" s="49"/>
      <c r="F178" s="49"/>
      <c r="G178" s="9"/>
      <c r="H178" s="49"/>
      <c r="I178" s="9"/>
      <c r="J178" s="9"/>
      <c r="K178" s="9"/>
      <c r="L178" s="9"/>
      <c r="M178" s="9"/>
      <c r="N178" s="9"/>
      <c r="O178" s="50"/>
      <c r="P178" s="9"/>
      <c r="Q178" s="9"/>
      <c r="R178" s="9"/>
      <c r="S178" s="9"/>
      <c r="T178" s="9"/>
      <c r="U178" s="9"/>
    </row>
    <row r="179" spans="1:21">
      <c r="A179" s="9"/>
      <c r="B179" s="9"/>
      <c r="C179" s="9"/>
      <c r="D179" s="9"/>
      <c r="E179" s="49"/>
      <c r="F179" s="49"/>
      <c r="G179" s="9"/>
      <c r="H179" s="49"/>
      <c r="I179" s="9"/>
      <c r="J179" s="9"/>
      <c r="K179" s="9"/>
      <c r="L179" s="9"/>
      <c r="M179" s="9"/>
      <c r="N179" s="9"/>
      <c r="O179" s="50"/>
      <c r="P179" s="9"/>
      <c r="Q179" s="9"/>
      <c r="R179" s="9"/>
      <c r="S179" s="9"/>
      <c r="T179" s="9"/>
      <c r="U179" s="9"/>
    </row>
    <row r="180" spans="1:21">
      <c r="A180" s="9"/>
      <c r="B180" s="9"/>
      <c r="C180" s="9"/>
      <c r="D180" s="9"/>
      <c r="E180" s="49"/>
      <c r="F180" s="49"/>
      <c r="G180" s="9"/>
      <c r="H180" s="49"/>
      <c r="I180" s="9"/>
      <c r="J180" s="9"/>
      <c r="K180" s="9"/>
      <c r="L180" s="9"/>
      <c r="M180" s="9"/>
      <c r="N180" s="9"/>
      <c r="O180" s="50"/>
      <c r="P180" s="9"/>
      <c r="Q180" s="9"/>
      <c r="R180" s="9"/>
      <c r="S180" s="9"/>
      <c r="T180" s="9"/>
      <c r="U180" s="9"/>
    </row>
    <row r="181" spans="1:21">
      <c r="A181" s="9"/>
      <c r="B181" s="9"/>
      <c r="C181" s="9"/>
      <c r="D181" s="9"/>
      <c r="E181" s="49"/>
      <c r="F181" s="49"/>
      <c r="G181" s="9"/>
      <c r="H181" s="49"/>
      <c r="I181" s="9"/>
      <c r="J181" s="9"/>
      <c r="K181" s="9"/>
      <c r="L181" s="9"/>
      <c r="M181" s="9"/>
      <c r="N181" s="9"/>
      <c r="O181" s="50"/>
      <c r="P181" s="9"/>
      <c r="Q181" s="9"/>
      <c r="R181" s="9"/>
      <c r="S181" s="9"/>
      <c r="T181" s="9"/>
      <c r="U181" s="9"/>
    </row>
    <row r="182" spans="1:21">
      <c r="A182" s="9"/>
      <c r="B182" s="9"/>
      <c r="C182" s="9"/>
      <c r="D182" s="9"/>
      <c r="E182" s="49"/>
      <c r="F182" s="49"/>
      <c r="G182" s="9"/>
      <c r="H182" s="49"/>
      <c r="I182" s="9"/>
      <c r="J182" s="9"/>
      <c r="K182" s="9"/>
      <c r="L182" s="9"/>
      <c r="M182" s="9"/>
      <c r="N182" s="9"/>
      <c r="O182" s="50"/>
      <c r="P182" s="9"/>
      <c r="Q182" s="9"/>
      <c r="R182" s="9"/>
      <c r="S182" s="9"/>
      <c r="T182" s="9"/>
      <c r="U182" s="9"/>
    </row>
    <row r="183" spans="1:21">
      <c r="A183" s="9"/>
      <c r="B183" s="9"/>
      <c r="C183" s="9"/>
      <c r="D183" s="9"/>
      <c r="E183" s="49"/>
      <c r="F183" s="49"/>
      <c r="G183" s="9"/>
      <c r="H183" s="49"/>
      <c r="I183" s="9"/>
      <c r="J183" s="9"/>
      <c r="K183" s="9"/>
      <c r="L183" s="9"/>
      <c r="M183" s="9"/>
      <c r="N183" s="9"/>
      <c r="O183" s="50"/>
      <c r="P183" s="9"/>
      <c r="Q183" s="9"/>
      <c r="R183" s="9"/>
      <c r="S183" s="9"/>
      <c r="T183" s="9"/>
      <c r="U183" s="9"/>
    </row>
    <row r="184" spans="1:21">
      <c r="A184" s="9"/>
      <c r="B184" s="9"/>
      <c r="C184" s="9"/>
      <c r="D184" s="9"/>
      <c r="E184" s="49"/>
      <c r="F184" s="49"/>
      <c r="G184" s="9"/>
      <c r="H184" s="49"/>
      <c r="I184" s="9"/>
      <c r="J184" s="9"/>
      <c r="K184" s="9"/>
      <c r="L184" s="9"/>
      <c r="M184" s="9"/>
      <c r="N184" s="9"/>
      <c r="O184" s="50"/>
      <c r="P184" s="9"/>
      <c r="Q184" s="9"/>
      <c r="R184" s="9"/>
      <c r="S184" s="9"/>
      <c r="T184" s="9"/>
      <c r="U184" s="9"/>
    </row>
    <row r="185" spans="1:21">
      <c r="A185" s="9"/>
      <c r="B185" s="9"/>
      <c r="C185" s="9"/>
      <c r="D185" s="9"/>
      <c r="E185" s="49"/>
      <c r="F185" s="49"/>
      <c r="G185" s="9"/>
      <c r="H185" s="49"/>
      <c r="I185" s="9"/>
      <c r="J185" s="9"/>
      <c r="K185" s="9"/>
      <c r="L185" s="9"/>
      <c r="M185" s="9"/>
      <c r="N185" s="9"/>
      <c r="O185" s="50"/>
      <c r="P185" s="9"/>
      <c r="Q185" s="9"/>
      <c r="R185" s="9"/>
      <c r="S185" s="9"/>
      <c r="T185" s="9"/>
      <c r="U185" s="9"/>
    </row>
    <row r="186" spans="1:21">
      <c r="A186" s="9"/>
      <c r="B186" s="9"/>
      <c r="C186" s="9"/>
      <c r="D186" s="9"/>
      <c r="E186" s="49"/>
      <c r="F186" s="49"/>
      <c r="G186" s="9"/>
      <c r="H186" s="49"/>
      <c r="I186" s="9"/>
      <c r="J186" s="9"/>
      <c r="K186" s="9"/>
      <c r="L186" s="9"/>
      <c r="M186" s="9"/>
      <c r="N186" s="9"/>
      <c r="O186" s="50"/>
      <c r="P186" s="9"/>
      <c r="Q186" s="9"/>
      <c r="R186" s="9"/>
      <c r="S186" s="9"/>
      <c r="T186" s="9"/>
      <c r="U186" s="9"/>
    </row>
    <row r="187" spans="1:21">
      <c r="A187" s="9"/>
      <c r="B187" s="9"/>
      <c r="C187" s="9"/>
      <c r="D187" s="9"/>
      <c r="E187" s="49"/>
      <c r="F187" s="49"/>
      <c r="G187" s="9"/>
      <c r="H187" s="49"/>
      <c r="I187" s="9"/>
      <c r="J187" s="9"/>
      <c r="K187" s="9"/>
      <c r="L187" s="9"/>
      <c r="M187" s="9"/>
      <c r="N187" s="9"/>
      <c r="O187" s="50"/>
      <c r="P187" s="9"/>
      <c r="Q187" s="9"/>
      <c r="R187" s="9"/>
      <c r="S187" s="9"/>
      <c r="T187" s="9"/>
      <c r="U187" s="9"/>
    </row>
    <row r="188" spans="1:21">
      <c r="A188" s="9"/>
      <c r="B188" s="9"/>
      <c r="C188" s="9"/>
      <c r="D188" s="9"/>
      <c r="E188" s="49"/>
      <c r="F188" s="49"/>
      <c r="G188" s="9"/>
      <c r="H188" s="49"/>
      <c r="I188" s="9"/>
      <c r="J188" s="9"/>
      <c r="K188" s="9"/>
      <c r="L188" s="9"/>
      <c r="M188" s="9"/>
      <c r="N188" s="9"/>
      <c r="O188" s="50"/>
      <c r="P188" s="9"/>
      <c r="Q188" s="9"/>
      <c r="R188" s="9"/>
      <c r="S188" s="9"/>
      <c r="T188" s="9"/>
      <c r="U188" s="9"/>
    </row>
    <row r="189" spans="1:21">
      <c r="A189" s="9"/>
      <c r="B189" s="9"/>
      <c r="C189" s="9"/>
      <c r="D189" s="9"/>
      <c r="E189" s="49"/>
      <c r="F189" s="49"/>
      <c r="G189" s="9"/>
      <c r="H189" s="49"/>
      <c r="I189" s="9"/>
      <c r="J189" s="9"/>
      <c r="K189" s="9"/>
      <c r="L189" s="9"/>
      <c r="M189" s="9"/>
      <c r="N189" s="9"/>
      <c r="O189" s="50"/>
      <c r="P189" s="9"/>
      <c r="Q189" s="9"/>
      <c r="R189" s="9"/>
      <c r="S189" s="9"/>
      <c r="T189" s="9"/>
      <c r="U189" s="9"/>
    </row>
    <row r="190" spans="1:21">
      <c r="A190" s="9"/>
      <c r="B190" s="9"/>
      <c r="C190" s="9"/>
      <c r="D190" s="9"/>
      <c r="E190" s="49"/>
      <c r="F190" s="49"/>
      <c r="G190" s="9"/>
      <c r="H190" s="49"/>
      <c r="I190" s="9"/>
      <c r="J190" s="9"/>
      <c r="K190" s="9"/>
      <c r="L190" s="9"/>
      <c r="M190" s="9"/>
      <c r="N190" s="9"/>
      <c r="O190" s="50"/>
      <c r="P190" s="9"/>
      <c r="Q190" s="9"/>
      <c r="R190" s="9"/>
      <c r="S190" s="9"/>
      <c r="T190" s="9"/>
      <c r="U190" s="9"/>
    </row>
    <row r="191" spans="1:21">
      <c r="A191" s="9"/>
      <c r="B191" s="9"/>
      <c r="C191" s="9"/>
      <c r="D191" s="9"/>
      <c r="E191" s="49"/>
      <c r="F191" s="49"/>
      <c r="G191" s="9"/>
      <c r="H191" s="49"/>
      <c r="I191" s="9"/>
      <c r="J191" s="9"/>
      <c r="K191" s="9"/>
      <c r="L191" s="9"/>
      <c r="M191" s="9"/>
      <c r="N191" s="9"/>
      <c r="O191" s="50"/>
      <c r="P191" s="9"/>
      <c r="Q191" s="9"/>
      <c r="R191" s="9"/>
      <c r="S191" s="9"/>
      <c r="T191" s="9"/>
      <c r="U191" s="9"/>
    </row>
    <row r="192" spans="1:21">
      <c r="A192" s="9"/>
      <c r="B192" s="9"/>
      <c r="C192" s="9"/>
      <c r="D192" s="9"/>
      <c r="E192" s="49"/>
      <c r="F192" s="49"/>
      <c r="G192" s="9"/>
      <c r="H192" s="49"/>
      <c r="I192" s="9"/>
      <c r="J192" s="9"/>
      <c r="K192" s="9"/>
      <c r="L192" s="9"/>
      <c r="M192" s="9"/>
      <c r="N192" s="9"/>
      <c r="O192" s="50"/>
      <c r="P192" s="9"/>
      <c r="Q192" s="9"/>
      <c r="R192" s="9"/>
      <c r="S192" s="9"/>
      <c r="T192" s="9"/>
      <c r="U192" s="9"/>
    </row>
    <row r="193" spans="1:21">
      <c r="A193" s="9"/>
      <c r="B193" s="9"/>
      <c r="C193" s="9"/>
      <c r="D193" s="9"/>
      <c r="E193" s="49"/>
      <c r="F193" s="49"/>
      <c r="G193" s="9"/>
      <c r="H193" s="49"/>
      <c r="I193" s="9"/>
      <c r="J193" s="9"/>
      <c r="K193" s="9"/>
      <c r="L193" s="9"/>
      <c r="M193" s="9"/>
      <c r="N193" s="9"/>
      <c r="O193" s="50"/>
      <c r="P193" s="9"/>
      <c r="Q193" s="9"/>
      <c r="R193" s="9"/>
      <c r="S193" s="9"/>
      <c r="T193" s="9"/>
      <c r="U193" s="9"/>
    </row>
    <row r="194" spans="1:21">
      <c r="A194" s="9"/>
      <c r="B194" s="9"/>
      <c r="C194" s="9"/>
      <c r="D194" s="9"/>
      <c r="E194" s="49"/>
      <c r="F194" s="49"/>
      <c r="G194" s="9"/>
      <c r="H194" s="49"/>
      <c r="I194" s="9"/>
      <c r="J194" s="9"/>
      <c r="K194" s="9"/>
      <c r="L194" s="9"/>
      <c r="M194" s="9"/>
      <c r="N194" s="9"/>
      <c r="O194" s="50"/>
      <c r="P194" s="9"/>
      <c r="Q194" s="9"/>
      <c r="R194" s="9"/>
      <c r="S194" s="9"/>
      <c r="T194" s="9"/>
      <c r="U194" s="9"/>
    </row>
    <row r="195" spans="1:21">
      <c r="A195" s="9"/>
      <c r="B195" s="9"/>
      <c r="C195" s="9"/>
      <c r="D195" s="9"/>
      <c r="E195" s="49"/>
      <c r="F195" s="49"/>
      <c r="G195" s="9"/>
      <c r="H195" s="49"/>
      <c r="I195" s="9"/>
      <c r="J195" s="9"/>
      <c r="K195" s="9"/>
      <c r="L195" s="9"/>
      <c r="M195" s="9"/>
      <c r="N195" s="9"/>
      <c r="O195" s="50"/>
      <c r="P195" s="9"/>
      <c r="Q195" s="9"/>
      <c r="R195" s="9"/>
      <c r="S195" s="9"/>
      <c r="T195" s="9"/>
      <c r="U195" s="9"/>
    </row>
    <row r="196" spans="1:21">
      <c r="A196" s="9"/>
      <c r="B196" s="9"/>
      <c r="C196" s="9"/>
      <c r="D196" s="9"/>
      <c r="E196" s="49"/>
      <c r="F196" s="49"/>
      <c r="G196" s="9"/>
      <c r="H196" s="49"/>
      <c r="I196" s="9"/>
      <c r="J196" s="9"/>
      <c r="K196" s="9"/>
      <c r="L196" s="9"/>
      <c r="M196" s="9"/>
      <c r="N196" s="9"/>
      <c r="O196" s="50"/>
      <c r="P196" s="9"/>
      <c r="Q196" s="9"/>
      <c r="R196" s="9"/>
      <c r="S196" s="9"/>
      <c r="T196" s="9"/>
      <c r="U196" s="9"/>
    </row>
    <row r="197" spans="1:21">
      <c r="A197" s="9"/>
      <c r="B197" s="9"/>
      <c r="C197" s="9"/>
      <c r="D197" s="9"/>
      <c r="E197" s="49"/>
      <c r="F197" s="49"/>
      <c r="G197" s="9"/>
      <c r="H197" s="49"/>
      <c r="I197" s="9"/>
      <c r="J197" s="9"/>
      <c r="K197" s="9"/>
      <c r="L197" s="9"/>
      <c r="M197" s="9"/>
      <c r="N197" s="9"/>
      <c r="O197" s="50"/>
      <c r="P197" s="9"/>
      <c r="Q197" s="9"/>
      <c r="R197" s="9"/>
      <c r="S197" s="9"/>
      <c r="T197" s="9"/>
      <c r="U197" s="9"/>
    </row>
    <row r="198" spans="1:21">
      <c r="A198" s="9"/>
      <c r="B198" s="9"/>
      <c r="C198" s="9"/>
      <c r="D198" s="9"/>
      <c r="E198" s="49"/>
      <c r="F198" s="49"/>
      <c r="G198" s="9"/>
      <c r="H198" s="49"/>
      <c r="I198" s="9"/>
      <c r="J198" s="9"/>
      <c r="K198" s="9"/>
      <c r="L198" s="9"/>
      <c r="M198" s="9"/>
      <c r="N198" s="9"/>
      <c r="O198" s="50"/>
      <c r="P198" s="9"/>
      <c r="Q198" s="9"/>
      <c r="R198" s="9"/>
      <c r="S198" s="9"/>
      <c r="T198" s="9"/>
      <c r="U198" s="9"/>
    </row>
    <row r="199" spans="1:21">
      <c r="A199" s="9"/>
      <c r="B199" s="9"/>
      <c r="C199" s="9"/>
      <c r="D199" s="9"/>
      <c r="E199" s="49"/>
      <c r="F199" s="49"/>
      <c r="G199" s="9"/>
      <c r="H199" s="49"/>
      <c r="I199" s="9"/>
      <c r="J199" s="9"/>
      <c r="K199" s="9"/>
      <c r="L199" s="9"/>
      <c r="M199" s="9"/>
      <c r="N199" s="9"/>
      <c r="O199" s="50"/>
      <c r="P199" s="9"/>
      <c r="Q199" s="9"/>
      <c r="R199" s="9"/>
      <c r="S199" s="9"/>
      <c r="T199" s="9"/>
      <c r="U199" s="9"/>
    </row>
    <row r="200" spans="1:21">
      <c r="A200" s="9"/>
      <c r="B200" s="9"/>
      <c r="C200" s="9"/>
      <c r="D200" s="9"/>
      <c r="E200" s="49"/>
      <c r="F200" s="49"/>
      <c r="G200" s="9"/>
      <c r="H200" s="49"/>
      <c r="I200" s="9"/>
      <c r="J200" s="9"/>
      <c r="K200" s="9"/>
      <c r="L200" s="9"/>
      <c r="M200" s="9"/>
      <c r="N200" s="9"/>
      <c r="O200" s="50"/>
      <c r="P200" s="9"/>
      <c r="Q200" s="9"/>
      <c r="R200" s="9"/>
      <c r="S200" s="9"/>
      <c r="T200" s="9"/>
      <c r="U200" s="9"/>
    </row>
  </sheetData>
  <mergeCells count="1">
    <mergeCell ref="A2:H2"/>
  </mergeCells>
  <phoneticPr fontId="11" type="noConversion"/>
  <dataValidations count="1">
    <dataValidation type="list" allowBlank="1" showErrorMessage="1" sqref="C3:C11" xr:uid="{00000000-0002-0000-0300-000000000000}">
      <formula1>"在投,停投,无法授权,拒审,待授权,拒绝授权"</formula1>
    </dataValidation>
  </dataValidations>
  <hyperlinks>
    <hyperlink ref="E3" r:id="rId1" xr:uid="{00000000-0004-0000-0300-000000000000}"/>
    <hyperlink ref="E4" r:id="rId2" xr:uid="{00000000-0004-0000-0300-000001000000}"/>
    <hyperlink ref="E5" r:id="rId3" xr:uid="{00000000-0004-0000-0300-000002000000}"/>
    <hyperlink ref="E6" r:id="rId4" display="https://www.xiaohongshu.com/explore/6a1bb58a000000003601c0d3?app_platform=ios&amp;app_version=9.32.2&amp;share_from_user_hidden=true&amp;xsec_source=app_share&amp;type=normal&amp;xsec_token=CBZBjDiJTiBznrXYqTCM4u5yo8-UH-yvB5Y0F79fniRd0=&amp;author_share=1&amp;xhsshare=CopyLink&amp;shareRedId=N0hDMURIPUI7Oks5Qk4wNjY0PD1KPjhM&amp;apptime=1780225753&amp;share_id=6e079c94072f485db15c49a71219de3b" xr:uid="{00000000-0004-0000-0300-000003000000}"/>
    <hyperlink ref="E7" r:id="rId5" display="https://www.xiaohongshu.com/explore/6a1c0e4a000000003600117f?app_platform=ios&amp;app_version=9.32.2&amp;share_from_user_hidden=true&amp;xsec_source=app_share&amp;type=normal&amp;xsec_token=CBVaOt65qTlBrjpLv7ic8e6qLwqH3AWsvKmTaN0A6KGsg=&amp;author_share=1&amp;xhsshare=CopyLink&amp;shareRedId=OD47QUk3NUs2NzUyOTgwNjc8OTdJNj1K&amp;apptime=1780224568&amp;share_id=155d8c9ac34c4ccf8390c8d8df8fe1db" xr:uid="{00000000-0004-0000-0300-000004000000}"/>
    <hyperlink ref="E8" r:id="rId6" display="https://www.xiaohongshu.com/explore/6a20c28b0000000035025767?app_platform=ios&amp;app_version=9.33.2&amp;share_from_user_hidden=true&amp;xsec_source=app_share&amp;type=normal&amp;xsec_token=CBavQdohy-cZxpMc7sfNubApugkM2W6BAjP6KpSLa86ac=&amp;author_share=1&amp;xhsshare=CopyLink&amp;shareRedId=ODo4MUY6OEo2NzUyOTgwNjczOTk4PD45&amp;apptime=1780655165&amp;share_id=6fc1a84fb7744cf8a5c344ae4302024b" xr:uid="{00000000-0004-0000-0300-000005000000}"/>
    <hyperlink ref="F8" r:id="rId7" xr:uid="{00000000-0004-0000-0300-000006000000}"/>
    <hyperlink ref="E9" r:id="rId8" xr:uid="{00000000-0004-0000-0300-000007000000}"/>
    <hyperlink ref="E10" r:id="rId9" xr:uid="{00000000-0004-0000-0300-000008000000}"/>
    <hyperlink ref="E11" r:id="rId10" xr:uid="{00000000-0004-0000-0300-000009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P144"/>
  <sheetViews>
    <sheetView workbookViewId="0">
      <pane xSplit="5" ySplit="1" topLeftCell="F2" activePane="bottomRight" state="frozen"/>
      <selection pane="topRight"/>
      <selection pane="bottomLeft"/>
      <selection pane="bottomRight" activeCell="F2" sqref="F2"/>
    </sheetView>
  </sheetViews>
  <sheetFormatPr baseColWidth="10" defaultColWidth="14" defaultRowHeight="13"/>
  <cols>
    <col min="1" max="2" width="11" customWidth="1"/>
    <col min="3" max="3" width="10" customWidth="1"/>
    <col min="4" max="4" width="9" customWidth="1"/>
    <col min="7" max="7" width="14" customWidth="1"/>
    <col min="8" max="9" width="11" customWidth="1"/>
    <col min="10" max="15" width="13" customWidth="1"/>
  </cols>
  <sheetData>
    <row r="1" spans="1:16" ht="29" customHeight="1">
      <c r="A1" s="75" t="s">
        <v>0</v>
      </c>
      <c r="B1" s="75" t="s">
        <v>1262</v>
      </c>
      <c r="C1" s="76" t="s">
        <v>1263</v>
      </c>
      <c r="D1" s="75" t="s">
        <v>1264</v>
      </c>
      <c r="E1" s="75" t="s">
        <v>587</v>
      </c>
      <c r="F1" s="75" t="s">
        <v>3</v>
      </c>
      <c r="G1" s="75" t="s">
        <v>4</v>
      </c>
      <c r="H1" s="75" t="s">
        <v>7</v>
      </c>
      <c r="I1" s="75" t="s">
        <v>8</v>
      </c>
      <c r="J1" s="76" t="s">
        <v>1265</v>
      </c>
      <c r="K1" s="75" t="s">
        <v>1266</v>
      </c>
      <c r="L1" s="75" t="s">
        <v>1267</v>
      </c>
      <c r="M1" s="75" t="s">
        <v>1268</v>
      </c>
      <c r="N1" s="75" t="s">
        <v>1269</v>
      </c>
      <c r="O1" s="75" t="s">
        <v>1270</v>
      </c>
      <c r="P1" s="75"/>
    </row>
    <row r="2" spans="1:16" ht="241.25" customHeight="1">
      <c r="A2" s="9">
        <f>四月口碑加热!A88</f>
        <v>46140</v>
      </c>
      <c r="B2" s="32">
        <v>46142</v>
      </c>
      <c r="C2" s="50">
        <v>200</v>
      </c>
      <c r="D2" s="9" t="s">
        <v>1271</v>
      </c>
      <c r="E2" s="59" t="str">
        <f>四月口碑加热!D88</f>
        <v>木立雨</v>
      </c>
      <c r="F2" s="61" t="s">
        <v>950</v>
      </c>
      <c r="G2" s="61" t="str">
        <f>四月口碑加热!F88</f>
        <v>69ef91b1000000002300564b</v>
      </c>
      <c r="H2" s="59">
        <f>四月口碑加热!I88</f>
        <v>44</v>
      </c>
      <c r="I2" s="9">
        <v>259</v>
      </c>
      <c r="J2" s="77">
        <v>200</v>
      </c>
      <c r="K2" s="9">
        <v>180</v>
      </c>
      <c r="L2" s="9">
        <v>0</v>
      </c>
      <c r="M2" s="9">
        <v>4</v>
      </c>
      <c r="N2" s="9">
        <f t="shared" ref="N2:N33" si="0">SUM(K2:M2)</f>
        <v>184</v>
      </c>
      <c r="O2" s="9"/>
      <c r="P2" s="9"/>
    </row>
    <row r="3" spans="1:16" ht="241.25" customHeight="1">
      <c r="A3" s="9">
        <f>四月口碑加热!A90</f>
        <v>46140</v>
      </c>
      <c r="B3" s="32">
        <v>46142</v>
      </c>
      <c r="C3" s="50">
        <v>200</v>
      </c>
      <c r="D3" s="9" t="s">
        <v>1271</v>
      </c>
      <c r="E3" s="59" t="str">
        <f>四月口碑加热!D90</f>
        <v>你睡着了吗</v>
      </c>
      <c r="F3" s="61" t="s">
        <v>960</v>
      </c>
      <c r="G3" s="61" t="str">
        <f>四月口碑加热!F90</f>
        <v>69f05157000000003700c60a</v>
      </c>
      <c r="H3" s="59">
        <f>四月口碑加热!I90</f>
        <v>3</v>
      </c>
      <c r="I3" s="9">
        <v>630</v>
      </c>
      <c r="J3" s="77">
        <v>200</v>
      </c>
      <c r="K3" s="9">
        <v>192</v>
      </c>
      <c r="L3" s="9">
        <v>4</v>
      </c>
      <c r="M3" s="9">
        <v>5</v>
      </c>
      <c r="N3" s="9">
        <f t="shared" si="0"/>
        <v>201</v>
      </c>
      <c r="O3" s="9"/>
      <c r="P3" s="9"/>
    </row>
    <row r="4" spans="1:16" ht="241.25" customHeight="1">
      <c r="A4" s="9">
        <f>四月口碑加热!A91</f>
        <v>46140</v>
      </c>
      <c r="B4" s="32">
        <v>46142</v>
      </c>
      <c r="C4" s="50">
        <v>200</v>
      </c>
      <c r="D4" s="9" t="s">
        <v>1271</v>
      </c>
      <c r="E4" s="59" t="str">
        <f>四月口碑加热!D91</f>
        <v>睡觉吧睡觉吧</v>
      </c>
      <c r="F4" s="61" t="s">
        <v>963</v>
      </c>
      <c r="G4" s="61" t="str">
        <f>四月口碑加热!F91</f>
        <v>69f0a3e00000000022026d02</v>
      </c>
      <c r="H4" s="59">
        <f>四月口碑加热!I91</f>
        <v>7</v>
      </c>
      <c r="I4" s="9">
        <v>254</v>
      </c>
      <c r="J4" s="77">
        <v>200</v>
      </c>
      <c r="K4" s="9">
        <v>204</v>
      </c>
      <c r="L4" s="9">
        <v>1</v>
      </c>
      <c r="M4" s="9">
        <v>0</v>
      </c>
      <c r="N4" s="9">
        <f t="shared" si="0"/>
        <v>205</v>
      </c>
      <c r="O4" s="9"/>
      <c r="P4" s="9"/>
    </row>
    <row r="5" spans="1:16" ht="241.25" customHeight="1">
      <c r="A5" s="9">
        <f>四月口碑加热!A92</f>
        <v>46141</v>
      </c>
      <c r="B5" s="32">
        <v>46142</v>
      </c>
      <c r="C5" s="50">
        <v>200</v>
      </c>
      <c r="D5" s="9" t="s">
        <v>1271</v>
      </c>
      <c r="E5" s="59" t="str">
        <f>四月口碑加热!D92</f>
        <v>爱吃凉拌杂蔬</v>
      </c>
      <c r="F5" s="61" t="s">
        <v>966</v>
      </c>
      <c r="G5" s="61" t="str">
        <f>四月口碑加热!F92</f>
        <v>69f163390000000038023c04</v>
      </c>
      <c r="H5" s="59">
        <f>四月口碑加热!I92</f>
        <v>96</v>
      </c>
      <c r="I5" s="9">
        <v>758</v>
      </c>
      <c r="J5" s="77">
        <v>200</v>
      </c>
      <c r="K5" s="9">
        <v>541</v>
      </c>
      <c r="L5" s="9">
        <v>1</v>
      </c>
      <c r="M5" s="9">
        <v>28</v>
      </c>
      <c r="N5" s="9">
        <f t="shared" si="0"/>
        <v>570</v>
      </c>
      <c r="O5" s="9"/>
      <c r="P5" s="9"/>
    </row>
    <row r="6" spans="1:16" ht="271.25" customHeight="1">
      <c r="A6" s="9">
        <f>四月口碑加热!A93</f>
        <v>46141</v>
      </c>
      <c r="B6" s="32">
        <v>46142</v>
      </c>
      <c r="C6" s="50">
        <v>200</v>
      </c>
      <c r="D6" s="9" t="s">
        <v>1271</v>
      </c>
      <c r="E6" s="59" t="str">
        <f>四月口碑加热!D93</f>
        <v>岁岁平安</v>
      </c>
      <c r="F6" s="61" t="s">
        <v>971</v>
      </c>
      <c r="G6" s="61" t="str">
        <f>四月口碑加热!F93</f>
        <v>69f194d5000000002301de8a</v>
      </c>
      <c r="H6" s="59">
        <f>四月口碑加热!I93</f>
        <v>2</v>
      </c>
      <c r="I6" s="9">
        <v>10</v>
      </c>
      <c r="J6" s="77">
        <v>200</v>
      </c>
      <c r="K6" s="9">
        <v>2</v>
      </c>
      <c r="L6" s="9">
        <v>1</v>
      </c>
      <c r="M6" s="9">
        <v>1</v>
      </c>
      <c r="N6" s="9">
        <f t="shared" si="0"/>
        <v>4</v>
      </c>
      <c r="O6" s="9"/>
      <c r="P6" s="9"/>
    </row>
    <row r="7" spans="1:16" ht="241.25" customHeight="1">
      <c r="A7" s="9">
        <f>四月口碑加热!A94</f>
        <v>46141</v>
      </c>
      <c r="B7" s="32">
        <v>46142</v>
      </c>
      <c r="C7" s="50">
        <v>200</v>
      </c>
      <c r="D7" s="9" t="s">
        <v>1271</v>
      </c>
      <c r="E7" s="59" t="str">
        <f>四月口碑加热!D94</f>
        <v>ENDLESS RAIN</v>
      </c>
      <c r="F7" s="61" t="s">
        <v>975</v>
      </c>
      <c r="G7" s="61" t="str">
        <f>四月口碑加热!F94</f>
        <v>69f17a30000000003502d8da</v>
      </c>
      <c r="H7" s="59">
        <f>四月口碑加热!I94</f>
        <v>34</v>
      </c>
      <c r="I7" s="9">
        <v>34237</v>
      </c>
      <c r="J7" s="77">
        <v>200</v>
      </c>
      <c r="K7" s="9">
        <v>111</v>
      </c>
      <c r="L7" s="9">
        <v>13</v>
      </c>
      <c r="M7" s="9">
        <v>0</v>
      </c>
      <c r="N7" s="9">
        <f t="shared" si="0"/>
        <v>124</v>
      </c>
      <c r="O7" s="9"/>
      <c r="P7" s="9"/>
    </row>
    <row r="8" spans="1:16" ht="241.25" customHeight="1">
      <c r="A8" s="9">
        <f>四月口碑加热!A95</f>
        <v>46141</v>
      </c>
      <c r="B8" s="32">
        <v>46142</v>
      </c>
      <c r="C8" s="50">
        <v>200</v>
      </c>
      <c r="D8" s="9" t="s">
        <v>1271</v>
      </c>
      <c r="E8" s="59" t="str">
        <f>四月口碑加热!D95</f>
        <v>懒羊羊大王不怕困难</v>
      </c>
      <c r="F8" s="61" t="s">
        <v>1272</v>
      </c>
      <c r="G8" s="61" t="str">
        <f>四月口碑加热!F95</f>
        <v>69f1c29d0000000023005a50</v>
      </c>
      <c r="H8" s="59">
        <f>四月口碑加热!I95</f>
        <v>8</v>
      </c>
      <c r="I8" s="9">
        <v>26</v>
      </c>
      <c r="J8" s="77">
        <v>200</v>
      </c>
      <c r="K8" s="9">
        <v>14</v>
      </c>
      <c r="L8" s="9">
        <v>0</v>
      </c>
      <c r="M8" s="9">
        <v>2</v>
      </c>
      <c r="N8" s="9">
        <f t="shared" si="0"/>
        <v>16</v>
      </c>
      <c r="O8" s="9"/>
      <c r="P8" s="9"/>
    </row>
    <row r="9" spans="1:16" ht="241.25" customHeight="1">
      <c r="A9" s="9">
        <f>四月口碑加热!A96</f>
        <v>46142</v>
      </c>
      <c r="B9" s="32">
        <v>46142</v>
      </c>
      <c r="C9" s="50">
        <v>200</v>
      </c>
      <c r="D9" s="9" t="s">
        <v>1271</v>
      </c>
      <c r="E9" s="59" t="str">
        <f>四月口碑加热!D96</f>
        <v>呼呼再也不睡懒觉</v>
      </c>
      <c r="F9" s="61" t="s">
        <v>985</v>
      </c>
      <c r="G9" s="61" t="str">
        <f>四月口碑加热!F96</f>
        <v>69f2ecd80000000036000e40</v>
      </c>
      <c r="H9" s="59">
        <f>四月口碑加热!I96</f>
        <v>0</v>
      </c>
      <c r="I9" s="9">
        <v>122</v>
      </c>
      <c r="J9" s="77">
        <v>200</v>
      </c>
      <c r="K9" s="9">
        <v>108</v>
      </c>
      <c r="L9" s="9">
        <v>1</v>
      </c>
      <c r="M9" s="9">
        <v>5</v>
      </c>
      <c r="N9" s="9">
        <f t="shared" si="0"/>
        <v>114</v>
      </c>
      <c r="O9" s="9"/>
      <c r="P9" s="9"/>
    </row>
    <row r="10" spans="1:16" ht="241.25" customHeight="1">
      <c r="A10" s="9">
        <f>四月口碑加热!A97</f>
        <v>46142</v>
      </c>
      <c r="B10" s="32">
        <v>46142</v>
      </c>
      <c r="C10" s="50">
        <v>200</v>
      </c>
      <c r="D10" s="9" t="s">
        <v>1271</v>
      </c>
      <c r="E10" s="59" t="str">
        <f>四月口碑加热!D97</f>
        <v>可恶又打喷嚏</v>
      </c>
      <c r="F10" s="61" t="s">
        <v>988</v>
      </c>
      <c r="G10" s="61" t="str">
        <f>四月口碑加热!F97</f>
        <v>69f29fb3000000001a037e6b</v>
      </c>
      <c r="H10" s="59">
        <f>四月口碑加热!I97</f>
        <v>18</v>
      </c>
      <c r="I10" s="9">
        <v>211</v>
      </c>
      <c r="J10" s="77">
        <v>200</v>
      </c>
      <c r="K10" s="9">
        <v>182</v>
      </c>
      <c r="L10" s="9">
        <v>0</v>
      </c>
      <c r="M10" s="9">
        <v>0</v>
      </c>
      <c r="N10" s="9">
        <f t="shared" si="0"/>
        <v>182</v>
      </c>
      <c r="O10" s="9"/>
      <c r="P10" s="9"/>
    </row>
    <row r="11" spans="1:16" ht="241.25" customHeight="1">
      <c r="A11" s="9">
        <f>四月口碑加热!A98</f>
        <v>46141</v>
      </c>
      <c r="B11" s="32">
        <v>46142</v>
      </c>
      <c r="C11" s="50">
        <v>200</v>
      </c>
      <c r="D11" s="9" t="s">
        <v>1271</v>
      </c>
      <c r="E11" s="59" t="str">
        <f>四月口碑加热!D98</f>
        <v>煎饼狗子</v>
      </c>
      <c r="F11" s="61" t="s">
        <v>992</v>
      </c>
      <c r="G11" s="61" t="str">
        <f>四月口碑加热!F98</f>
        <v>69f1d8fe000000003503860e</v>
      </c>
      <c r="H11" s="59">
        <f>四月口碑加热!I98</f>
        <v>0</v>
      </c>
      <c r="I11" s="9">
        <v>17</v>
      </c>
      <c r="J11" s="77">
        <v>200</v>
      </c>
      <c r="K11" s="9">
        <v>16</v>
      </c>
      <c r="L11" s="9">
        <v>0</v>
      </c>
      <c r="M11" s="9">
        <v>0</v>
      </c>
      <c r="N11" s="9">
        <f t="shared" si="0"/>
        <v>16</v>
      </c>
      <c r="O11" s="9"/>
      <c r="P11" s="9"/>
    </row>
    <row r="12" spans="1:16" ht="241.25" customHeight="1">
      <c r="A12" s="9">
        <f>四月口碑加热!A99</f>
        <v>46141</v>
      </c>
      <c r="B12" s="32">
        <v>46142</v>
      </c>
      <c r="C12" s="50">
        <v>200</v>
      </c>
      <c r="D12" s="9" t="s">
        <v>1271</v>
      </c>
      <c r="E12" s="59" t="str">
        <f>四月口碑加热!D99</f>
        <v>真忘私绵</v>
      </c>
      <c r="F12" s="61" t="s">
        <v>996</v>
      </c>
      <c r="G12" s="61" t="str">
        <f>四月口碑加热!F99</f>
        <v>69f19283000000003503b16f</v>
      </c>
      <c r="H12" s="59">
        <f>四月口碑加热!I99</f>
        <v>35</v>
      </c>
      <c r="I12" s="9">
        <v>215</v>
      </c>
      <c r="J12" s="77">
        <v>200</v>
      </c>
      <c r="K12" s="9">
        <v>47</v>
      </c>
      <c r="L12" s="9">
        <v>3</v>
      </c>
      <c r="M12" s="9">
        <v>10</v>
      </c>
      <c r="N12" s="9">
        <f t="shared" si="0"/>
        <v>60</v>
      </c>
      <c r="O12" s="9"/>
      <c r="P12" s="9"/>
    </row>
    <row r="13" spans="1:16" ht="241.25" customHeight="1">
      <c r="A13" s="9">
        <f>四月口碑加热!A100</f>
        <v>46141</v>
      </c>
      <c r="B13" s="32">
        <v>46142</v>
      </c>
      <c r="C13" s="50">
        <v>200</v>
      </c>
      <c r="D13" s="9" t="s">
        <v>1271</v>
      </c>
      <c r="E13" s="59" t="str">
        <f>四月口碑加热!D100</f>
        <v>旅行的皮神</v>
      </c>
      <c r="F13" s="61" t="s">
        <v>1000</v>
      </c>
      <c r="G13" s="61" t="str">
        <f>四月口碑加热!F100</f>
        <v>69f1b5c4000000003502cfd0</v>
      </c>
      <c r="H13" s="59">
        <f>四月口碑加热!I100</f>
        <v>414</v>
      </c>
      <c r="I13" s="9">
        <v>27029</v>
      </c>
      <c r="J13" s="77">
        <v>200</v>
      </c>
      <c r="K13" s="9">
        <v>133</v>
      </c>
      <c r="L13" s="9">
        <v>25</v>
      </c>
      <c r="M13" s="9">
        <v>3</v>
      </c>
      <c r="N13" s="9">
        <f t="shared" si="0"/>
        <v>161</v>
      </c>
      <c r="O13" s="9"/>
      <c r="P13" s="9"/>
    </row>
    <row r="14" spans="1:16" ht="241.25" customHeight="1">
      <c r="A14" s="9">
        <f>'5月口碑加热'!A3</f>
        <v>46147</v>
      </c>
      <c r="B14" s="32">
        <v>46148</v>
      </c>
      <c r="C14" s="50">
        <v>200</v>
      </c>
      <c r="D14" s="9" t="s">
        <v>1271</v>
      </c>
      <c r="E14" s="59" t="str">
        <f>'5月口碑加热'!D3</f>
        <v>路</v>
      </c>
      <c r="F14" s="61" t="s">
        <v>1006</v>
      </c>
      <c r="G14" s="61" t="str">
        <f>'5月口碑加热'!F3</f>
        <v>69f9fede0000000036001eb0</v>
      </c>
      <c r="H14" s="59">
        <f>'5月口碑加热'!I3</f>
        <v>35</v>
      </c>
      <c r="I14" s="9">
        <v>406</v>
      </c>
      <c r="J14" s="77">
        <v>200</v>
      </c>
      <c r="K14" s="9">
        <v>233</v>
      </c>
      <c r="L14" s="9">
        <v>1</v>
      </c>
      <c r="M14" s="9">
        <v>27</v>
      </c>
      <c r="N14" s="9">
        <f t="shared" si="0"/>
        <v>261</v>
      </c>
      <c r="O14" s="9"/>
      <c r="P14" s="9"/>
    </row>
    <row r="15" spans="1:16" ht="241.25" customHeight="1">
      <c r="A15" s="9">
        <f>'5月口碑加热'!A4</f>
        <v>46147</v>
      </c>
      <c r="B15" s="32">
        <v>46148</v>
      </c>
      <c r="C15" s="50">
        <v>200</v>
      </c>
      <c r="D15" s="9" t="s">
        <v>1271</v>
      </c>
      <c r="E15" s="59" t="str">
        <f>'5月口碑加热'!D4</f>
        <v>纯情丫头火辣辣之性感母蟑螂</v>
      </c>
      <c r="F15" s="61" t="s">
        <v>1010</v>
      </c>
      <c r="G15" s="61" t="str">
        <f>'5月口碑加热'!F4</f>
        <v>69f9d0d5000000003601a3f1</v>
      </c>
      <c r="H15" s="59">
        <f>'5月口碑加热'!I4</f>
        <v>5</v>
      </c>
      <c r="I15" s="9">
        <v>115</v>
      </c>
      <c r="J15" s="77">
        <v>200</v>
      </c>
      <c r="K15" s="9">
        <v>99</v>
      </c>
      <c r="L15" s="9">
        <v>1</v>
      </c>
      <c r="M15" s="9">
        <v>3</v>
      </c>
      <c r="N15" s="9">
        <f t="shared" si="0"/>
        <v>103</v>
      </c>
      <c r="O15" s="9"/>
      <c r="P15" s="9"/>
    </row>
    <row r="16" spans="1:16" ht="241.25" customHeight="1">
      <c r="A16" s="9">
        <f>'5月口碑加热'!A5</f>
        <v>46143</v>
      </c>
      <c r="B16" s="32">
        <v>46148</v>
      </c>
      <c r="C16" s="50">
        <v>200</v>
      </c>
      <c r="D16" s="9" t="s">
        <v>1271</v>
      </c>
      <c r="E16" s="59" t="str">
        <f>'5月口碑加热'!D5</f>
        <v>路灯很亮</v>
      </c>
      <c r="F16" s="61" t="s">
        <v>1014</v>
      </c>
      <c r="G16" s="61" t="str">
        <f>'5月口碑加热'!F5</f>
        <v>69f2f64d000000002202410c</v>
      </c>
      <c r="H16" s="59">
        <f>'5月口碑加热'!I5</f>
        <v>3679</v>
      </c>
      <c r="I16" s="9">
        <v>3731</v>
      </c>
      <c r="J16" s="50">
        <f>200-174.7</f>
        <v>25.300000000000011</v>
      </c>
      <c r="K16" s="9">
        <v>46</v>
      </c>
      <c r="L16" s="9">
        <v>5</v>
      </c>
      <c r="M16" s="9">
        <v>2</v>
      </c>
      <c r="N16" s="9">
        <f t="shared" si="0"/>
        <v>53</v>
      </c>
      <c r="O16" s="9"/>
      <c r="P16" s="9"/>
    </row>
    <row r="17" spans="1:16" ht="232.25" customHeight="1">
      <c r="A17" s="9">
        <f>'5月口碑加热'!A6</f>
        <v>46143</v>
      </c>
      <c r="B17" s="32">
        <v>46148</v>
      </c>
      <c r="C17" s="50">
        <v>200</v>
      </c>
      <c r="D17" s="9" t="s">
        <v>1271</v>
      </c>
      <c r="E17" s="59" t="str">
        <f>'5月口碑加热'!D6</f>
        <v>岁岁常安</v>
      </c>
      <c r="F17" s="61" t="s">
        <v>1019</v>
      </c>
      <c r="G17" s="61" t="str">
        <f>'5月口碑加热'!F6</f>
        <v>69f1e8ef000000001e00cc08</v>
      </c>
      <c r="H17" s="59">
        <f>'5月口碑加热'!I6</f>
        <v>1359</v>
      </c>
      <c r="I17" s="9">
        <v>1486</v>
      </c>
      <c r="J17" s="77">
        <v>200</v>
      </c>
      <c r="K17" s="9">
        <v>2</v>
      </c>
      <c r="L17" s="9">
        <v>1</v>
      </c>
      <c r="M17" s="9">
        <v>2</v>
      </c>
      <c r="N17" s="9">
        <f t="shared" si="0"/>
        <v>5</v>
      </c>
      <c r="O17" s="9"/>
      <c r="P17" s="9"/>
    </row>
    <row r="18" spans="1:16" ht="256.5" customHeight="1">
      <c r="A18" s="9">
        <f>'5月口碑加热'!A7</f>
        <v>46146</v>
      </c>
      <c r="B18" s="32">
        <v>46148</v>
      </c>
      <c r="C18" s="50">
        <v>200</v>
      </c>
      <c r="D18" s="9" t="s">
        <v>1271</v>
      </c>
      <c r="E18" s="59" t="str">
        <f>'5月口碑加热'!D7</f>
        <v>zizi</v>
      </c>
      <c r="F18" s="61" t="s">
        <v>1023</v>
      </c>
      <c r="G18" s="61" t="str">
        <f>'5月口碑加热'!F7</f>
        <v>69f6f7160000000035032d5a</v>
      </c>
      <c r="H18" s="59">
        <f>'5月口碑加热'!I7</f>
        <v>1332</v>
      </c>
      <c r="I18" s="9">
        <v>2617</v>
      </c>
      <c r="J18" s="50">
        <v>179.57</v>
      </c>
      <c r="K18" s="9">
        <v>6</v>
      </c>
      <c r="L18" s="9">
        <v>1</v>
      </c>
      <c r="M18" s="9">
        <v>0</v>
      </c>
      <c r="N18" s="9">
        <f t="shared" si="0"/>
        <v>7</v>
      </c>
      <c r="O18" s="9"/>
      <c r="P18" s="9"/>
    </row>
    <row r="19" spans="1:16" ht="241.25" customHeight="1">
      <c r="A19" s="9">
        <f>'5月口碑加热'!A8</f>
        <v>46149</v>
      </c>
      <c r="B19" s="32">
        <v>46149</v>
      </c>
      <c r="C19" s="50">
        <v>200</v>
      </c>
      <c r="D19" s="9" t="s">
        <v>1271</v>
      </c>
      <c r="E19" s="59" t="str">
        <f>'5月口碑加热'!D8</f>
        <v>自由散漫顾小可</v>
      </c>
      <c r="F19" s="61" t="s">
        <v>1029</v>
      </c>
      <c r="G19" s="61" t="str">
        <f>'5月口碑加热'!F8</f>
        <v>69fb8678000000003503053f</v>
      </c>
      <c r="H19" s="59">
        <f>'5月口碑加热'!I8</f>
        <v>1</v>
      </c>
      <c r="I19" s="9">
        <v>34</v>
      </c>
      <c r="J19" s="77">
        <v>200</v>
      </c>
      <c r="K19" s="9">
        <v>29</v>
      </c>
      <c r="L19" s="9">
        <v>0</v>
      </c>
      <c r="M19" s="9">
        <v>2</v>
      </c>
      <c r="N19" s="9">
        <f t="shared" si="0"/>
        <v>31</v>
      </c>
      <c r="O19" s="9"/>
      <c r="P19" s="9"/>
    </row>
    <row r="20" spans="1:16" ht="241.25" customHeight="1">
      <c r="A20" s="9">
        <f>'5月口碑加热'!A9</f>
        <v>46148</v>
      </c>
      <c r="B20" s="32">
        <v>46149</v>
      </c>
      <c r="C20" s="50">
        <v>200</v>
      </c>
      <c r="D20" s="9" t="s">
        <v>1271</v>
      </c>
      <c r="E20" s="59" t="str">
        <f>'5月口碑加热'!D9</f>
        <v>nono</v>
      </c>
      <c r="F20" s="61" t="s">
        <v>1033</v>
      </c>
      <c r="G20" s="61" t="str">
        <f>'5月口碑加热'!F9</f>
        <v>69fb226a00000000350207ff</v>
      </c>
      <c r="H20" s="59">
        <f>'5月口碑加热'!I9</f>
        <v>19</v>
      </c>
      <c r="I20" s="9">
        <v>822</v>
      </c>
      <c r="J20" s="77">
        <v>200</v>
      </c>
      <c r="K20" s="9">
        <v>348</v>
      </c>
      <c r="L20" s="9">
        <v>3</v>
      </c>
      <c r="M20" s="9">
        <v>2</v>
      </c>
      <c r="N20" s="9">
        <f t="shared" si="0"/>
        <v>353</v>
      </c>
      <c r="O20" s="9"/>
      <c r="P20" s="9"/>
    </row>
    <row r="21" spans="1:16" ht="241.25" customHeight="1">
      <c r="A21" s="9">
        <f>'5月口碑加热'!A10</f>
        <v>46148</v>
      </c>
      <c r="B21" s="32">
        <v>46149</v>
      </c>
      <c r="C21" s="50">
        <v>200</v>
      </c>
      <c r="D21" s="9" t="s">
        <v>1271</v>
      </c>
      <c r="E21" s="59" t="str">
        <f>'5月口碑加热'!D10</f>
        <v>Ms戴满世界浪</v>
      </c>
      <c r="F21" s="61" t="s">
        <v>1037</v>
      </c>
      <c r="G21" s="61" t="str">
        <f>'5月口碑加热'!F10</f>
        <v>69fc0ddb000000001f005a56</v>
      </c>
      <c r="H21" s="59">
        <f>'5月口碑加热'!I10</f>
        <v>4</v>
      </c>
      <c r="I21" s="9">
        <v>67</v>
      </c>
      <c r="J21" s="77">
        <v>200</v>
      </c>
      <c r="K21" s="9">
        <v>52</v>
      </c>
      <c r="L21" s="9">
        <v>0</v>
      </c>
      <c r="M21" s="9">
        <v>4</v>
      </c>
      <c r="N21" s="9">
        <f t="shared" si="0"/>
        <v>56</v>
      </c>
      <c r="O21" s="9"/>
      <c r="P21" s="9"/>
    </row>
    <row r="22" spans="1:16" ht="241.25" customHeight="1">
      <c r="A22" s="9">
        <f>'5月口碑加热'!A11</f>
        <v>46148</v>
      </c>
      <c r="B22" s="32">
        <v>46149</v>
      </c>
      <c r="C22" s="50">
        <v>200</v>
      </c>
      <c r="D22" s="9" t="s">
        <v>1271</v>
      </c>
      <c r="E22" s="59" t="str">
        <f>'5月口碑加热'!D11</f>
        <v>Toby</v>
      </c>
      <c r="F22" s="61" t="s">
        <v>1042</v>
      </c>
      <c r="G22" s="61" t="str">
        <f>'5月口碑加热'!F11</f>
        <v>69fb34d0000000003703435a</v>
      </c>
      <c r="H22" s="59">
        <f>'5月口碑加热'!I11</f>
        <v>30</v>
      </c>
      <c r="I22" s="9">
        <v>84</v>
      </c>
      <c r="J22" s="77">
        <v>200</v>
      </c>
      <c r="K22" s="9">
        <v>17</v>
      </c>
      <c r="L22" s="9">
        <v>10</v>
      </c>
      <c r="M22" s="9">
        <v>1</v>
      </c>
      <c r="N22" s="9">
        <f t="shared" si="0"/>
        <v>28</v>
      </c>
      <c r="O22" s="9"/>
      <c r="P22" s="9"/>
    </row>
    <row r="23" spans="1:16" ht="258" customHeight="1">
      <c r="A23" s="9">
        <f>'5月口碑加热'!A12</f>
        <v>46149</v>
      </c>
      <c r="B23" s="32">
        <v>46149</v>
      </c>
      <c r="C23" s="50">
        <v>200</v>
      </c>
      <c r="D23" s="9" t="s">
        <v>1271</v>
      </c>
      <c r="E23" s="59" t="str">
        <f>'5月口碑加热'!D12</f>
        <v>小红薯69DD39E5</v>
      </c>
      <c r="F23" s="61" t="s">
        <v>1046</v>
      </c>
      <c r="G23" s="61" t="str">
        <f>'5月口碑加热'!F12</f>
        <v>69fc2d28000000002003a003</v>
      </c>
      <c r="H23" s="59">
        <f>'5月口碑加热'!I12</f>
        <v>6</v>
      </c>
      <c r="I23" s="9">
        <v>17</v>
      </c>
      <c r="J23" s="77">
        <v>200</v>
      </c>
      <c r="K23" s="9">
        <v>1</v>
      </c>
      <c r="L23" s="9">
        <v>0</v>
      </c>
      <c r="M23" s="9">
        <v>0</v>
      </c>
      <c r="N23" s="9">
        <f t="shared" si="0"/>
        <v>1</v>
      </c>
      <c r="O23" s="9"/>
      <c r="P23" s="9"/>
    </row>
    <row r="24" spans="1:16" ht="241.25" customHeight="1">
      <c r="A24" s="9">
        <f>'5月口碑加热'!A13</f>
        <v>46148</v>
      </c>
      <c r="B24" s="32">
        <v>46149</v>
      </c>
      <c r="C24" s="50">
        <v>200</v>
      </c>
      <c r="D24" s="9" t="s">
        <v>1271</v>
      </c>
      <c r="E24" s="59" t="str">
        <f>'5月口碑加热'!D13</f>
        <v>张煊野</v>
      </c>
      <c r="F24" s="61" t="s">
        <v>1050</v>
      </c>
      <c r="G24" s="61" t="str">
        <f>'5月口碑加热'!F13</f>
        <v>69fa2dbd00000000360197a1</v>
      </c>
      <c r="H24" s="59">
        <f>'5月口碑加热'!I13</f>
        <v>14</v>
      </c>
      <c r="I24" s="9">
        <v>83</v>
      </c>
      <c r="J24" s="77">
        <v>200</v>
      </c>
      <c r="K24" s="9">
        <v>31</v>
      </c>
      <c r="L24" s="9">
        <v>5</v>
      </c>
      <c r="M24" s="9">
        <v>17</v>
      </c>
      <c r="N24" s="9">
        <f t="shared" si="0"/>
        <v>53</v>
      </c>
      <c r="O24" s="9"/>
      <c r="P24" s="9"/>
    </row>
    <row r="25" spans="1:16" ht="241.25" customHeight="1">
      <c r="A25" s="32">
        <v>46147</v>
      </c>
      <c r="B25" s="32">
        <v>46149</v>
      </c>
      <c r="C25" s="50">
        <v>200</v>
      </c>
      <c r="D25" s="9" t="s">
        <v>1271</v>
      </c>
      <c r="E25" s="59" t="s">
        <v>1005</v>
      </c>
      <c r="F25" s="61" t="s">
        <v>1006</v>
      </c>
      <c r="G25" s="61" t="s">
        <v>1007</v>
      </c>
      <c r="H25" s="59">
        <v>35</v>
      </c>
      <c r="I25" s="9">
        <v>406</v>
      </c>
      <c r="J25" s="50">
        <v>14.54</v>
      </c>
      <c r="K25" s="9">
        <v>21</v>
      </c>
      <c r="L25" s="9">
        <v>0</v>
      </c>
      <c r="M25" s="9">
        <v>0</v>
      </c>
      <c r="N25" s="9">
        <f t="shared" si="0"/>
        <v>21</v>
      </c>
      <c r="O25" s="9"/>
      <c r="P25" s="9"/>
    </row>
    <row r="26" spans="1:16" ht="241.25" customHeight="1">
      <c r="A26" s="32">
        <v>46147</v>
      </c>
      <c r="B26" s="32">
        <v>46150</v>
      </c>
      <c r="C26" s="50">
        <v>200</v>
      </c>
      <c r="D26" s="9" t="s">
        <v>1271</v>
      </c>
      <c r="E26" s="59" t="s">
        <v>1032</v>
      </c>
      <c r="F26" s="61" t="s">
        <v>1033</v>
      </c>
      <c r="G26" s="61" t="s">
        <v>1034</v>
      </c>
      <c r="H26" s="59">
        <v>19</v>
      </c>
      <c r="I26" s="9">
        <v>822</v>
      </c>
      <c r="J26" s="77">
        <v>200</v>
      </c>
      <c r="K26" s="9">
        <v>420</v>
      </c>
      <c r="L26" s="9">
        <v>2</v>
      </c>
      <c r="M26" s="9">
        <v>5</v>
      </c>
      <c r="N26" s="9">
        <f t="shared" si="0"/>
        <v>427</v>
      </c>
      <c r="O26" s="9"/>
      <c r="P26" s="9"/>
    </row>
    <row r="27" spans="1:16" ht="241.25" customHeight="1">
      <c r="A27" s="9">
        <f>'5月口碑加热'!A14</f>
        <v>46149</v>
      </c>
      <c r="B27" s="32">
        <v>46150</v>
      </c>
      <c r="C27" s="50">
        <v>200</v>
      </c>
      <c r="D27" s="9" t="s">
        <v>1271</v>
      </c>
      <c r="E27" s="59" t="str">
        <f>'5月口碑加热'!D14</f>
        <v>不熬夜睡好觉</v>
      </c>
      <c r="F27" s="61" t="s">
        <v>1055</v>
      </c>
      <c r="G27" s="61" t="str">
        <f>'5月口碑加热'!F14</f>
        <v>69fc838f0000000035039774</v>
      </c>
      <c r="H27" s="59">
        <f>'5月口碑加热'!I14</f>
        <v>6</v>
      </c>
      <c r="I27" s="9">
        <v>156</v>
      </c>
      <c r="J27" s="77">
        <v>200</v>
      </c>
      <c r="K27" s="9">
        <v>128</v>
      </c>
      <c r="L27" s="9">
        <v>0</v>
      </c>
      <c r="M27" s="9">
        <v>3</v>
      </c>
      <c r="N27" s="9">
        <f t="shared" si="0"/>
        <v>131</v>
      </c>
      <c r="O27" s="9"/>
      <c r="P27" s="9"/>
    </row>
    <row r="28" spans="1:16" ht="241.25" customHeight="1">
      <c r="A28" s="9">
        <f>'5月口碑加热'!A15</f>
        <v>46149</v>
      </c>
      <c r="B28" s="32">
        <v>46150</v>
      </c>
      <c r="C28" s="50">
        <v>200</v>
      </c>
      <c r="D28" s="9" t="s">
        <v>1271</v>
      </c>
      <c r="E28" s="59" t="str">
        <f>'5月口碑加热'!D15</f>
        <v>原点</v>
      </c>
      <c r="F28" s="61" t="s">
        <v>1059</v>
      </c>
      <c r="G28" s="61" t="str">
        <f>'5月口碑加热'!F15</f>
        <v>69fcae64000000001a02cfdc</v>
      </c>
      <c r="H28" s="59">
        <f>'5月口碑加热'!I15</f>
        <v>0</v>
      </c>
      <c r="I28" s="9">
        <v>20</v>
      </c>
      <c r="J28" s="77">
        <v>200</v>
      </c>
      <c r="K28" s="9">
        <v>8</v>
      </c>
      <c r="L28" s="9">
        <v>0</v>
      </c>
      <c r="M28" s="9">
        <v>0</v>
      </c>
      <c r="N28" s="9">
        <f t="shared" si="0"/>
        <v>8</v>
      </c>
      <c r="O28" s="9"/>
      <c r="P28" s="9"/>
    </row>
    <row r="29" spans="1:16" ht="241.25" customHeight="1">
      <c r="A29" s="9">
        <f>'5月口碑加热'!A16</f>
        <v>46149</v>
      </c>
      <c r="B29" s="32">
        <v>46150</v>
      </c>
      <c r="C29" s="50">
        <v>200</v>
      </c>
      <c r="D29" s="9" t="s">
        <v>1271</v>
      </c>
      <c r="E29" s="78" t="str">
        <f>'5月口碑加热'!D16</f>
        <v>豆豆九段</v>
      </c>
      <c r="F29" s="61" t="s">
        <v>1063</v>
      </c>
      <c r="G29" s="61" t="str">
        <f>'5月口碑加热'!F16</f>
        <v>69fc65f90000000022028b6c</v>
      </c>
      <c r="H29" s="59">
        <f>'5月口碑加热'!I16</f>
        <v>28</v>
      </c>
      <c r="I29" s="9">
        <f>H29+SUM(K29:M29)</f>
        <v>210</v>
      </c>
      <c r="J29" s="77">
        <v>200</v>
      </c>
      <c r="K29" s="9">
        <v>160</v>
      </c>
      <c r="L29" s="9">
        <v>18</v>
      </c>
      <c r="M29" s="9">
        <v>4</v>
      </c>
      <c r="N29" s="9">
        <f t="shared" si="0"/>
        <v>182</v>
      </c>
      <c r="O29" s="9"/>
      <c r="P29" s="9"/>
    </row>
    <row r="30" spans="1:16" ht="241.25" customHeight="1">
      <c r="A30" s="9">
        <f>'5月口碑加热'!A17</f>
        <v>46148</v>
      </c>
      <c r="B30" s="32">
        <v>46150</v>
      </c>
      <c r="C30" s="50">
        <v>200</v>
      </c>
      <c r="D30" s="9" t="s">
        <v>1271</v>
      </c>
      <c r="E30" s="59" t="str">
        <f>'5月口碑加热'!D17</f>
        <v>豆芽</v>
      </c>
      <c r="F30" s="61" t="s">
        <v>1068</v>
      </c>
      <c r="G30" s="61" t="str">
        <f>'5月口碑加热'!F17</f>
        <v>69f8702a000000001b021637</v>
      </c>
      <c r="H30" s="59">
        <f>'5月口碑加热'!I17</f>
        <v>5</v>
      </c>
      <c r="I30" s="9">
        <v>195</v>
      </c>
      <c r="J30" s="50">
        <v>169.69</v>
      </c>
      <c r="K30" s="9">
        <v>18</v>
      </c>
      <c r="L30" s="9">
        <v>0</v>
      </c>
      <c r="M30" s="9">
        <v>1</v>
      </c>
      <c r="N30" s="9">
        <f t="shared" si="0"/>
        <v>19</v>
      </c>
      <c r="O30" s="9"/>
      <c r="P30" s="9"/>
    </row>
    <row r="31" spans="1:16" ht="247.5" customHeight="1">
      <c r="A31" s="9">
        <f>'5月口碑加热'!A18</f>
        <v>46148</v>
      </c>
      <c r="B31" s="32">
        <v>46150</v>
      </c>
      <c r="C31" s="50">
        <v>200</v>
      </c>
      <c r="D31" s="9" t="s">
        <v>1271</v>
      </c>
      <c r="E31" s="59" t="str">
        <f>'5月口碑加热'!D18</f>
        <v>小小闯江湖</v>
      </c>
      <c r="F31" s="61" t="s">
        <v>1072</v>
      </c>
      <c r="G31" s="61" t="str">
        <f>'5月口碑加热'!F18</f>
        <v>69fab3fd000000003501edf9</v>
      </c>
      <c r="H31" s="59">
        <f>'5月口碑加热'!I18</f>
        <v>4</v>
      </c>
      <c r="I31" s="9">
        <f>H31+SUM(K31:M31)</f>
        <v>8</v>
      </c>
      <c r="J31" s="77">
        <v>200</v>
      </c>
      <c r="K31" s="9">
        <v>4</v>
      </c>
      <c r="L31" s="9">
        <v>0</v>
      </c>
      <c r="M31" s="9">
        <v>0</v>
      </c>
      <c r="N31" s="9">
        <f t="shared" si="0"/>
        <v>4</v>
      </c>
      <c r="O31" s="9"/>
      <c r="P31" s="9"/>
    </row>
    <row r="32" spans="1:16" ht="241.25" customHeight="1">
      <c r="A32" s="9">
        <f>'5月口碑加热'!A19</f>
        <v>46150</v>
      </c>
      <c r="B32" s="32">
        <v>46150</v>
      </c>
      <c r="C32" s="50">
        <v>200</v>
      </c>
      <c r="D32" s="9" t="s">
        <v>1271</v>
      </c>
      <c r="E32" s="59" t="str">
        <f>'5月口碑加热'!D19</f>
        <v>一颗屁桃</v>
      </c>
      <c r="F32" s="61" t="s">
        <v>1076</v>
      </c>
      <c r="G32" s="61" t="str">
        <f>'5月口碑加热'!F19</f>
        <v>69fc798c000000003502a9d8</v>
      </c>
      <c r="H32" s="59">
        <f>'5月口碑加热'!I19</f>
        <v>163</v>
      </c>
      <c r="I32" s="9">
        <v>1845</v>
      </c>
      <c r="J32" s="77">
        <v>200</v>
      </c>
      <c r="K32" s="9">
        <v>22</v>
      </c>
      <c r="L32" s="9">
        <v>4</v>
      </c>
      <c r="M32" s="9">
        <v>0</v>
      </c>
      <c r="N32" s="9">
        <f t="shared" si="0"/>
        <v>26</v>
      </c>
      <c r="O32" s="9"/>
      <c r="P32" s="9"/>
    </row>
    <row r="33" spans="1:16" ht="241" customHeight="1">
      <c r="A33" s="9">
        <f>'5月口碑加热'!A20</f>
        <v>46150</v>
      </c>
      <c r="B33" s="32">
        <v>46151</v>
      </c>
      <c r="C33" s="50">
        <v>200</v>
      </c>
      <c r="D33" s="9" t="s">
        <v>1271</v>
      </c>
      <c r="E33" s="59" t="str">
        <f>'5月口碑加热'!D20</f>
        <v>补药让我加班</v>
      </c>
      <c r="F33" s="61" t="s">
        <v>1080</v>
      </c>
      <c r="G33" s="61" t="str">
        <f>'5月口碑加热'!F20</f>
        <v>69fde0030000000035023490</v>
      </c>
      <c r="H33" s="59">
        <f>'5月口碑加热'!I20</f>
        <v>354</v>
      </c>
      <c r="I33" s="9">
        <v>5034</v>
      </c>
      <c r="J33" s="77">
        <v>200</v>
      </c>
      <c r="K33" s="9">
        <v>809</v>
      </c>
      <c r="L33" s="9">
        <v>2</v>
      </c>
      <c r="M33" s="9">
        <v>25</v>
      </c>
      <c r="N33" s="9">
        <f t="shared" si="0"/>
        <v>836</v>
      </c>
      <c r="O33" s="9"/>
      <c r="P33" s="9"/>
    </row>
    <row r="34" spans="1:16" ht="241" customHeight="1">
      <c r="A34" s="9">
        <f>'5月口碑加热'!A21</f>
        <v>46151</v>
      </c>
      <c r="B34" s="32">
        <v>46151</v>
      </c>
      <c r="C34" s="50">
        <v>200</v>
      </c>
      <c r="D34" s="9" t="s">
        <v>1271</v>
      </c>
      <c r="E34" s="59" t="str">
        <f>'5月口碑加热'!D21</f>
        <v>可恶又打喷嚏</v>
      </c>
      <c r="F34" s="61" t="s">
        <v>1083</v>
      </c>
      <c r="G34" s="61" t="str">
        <f>'5月口碑加热'!F21</f>
        <v>69fe7e640000000023017177</v>
      </c>
      <c r="H34" s="59">
        <f>'5月口碑加热'!I21</f>
        <v>50</v>
      </c>
      <c r="I34" s="9">
        <v>1217</v>
      </c>
      <c r="J34" s="77">
        <v>200</v>
      </c>
      <c r="K34" s="9">
        <v>222</v>
      </c>
      <c r="L34" s="9">
        <v>4</v>
      </c>
      <c r="M34" s="9">
        <v>3</v>
      </c>
      <c r="N34" s="9">
        <f t="shared" ref="N34:N65" si="1">SUM(K34:M34)</f>
        <v>229</v>
      </c>
      <c r="O34" s="9"/>
      <c r="P34" s="9"/>
    </row>
    <row r="35" spans="1:16" ht="268" customHeight="1">
      <c r="A35" s="9">
        <f>'5月口碑加热'!A22</f>
        <v>46153</v>
      </c>
      <c r="B35" s="32">
        <v>46153</v>
      </c>
      <c r="C35" s="50">
        <v>200</v>
      </c>
      <c r="D35" s="9" t="s">
        <v>1271</v>
      </c>
      <c r="E35" s="59" t="str">
        <f>'5月口碑加热'!D22</f>
        <v>HuiHui慢生活</v>
      </c>
      <c r="F35" s="61" t="s">
        <v>1087</v>
      </c>
      <c r="G35" s="61" t="str">
        <f>'5月口碑加热'!F22</f>
        <v>6a011d41000000000702031a</v>
      </c>
      <c r="H35" s="59">
        <f>'5月口碑加热'!I22</f>
        <v>3</v>
      </c>
      <c r="I35" s="9">
        <f>H35+SUM(K35:M35)</f>
        <v>15</v>
      </c>
      <c r="J35" s="77">
        <v>200</v>
      </c>
      <c r="K35" s="9">
        <v>11</v>
      </c>
      <c r="L35" s="9">
        <v>1</v>
      </c>
      <c r="M35" s="9">
        <v>0</v>
      </c>
      <c r="N35" s="9">
        <f t="shared" si="1"/>
        <v>12</v>
      </c>
      <c r="O35" s="9"/>
      <c r="P35" s="9"/>
    </row>
    <row r="36" spans="1:16" ht="240.5" customHeight="1">
      <c r="A36" s="9">
        <f>'5月口碑加热'!A23</f>
        <v>46152</v>
      </c>
      <c r="B36" s="32">
        <v>46153</v>
      </c>
      <c r="C36" s="50">
        <v>200</v>
      </c>
      <c r="D36" s="9" t="s">
        <v>1271</v>
      </c>
      <c r="E36" s="59" t="str">
        <f>'5月口碑加热'!D23</f>
        <v>用魔法打败魔法voc</v>
      </c>
      <c r="F36" s="61" t="s">
        <v>1091</v>
      </c>
      <c r="G36" s="61" t="str">
        <f>'5月口碑加热'!F23</f>
        <v>69ff2744000000003601bafd</v>
      </c>
      <c r="H36" s="59">
        <f>'5月口碑加热'!I23</f>
        <v>0</v>
      </c>
      <c r="I36" s="9">
        <v>48</v>
      </c>
      <c r="J36" s="77">
        <v>200</v>
      </c>
      <c r="K36" s="9">
        <v>43</v>
      </c>
      <c r="L36" s="9">
        <v>0</v>
      </c>
      <c r="M36" s="9">
        <v>4</v>
      </c>
      <c r="N36" s="9">
        <f t="shared" si="1"/>
        <v>47</v>
      </c>
      <c r="O36" s="9"/>
      <c r="P36" s="9"/>
    </row>
    <row r="37" spans="1:16" ht="240.5" customHeight="1">
      <c r="A37" s="9">
        <f>'5月口碑加热'!A24</f>
        <v>46153</v>
      </c>
      <c r="B37" s="32">
        <v>46153</v>
      </c>
      <c r="C37" s="50">
        <v>200</v>
      </c>
      <c r="D37" s="9" t="s">
        <v>1271</v>
      </c>
      <c r="E37" s="59" t="str">
        <f>'5月口碑加热'!D24</f>
        <v>偷吃老鼠药</v>
      </c>
      <c r="F37" s="61" t="s">
        <v>1095</v>
      </c>
      <c r="G37" s="61" t="str">
        <f>'5月口碑加热'!F24</f>
        <v>6a01468400000000060214be</v>
      </c>
      <c r="H37" s="59">
        <f>'5月口碑加热'!I24</f>
        <v>20</v>
      </c>
      <c r="I37" s="9">
        <v>1350</v>
      </c>
      <c r="J37" s="77">
        <v>200</v>
      </c>
      <c r="K37" s="9">
        <v>201</v>
      </c>
      <c r="L37" s="9">
        <v>0</v>
      </c>
      <c r="M37" s="9">
        <v>5</v>
      </c>
      <c r="N37" s="9">
        <f t="shared" si="1"/>
        <v>206</v>
      </c>
      <c r="O37" s="9"/>
      <c r="P37" s="9"/>
    </row>
    <row r="38" spans="1:16" ht="240.5" customHeight="1">
      <c r="A38" s="9">
        <f>'5月口碑加热'!A25</f>
        <v>46153</v>
      </c>
      <c r="B38" s="32">
        <v>46153</v>
      </c>
      <c r="C38" s="50">
        <v>200</v>
      </c>
      <c r="D38" s="9" t="s">
        <v>1271</v>
      </c>
      <c r="E38" s="59" t="str">
        <f>'5月口碑加热'!D25</f>
        <v>猫饼</v>
      </c>
      <c r="F38" s="61" t="s">
        <v>1099</v>
      </c>
      <c r="G38" s="61" t="str">
        <f>'5月口碑加热'!F25</f>
        <v>6a014275000000003601e660</v>
      </c>
      <c r="H38" s="59">
        <f>'5月口碑加热'!I25</f>
        <v>5</v>
      </c>
      <c r="I38" s="9">
        <v>94</v>
      </c>
      <c r="J38" s="77">
        <v>200</v>
      </c>
      <c r="K38" s="9">
        <v>86</v>
      </c>
      <c r="L38" s="9">
        <v>0</v>
      </c>
      <c r="M38" s="9">
        <v>2</v>
      </c>
      <c r="N38" s="9">
        <f t="shared" si="1"/>
        <v>88</v>
      </c>
      <c r="O38" s="9"/>
      <c r="P38" s="9"/>
    </row>
    <row r="39" spans="1:16" ht="232.75" customHeight="1">
      <c r="A39" s="9">
        <f>'5月口碑加热'!A26</f>
        <v>46152</v>
      </c>
      <c r="B39" s="32">
        <v>46153</v>
      </c>
      <c r="C39" s="50">
        <v>200</v>
      </c>
      <c r="D39" s="9" t="s">
        <v>1271</v>
      </c>
      <c r="E39" s="59" t="str">
        <f>'5月口碑加热'!D26</f>
        <v>父与子：共同成长</v>
      </c>
      <c r="F39" s="61" t="s">
        <v>1103</v>
      </c>
      <c r="G39" s="61" t="str">
        <f>'5月口碑加热'!F26</f>
        <v>6a0044d200000000360190fc</v>
      </c>
      <c r="H39" s="59">
        <f>'5月口碑加热'!I26</f>
        <v>8</v>
      </c>
      <c r="I39" s="9">
        <v>28</v>
      </c>
      <c r="J39" s="77">
        <v>200</v>
      </c>
      <c r="K39" s="9">
        <v>15</v>
      </c>
      <c r="L39" s="9">
        <v>1</v>
      </c>
      <c r="M39" s="9">
        <v>0</v>
      </c>
      <c r="N39" s="9">
        <f t="shared" si="1"/>
        <v>16</v>
      </c>
      <c r="O39" s="9"/>
      <c r="P39" s="9"/>
    </row>
    <row r="40" spans="1:16" ht="29" customHeight="1">
      <c r="A40" s="9">
        <f>'5月口碑加热'!A27</f>
        <v>46153</v>
      </c>
      <c r="B40" s="32">
        <v>46153</v>
      </c>
      <c r="C40" s="50">
        <v>200</v>
      </c>
      <c r="D40" s="9" t="s">
        <v>1273</v>
      </c>
      <c r="E40" s="59" t="str">
        <f>'5月口碑加热'!D27</f>
        <v>尧十二</v>
      </c>
      <c r="F40" s="61" t="s">
        <v>1107</v>
      </c>
      <c r="G40" s="61" t="str">
        <f>'5月口碑加热'!F27</f>
        <v>6a015c4b00000000060375d5</v>
      </c>
      <c r="H40" s="59">
        <f>'5月口碑加热'!I27</f>
        <v>10</v>
      </c>
      <c r="I40" s="9">
        <f>H40+SUM(K40:M40)</f>
        <v>10</v>
      </c>
      <c r="J40" s="50" t="s">
        <v>1274</v>
      </c>
      <c r="K40" s="50" t="s">
        <v>1274</v>
      </c>
      <c r="L40" s="50" t="s">
        <v>1274</v>
      </c>
      <c r="M40" s="50" t="s">
        <v>1274</v>
      </c>
      <c r="N40" s="9">
        <f t="shared" si="1"/>
        <v>0</v>
      </c>
      <c r="O40" s="50" t="s">
        <v>1274</v>
      </c>
      <c r="P40" s="50"/>
    </row>
    <row r="41" spans="1:16" ht="228.25" customHeight="1">
      <c r="A41" s="9">
        <f>'5月口碑加热'!A28</f>
        <v>46152</v>
      </c>
      <c r="B41" s="32">
        <v>46153</v>
      </c>
      <c r="C41" s="50">
        <v>200</v>
      </c>
      <c r="D41" s="9" t="s">
        <v>1271</v>
      </c>
      <c r="E41" s="59" t="str">
        <f>'5月口碑加热'!D28</f>
        <v>贝壳与贝果</v>
      </c>
      <c r="F41" s="61" t="s">
        <v>1111</v>
      </c>
      <c r="G41" s="61" t="str">
        <f>'5月口碑加热'!F28</f>
        <v>69edd0cf0000000035025453</v>
      </c>
      <c r="H41" s="59">
        <f>'5月口碑加热'!I28</f>
        <v>12</v>
      </c>
      <c r="I41" s="9">
        <v>27</v>
      </c>
      <c r="J41" s="77">
        <v>200</v>
      </c>
      <c r="K41" s="9">
        <v>12</v>
      </c>
      <c r="L41" s="9">
        <v>0</v>
      </c>
      <c r="M41" s="9">
        <v>0</v>
      </c>
      <c r="N41" s="9">
        <f t="shared" si="1"/>
        <v>12</v>
      </c>
      <c r="O41" s="9"/>
      <c r="P41" s="9"/>
    </row>
    <row r="42" spans="1:16" ht="257.5" customHeight="1">
      <c r="A42" s="9">
        <f>'5月口碑加热'!A29</f>
        <v>46153</v>
      </c>
      <c r="B42" s="32">
        <v>46153</v>
      </c>
      <c r="C42" s="50">
        <v>200</v>
      </c>
      <c r="D42" s="9" t="s">
        <v>1271</v>
      </c>
      <c r="E42" s="59" t="str">
        <f>'5月口碑加热'!D29</f>
        <v>暴富猫</v>
      </c>
      <c r="F42" s="61" t="s">
        <v>1114</v>
      </c>
      <c r="G42" s="61" t="str">
        <f>'5月口碑加热'!F29</f>
        <v>6a013f80000000000803ca41</v>
      </c>
      <c r="H42" s="59">
        <f>'5月口碑加热'!I29</f>
        <v>0</v>
      </c>
      <c r="I42" s="9">
        <v>8</v>
      </c>
      <c r="J42" s="77">
        <v>200</v>
      </c>
      <c r="K42" s="9">
        <v>6</v>
      </c>
      <c r="L42" s="9">
        <v>0</v>
      </c>
      <c r="M42" s="9">
        <v>1</v>
      </c>
      <c r="N42" s="9">
        <f t="shared" si="1"/>
        <v>7</v>
      </c>
      <c r="O42" s="9"/>
      <c r="P42" s="9"/>
    </row>
    <row r="43" spans="1:16" ht="241" customHeight="1">
      <c r="A43" s="9">
        <f>'5月口碑加热'!A30</f>
        <v>46153</v>
      </c>
      <c r="B43" s="32">
        <v>46154</v>
      </c>
      <c r="C43" s="50">
        <v>200</v>
      </c>
      <c r="D43" s="9" t="s">
        <v>1271</v>
      </c>
      <c r="E43" s="59" t="str">
        <f>'5月口碑加热'!D30</f>
        <v>早八灵魂出走中</v>
      </c>
      <c r="F43" s="61" t="s">
        <v>1118</v>
      </c>
      <c r="G43" s="61" t="str">
        <f>'5月口碑加热'!F30</f>
        <v>6a01b530000000003601e708</v>
      </c>
      <c r="H43" s="59">
        <f>'5月口碑加热'!I30</f>
        <v>4</v>
      </c>
      <c r="I43" s="9">
        <v>68</v>
      </c>
      <c r="J43" s="77">
        <v>200</v>
      </c>
      <c r="K43" s="9">
        <v>54</v>
      </c>
      <c r="L43" s="9">
        <v>1</v>
      </c>
      <c r="M43" s="9">
        <v>3</v>
      </c>
      <c r="N43" s="9">
        <f t="shared" si="1"/>
        <v>58</v>
      </c>
      <c r="O43" s="9"/>
      <c r="P43" s="9"/>
    </row>
    <row r="44" spans="1:16" ht="241" customHeight="1">
      <c r="A44" s="9">
        <f>'5月口碑加热'!A31</f>
        <v>46154</v>
      </c>
      <c r="B44" s="32">
        <v>46154</v>
      </c>
      <c r="C44" s="50">
        <v>200</v>
      </c>
      <c r="D44" s="9" t="s">
        <v>1271</v>
      </c>
      <c r="E44" s="59" t="str">
        <f>'5月口碑加热'!D31</f>
        <v>努力校招中🌟</v>
      </c>
      <c r="F44" s="61" t="s">
        <v>1122</v>
      </c>
      <c r="G44" s="61" t="str">
        <f>'5月口碑加热'!F31</f>
        <v>6a02a86800000000070130aa</v>
      </c>
      <c r="H44" s="59">
        <f>'5月口碑加热'!I31</f>
        <v>3</v>
      </c>
      <c r="I44" s="9">
        <v>87</v>
      </c>
      <c r="J44" s="77">
        <v>200</v>
      </c>
      <c r="K44" s="9">
        <v>71</v>
      </c>
      <c r="L44" s="9">
        <v>0</v>
      </c>
      <c r="M44" s="9">
        <v>3</v>
      </c>
      <c r="N44" s="9">
        <f t="shared" si="1"/>
        <v>74</v>
      </c>
      <c r="O44" s="9"/>
      <c r="P44" s="9"/>
    </row>
    <row r="45" spans="1:16" ht="241" customHeight="1">
      <c r="A45" s="9">
        <f>'5月口碑加热'!A32</f>
        <v>46153</v>
      </c>
      <c r="B45" s="32">
        <v>46154</v>
      </c>
      <c r="C45" s="50">
        <v>200</v>
      </c>
      <c r="D45" s="9" t="s">
        <v>1271</v>
      </c>
      <c r="E45" s="59" t="str">
        <f>'5月口碑加热'!D32</f>
        <v>补药让我加班</v>
      </c>
      <c r="F45" s="61" t="s">
        <v>1125</v>
      </c>
      <c r="G45" s="61" t="str">
        <f>'5月口碑加热'!F32</f>
        <v>6a01ed3a000000003503a60e</v>
      </c>
      <c r="H45" s="59">
        <f>'5月口碑加热'!I32</f>
        <v>2</v>
      </c>
      <c r="I45" s="9">
        <v>403</v>
      </c>
      <c r="J45" s="77">
        <v>200</v>
      </c>
      <c r="K45" s="9">
        <v>175</v>
      </c>
      <c r="L45" s="9">
        <v>1</v>
      </c>
      <c r="M45" s="9">
        <v>0</v>
      </c>
      <c r="N45" s="9">
        <f t="shared" si="1"/>
        <v>176</v>
      </c>
      <c r="O45" s="9"/>
      <c r="P45" s="9"/>
    </row>
    <row r="46" spans="1:16" ht="241" customHeight="1">
      <c r="A46" s="9">
        <f>'5月口碑加热'!A33</f>
        <v>46153</v>
      </c>
      <c r="B46" s="32">
        <v>46154</v>
      </c>
      <c r="C46" s="50">
        <v>200</v>
      </c>
      <c r="D46" s="9" t="s">
        <v>1271</v>
      </c>
      <c r="E46" s="59" t="str">
        <f>'5月口碑加热'!D33</f>
        <v>葡萄糖太郎</v>
      </c>
      <c r="F46" s="61" t="s">
        <v>1129</v>
      </c>
      <c r="G46" s="61" t="str">
        <f>'5月口碑加热'!F33</f>
        <v>6a01c59a0000000035038156</v>
      </c>
      <c r="H46" s="59">
        <f>'5月口碑加热'!I33</f>
        <v>12</v>
      </c>
      <c r="I46" s="9">
        <v>161</v>
      </c>
      <c r="J46" s="77">
        <v>200</v>
      </c>
      <c r="K46" s="9">
        <v>132</v>
      </c>
      <c r="L46" s="9">
        <v>0</v>
      </c>
      <c r="M46" s="9">
        <v>2</v>
      </c>
      <c r="N46" s="9">
        <f t="shared" si="1"/>
        <v>134</v>
      </c>
      <c r="O46" s="9"/>
      <c r="P46" s="9"/>
    </row>
    <row r="47" spans="1:16" ht="241" customHeight="1">
      <c r="A47" s="9">
        <f>'5月口碑加热'!A34</f>
        <v>46153</v>
      </c>
      <c r="B47" s="32">
        <v>46154</v>
      </c>
      <c r="C47" s="50">
        <v>200</v>
      </c>
      <c r="D47" s="9" t="s">
        <v>1271</v>
      </c>
      <c r="E47" s="59" t="str">
        <f>'5月口碑加热'!D34</f>
        <v>Ar</v>
      </c>
      <c r="F47" s="61" t="s">
        <v>1133</v>
      </c>
      <c r="G47" s="61" t="str">
        <f>'5月口碑加热'!F34</f>
        <v>6a01ba55000000000702ca26</v>
      </c>
      <c r="H47" s="59">
        <f>'5月口碑加热'!I34</f>
        <v>17</v>
      </c>
      <c r="I47" s="9">
        <v>52</v>
      </c>
      <c r="J47" s="77">
        <v>200</v>
      </c>
      <c r="K47" s="9">
        <v>31</v>
      </c>
      <c r="L47" s="9">
        <v>0</v>
      </c>
      <c r="M47" s="9">
        <v>1</v>
      </c>
      <c r="N47" s="9">
        <f t="shared" si="1"/>
        <v>32</v>
      </c>
      <c r="O47" s="9"/>
      <c r="P47" s="9"/>
    </row>
    <row r="48" spans="1:16" ht="241" customHeight="1">
      <c r="A48" s="9">
        <f>'5月口碑加热'!A35</f>
        <v>46153</v>
      </c>
      <c r="B48" s="32">
        <v>46154</v>
      </c>
      <c r="C48" s="50">
        <v>200</v>
      </c>
      <c r="D48" s="9" t="s">
        <v>1271</v>
      </c>
      <c r="E48" s="59" t="str">
        <f>'5月口碑加热'!D35</f>
        <v>云🦋</v>
      </c>
      <c r="F48" s="61" t="s">
        <v>1136</v>
      </c>
      <c r="G48" s="61" t="str">
        <f>'5月口碑加热'!F35</f>
        <v>6a019fc3000000003502aa17</v>
      </c>
      <c r="H48" s="59">
        <f>'5月口碑加热'!I35</f>
        <v>39</v>
      </c>
      <c r="I48" s="9">
        <v>1044</v>
      </c>
      <c r="J48" s="77">
        <v>200</v>
      </c>
      <c r="K48" s="9">
        <v>236</v>
      </c>
      <c r="L48" s="9">
        <v>0</v>
      </c>
      <c r="M48" s="9">
        <v>2</v>
      </c>
      <c r="N48" s="9">
        <f t="shared" si="1"/>
        <v>238</v>
      </c>
      <c r="O48" s="9"/>
      <c r="P48" s="9"/>
    </row>
    <row r="49" spans="1:16" ht="241" customHeight="1">
      <c r="A49" s="9">
        <v>46150</v>
      </c>
      <c r="B49" s="32">
        <v>46154</v>
      </c>
      <c r="C49" s="50">
        <v>200</v>
      </c>
      <c r="D49" s="9" t="s">
        <v>1271</v>
      </c>
      <c r="E49" s="59" t="s">
        <v>1079</v>
      </c>
      <c r="F49" s="61" t="s">
        <v>1080</v>
      </c>
      <c r="G49" s="61" t="s">
        <v>1081</v>
      </c>
      <c r="H49" s="59">
        <v>354</v>
      </c>
      <c r="I49" s="9">
        <v>5034</v>
      </c>
      <c r="J49" s="77">
        <v>200</v>
      </c>
      <c r="K49" s="9">
        <v>717</v>
      </c>
      <c r="L49" s="9">
        <v>0</v>
      </c>
      <c r="M49" s="9">
        <v>23</v>
      </c>
      <c r="N49" s="9">
        <f t="shared" si="1"/>
        <v>740</v>
      </c>
      <c r="O49" s="9"/>
      <c r="P49" s="9"/>
    </row>
    <row r="50" spans="1:16" ht="241" customHeight="1">
      <c r="A50" s="9">
        <v>46151</v>
      </c>
      <c r="B50" s="32">
        <v>46154</v>
      </c>
      <c r="C50" s="50">
        <v>200</v>
      </c>
      <c r="D50" s="9" t="s">
        <v>1271</v>
      </c>
      <c r="E50" s="59" t="s">
        <v>686</v>
      </c>
      <c r="F50" s="61" t="s">
        <v>1083</v>
      </c>
      <c r="G50" s="61" t="s">
        <v>1084</v>
      </c>
      <c r="H50" s="59">
        <v>50</v>
      </c>
      <c r="I50" s="9">
        <v>1217</v>
      </c>
      <c r="J50" s="77">
        <v>200</v>
      </c>
      <c r="K50" s="9">
        <v>279</v>
      </c>
      <c r="L50" s="9">
        <v>7</v>
      </c>
      <c r="M50" s="9">
        <v>5</v>
      </c>
      <c r="N50" s="9">
        <f t="shared" si="1"/>
        <v>291</v>
      </c>
      <c r="O50" s="9"/>
      <c r="P50" s="9"/>
    </row>
    <row r="51" spans="1:16" ht="241" customHeight="1">
      <c r="A51" s="9">
        <v>46153</v>
      </c>
      <c r="B51" s="32">
        <v>46154</v>
      </c>
      <c r="C51" s="50">
        <v>200</v>
      </c>
      <c r="D51" s="9" t="s">
        <v>1271</v>
      </c>
      <c r="E51" s="59" t="s">
        <v>1094</v>
      </c>
      <c r="F51" s="61" t="s">
        <v>1095</v>
      </c>
      <c r="G51" s="61" t="s">
        <v>1096</v>
      </c>
      <c r="H51" s="59">
        <v>20</v>
      </c>
      <c r="I51" s="9">
        <v>1350</v>
      </c>
      <c r="J51" s="77">
        <v>200</v>
      </c>
      <c r="K51" s="9">
        <v>281</v>
      </c>
      <c r="L51" s="9">
        <v>1</v>
      </c>
      <c r="M51" s="9">
        <v>3</v>
      </c>
      <c r="N51" s="9">
        <f t="shared" si="1"/>
        <v>285</v>
      </c>
      <c r="O51" s="9"/>
      <c r="P51" s="9"/>
    </row>
    <row r="52" spans="1:16" ht="241" customHeight="1">
      <c r="A52" s="9">
        <f>'5月口碑加热'!A36</f>
        <v>46154</v>
      </c>
      <c r="B52" s="32">
        <v>46155</v>
      </c>
      <c r="C52" s="50">
        <v>200</v>
      </c>
      <c r="D52" s="9" t="s">
        <v>1271</v>
      </c>
      <c r="E52" s="59" t="str">
        <f>'5月口碑加热'!D36</f>
        <v>肉肉打怪兽👹</v>
      </c>
      <c r="F52" s="49" t="s">
        <v>1140</v>
      </c>
      <c r="G52" s="61" t="str">
        <f>'5月口碑加热'!F36</f>
        <v>6a0319c60000000006021d84</v>
      </c>
      <c r="H52" s="59">
        <f>'5月口碑加热'!I36</f>
        <v>4</v>
      </c>
      <c r="I52" s="9">
        <v>62</v>
      </c>
      <c r="J52" s="50">
        <v>21.7</v>
      </c>
      <c r="K52" s="9">
        <v>7</v>
      </c>
      <c r="L52" s="9">
        <v>0</v>
      </c>
      <c r="M52" s="9">
        <v>1</v>
      </c>
      <c r="N52" s="9">
        <f t="shared" si="1"/>
        <v>8</v>
      </c>
      <c r="O52" s="9"/>
      <c r="P52" s="9"/>
    </row>
    <row r="53" spans="1:16" ht="241" customHeight="1">
      <c r="A53" s="9">
        <f>'5月口碑加热'!A37</f>
        <v>46154</v>
      </c>
      <c r="B53" s="32">
        <v>46155</v>
      </c>
      <c r="C53" s="50">
        <v>200</v>
      </c>
      <c r="D53" s="9" t="s">
        <v>1271</v>
      </c>
      <c r="E53" s="59" t="str">
        <f>'5月口碑加热'!D37</f>
        <v>按点滴</v>
      </c>
      <c r="F53" s="49" t="s">
        <v>1144</v>
      </c>
      <c r="G53" s="61" t="str">
        <f>'5月口碑加热'!F37</f>
        <v>6a015f1700000000380356d7</v>
      </c>
      <c r="H53" s="59">
        <f>'5月口碑加热'!I37</f>
        <v>2036</v>
      </c>
      <c r="I53" s="9">
        <v>3299</v>
      </c>
      <c r="J53" s="77">
        <v>200</v>
      </c>
      <c r="K53" s="9">
        <v>387</v>
      </c>
      <c r="L53" s="9">
        <v>4</v>
      </c>
      <c r="M53" s="9">
        <v>3</v>
      </c>
      <c r="N53" s="9">
        <f t="shared" si="1"/>
        <v>394</v>
      </c>
      <c r="O53" s="9"/>
      <c r="P53" s="9"/>
    </row>
    <row r="54" spans="1:16" ht="241" customHeight="1">
      <c r="A54" s="32">
        <v>46150</v>
      </c>
      <c r="B54" s="32">
        <v>46155</v>
      </c>
      <c r="C54" s="50">
        <v>200</v>
      </c>
      <c r="D54" s="9" t="s">
        <v>1271</v>
      </c>
      <c r="E54" s="9" t="s">
        <v>1079</v>
      </c>
      <c r="F54" s="49" t="s">
        <v>1080</v>
      </c>
      <c r="G54" s="49" t="s">
        <v>1081</v>
      </c>
      <c r="H54" s="59">
        <f>'5月口碑加热'!I38</f>
        <v>11</v>
      </c>
      <c r="I54" s="9">
        <v>5034</v>
      </c>
      <c r="J54" s="77">
        <v>200</v>
      </c>
      <c r="K54" s="9">
        <v>581</v>
      </c>
      <c r="L54" s="9">
        <v>2</v>
      </c>
      <c r="M54" s="9">
        <v>26</v>
      </c>
      <c r="N54" s="9">
        <f t="shared" si="1"/>
        <v>609</v>
      </c>
      <c r="O54" s="9"/>
      <c r="P54" s="9"/>
    </row>
    <row r="55" spans="1:16" ht="241" customHeight="1">
      <c r="A55" s="32">
        <v>46151</v>
      </c>
      <c r="B55" s="32">
        <v>46155</v>
      </c>
      <c r="C55" s="50">
        <v>200</v>
      </c>
      <c r="D55" s="9" t="s">
        <v>1271</v>
      </c>
      <c r="E55" s="9" t="s">
        <v>686</v>
      </c>
      <c r="F55" s="49" t="s">
        <v>1083</v>
      </c>
      <c r="G55" s="49" t="s">
        <v>1084</v>
      </c>
      <c r="H55" s="59">
        <f>'5月口碑加热'!I39</f>
        <v>7</v>
      </c>
      <c r="I55" s="9">
        <v>1217</v>
      </c>
      <c r="J55" s="77">
        <v>200</v>
      </c>
      <c r="K55" s="9">
        <v>285</v>
      </c>
      <c r="L55" s="9">
        <v>8</v>
      </c>
      <c r="M55" s="9">
        <v>3</v>
      </c>
      <c r="N55" s="9">
        <f t="shared" si="1"/>
        <v>296</v>
      </c>
      <c r="O55" s="9"/>
      <c r="P55" s="9"/>
    </row>
    <row r="56" spans="1:16" ht="241" customHeight="1">
      <c r="A56" s="32">
        <v>46153</v>
      </c>
      <c r="B56" s="32">
        <v>46155</v>
      </c>
      <c r="C56" s="50">
        <v>200</v>
      </c>
      <c r="D56" s="9" t="s">
        <v>1271</v>
      </c>
      <c r="E56" s="9" t="s">
        <v>1094</v>
      </c>
      <c r="F56" s="49" t="s">
        <v>1095</v>
      </c>
      <c r="G56" s="49" t="s">
        <v>1096</v>
      </c>
      <c r="H56" s="59">
        <f>'5月口碑加热'!I40</f>
        <v>5</v>
      </c>
      <c r="I56" s="9">
        <v>1350</v>
      </c>
      <c r="J56" s="77">
        <v>200</v>
      </c>
      <c r="K56" s="9">
        <v>387</v>
      </c>
      <c r="L56" s="9">
        <v>0</v>
      </c>
      <c r="M56" s="9">
        <v>4</v>
      </c>
      <c r="N56" s="9">
        <f t="shared" si="1"/>
        <v>391</v>
      </c>
      <c r="O56" s="9"/>
      <c r="P56" s="9"/>
    </row>
    <row r="57" spans="1:16" ht="241" customHeight="1">
      <c r="A57" s="32">
        <v>46153</v>
      </c>
      <c r="B57" s="32">
        <v>46155</v>
      </c>
      <c r="C57" s="50">
        <v>200</v>
      </c>
      <c r="D57" s="9" t="s">
        <v>1271</v>
      </c>
      <c r="E57" s="52" t="s">
        <v>1079</v>
      </c>
      <c r="F57" s="49" t="s">
        <v>1125</v>
      </c>
      <c r="G57" s="49" t="s">
        <v>1126</v>
      </c>
      <c r="H57" s="59">
        <f>'5月口碑加热'!I41</f>
        <v>14</v>
      </c>
      <c r="I57" s="9">
        <v>5034</v>
      </c>
      <c r="J57" s="77">
        <v>200</v>
      </c>
      <c r="K57" s="9">
        <v>222</v>
      </c>
      <c r="L57" s="9">
        <v>0</v>
      </c>
      <c r="M57" s="9">
        <v>0</v>
      </c>
      <c r="N57" s="9">
        <f t="shared" si="1"/>
        <v>222</v>
      </c>
      <c r="O57" s="9"/>
      <c r="P57" s="9"/>
    </row>
    <row r="58" spans="1:16" ht="241" customHeight="1">
      <c r="A58" s="32">
        <v>46153</v>
      </c>
      <c r="B58" s="32">
        <v>46155</v>
      </c>
      <c r="C58" s="50">
        <v>200</v>
      </c>
      <c r="D58" s="9" t="s">
        <v>1271</v>
      </c>
      <c r="E58" s="9" t="s">
        <v>762</v>
      </c>
      <c r="F58" s="49" t="s">
        <v>1136</v>
      </c>
      <c r="G58" s="49" t="s">
        <v>1137</v>
      </c>
      <c r="H58" s="59">
        <f>'5月口碑加热'!I42</f>
        <v>67</v>
      </c>
      <c r="I58" s="9">
        <v>1044</v>
      </c>
      <c r="J58" s="79">
        <v>200</v>
      </c>
      <c r="K58" s="9">
        <v>302</v>
      </c>
      <c r="L58" s="9">
        <v>1</v>
      </c>
      <c r="M58" s="9">
        <v>1</v>
      </c>
      <c r="N58" s="9">
        <f t="shared" si="1"/>
        <v>304</v>
      </c>
      <c r="O58" s="9"/>
      <c r="P58" s="9"/>
    </row>
    <row r="59" spans="1:16" ht="241" customHeight="1">
      <c r="A59" s="9">
        <f>'5月口碑加热'!A38</f>
        <v>46155</v>
      </c>
      <c r="B59" s="32">
        <v>46156</v>
      </c>
      <c r="C59" s="50">
        <v>200</v>
      </c>
      <c r="D59" s="9" t="s">
        <v>1271</v>
      </c>
      <c r="E59" s="59" t="str">
        <f>'5月口碑加热'!D38</f>
        <v>半眠</v>
      </c>
      <c r="F59" s="61" t="s">
        <v>1148</v>
      </c>
      <c r="G59" s="61" t="str">
        <f>'5月口碑加热'!F38</f>
        <v>6a0418bf0000000036003c40</v>
      </c>
      <c r="H59" s="59">
        <f>'5月口碑加热'!I38</f>
        <v>11</v>
      </c>
      <c r="I59" s="9">
        <v>288</v>
      </c>
      <c r="J59" s="79">
        <v>200</v>
      </c>
      <c r="K59" s="9">
        <v>251</v>
      </c>
      <c r="L59" s="9">
        <v>0</v>
      </c>
      <c r="M59" s="9">
        <v>5</v>
      </c>
      <c r="N59" s="9">
        <f t="shared" si="1"/>
        <v>256</v>
      </c>
      <c r="O59" s="9"/>
      <c r="P59" s="9"/>
    </row>
    <row r="60" spans="1:16" ht="241" customHeight="1">
      <c r="A60" s="9">
        <f>'5月口碑加热'!A39</f>
        <v>46155</v>
      </c>
      <c r="B60" s="32">
        <v>46156</v>
      </c>
      <c r="C60" s="50">
        <v>200</v>
      </c>
      <c r="D60" s="9" t="s">
        <v>1271</v>
      </c>
      <c r="E60" s="59" t="str">
        <f>'5月口碑加热'!D39</f>
        <v>Dracula🐶</v>
      </c>
      <c r="F60" s="61" t="s">
        <v>1152</v>
      </c>
      <c r="G60" s="61" t="str">
        <f>'5月口碑加热'!F39</f>
        <v>6a03ef13000000003700e895</v>
      </c>
      <c r="H60" s="59">
        <f>'5月口碑加热'!I39</f>
        <v>7</v>
      </c>
      <c r="I60" s="9">
        <v>147</v>
      </c>
      <c r="J60" s="79">
        <v>200</v>
      </c>
      <c r="K60" s="9">
        <v>128</v>
      </c>
      <c r="L60" s="9">
        <v>1</v>
      </c>
      <c r="M60" s="9">
        <v>2</v>
      </c>
      <c r="N60" s="9">
        <f t="shared" si="1"/>
        <v>131</v>
      </c>
      <c r="O60" s="9"/>
      <c r="P60" s="9"/>
    </row>
    <row r="61" spans="1:16" ht="241" customHeight="1">
      <c r="A61" s="9">
        <f>'5月口碑加热'!A40</f>
        <v>46155</v>
      </c>
      <c r="B61" s="32">
        <v>46156</v>
      </c>
      <c r="C61" s="50">
        <v>200</v>
      </c>
      <c r="D61" s="9" t="s">
        <v>1271</v>
      </c>
      <c r="E61" s="59" t="str">
        <f>'5月口碑加热'!D40</f>
        <v>五分糖全甜</v>
      </c>
      <c r="F61" s="61" t="s">
        <v>1156</v>
      </c>
      <c r="G61" s="61" t="str">
        <f>'5月口碑加热'!F40</f>
        <v>6a043375000000003501ceb1</v>
      </c>
      <c r="H61" s="59">
        <f>'5月口碑加热'!I40</f>
        <v>5</v>
      </c>
      <c r="I61" s="9">
        <v>50</v>
      </c>
      <c r="J61" s="79">
        <v>200</v>
      </c>
      <c r="K61" s="9">
        <v>45</v>
      </c>
      <c r="L61" s="9">
        <v>1</v>
      </c>
      <c r="M61" s="9">
        <v>0</v>
      </c>
      <c r="N61" s="9">
        <f t="shared" si="1"/>
        <v>46</v>
      </c>
      <c r="O61" s="9"/>
      <c r="P61" s="9"/>
    </row>
    <row r="62" spans="1:16" ht="241" customHeight="1">
      <c r="A62" s="9">
        <f>'5月口碑加热'!A41</f>
        <v>46155</v>
      </c>
      <c r="B62" s="32">
        <v>46156</v>
      </c>
      <c r="C62" s="50">
        <v>200</v>
      </c>
      <c r="D62" s="9" t="s">
        <v>1271</v>
      </c>
      <c r="E62" s="59" t="str">
        <f>'5月口碑加热'!D41</f>
        <v>feibee</v>
      </c>
      <c r="F62" s="61" t="s">
        <v>1160</v>
      </c>
      <c r="G62" s="61" t="str">
        <f>'5月口碑加热'!F41</f>
        <v>6a046b14000000000702a3b5</v>
      </c>
      <c r="H62" s="59">
        <f>'5月口碑加热'!I41</f>
        <v>14</v>
      </c>
      <c r="I62" s="9">
        <v>270</v>
      </c>
      <c r="J62" s="79">
        <v>200</v>
      </c>
      <c r="K62" s="9">
        <v>216</v>
      </c>
      <c r="L62" s="9">
        <v>0</v>
      </c>
      <c r="M62" s="9">
        <v>5</v>
      </c>
      <c r="N62" s="9">
        <f t="shared" si="1"/>
        <v>221</v>
      </c>
      <c r="O62" s="9"/>
      <c r="P62" s="9"/>
    </row>
    <row r="63" spans="1:16" ht="241" customHeight="1">
      <c r="A63" s="9">
        <f>'5月口碑加热'!A42</f>
        <v>46155</v>
      </c>
      <c r="B63" s="32">
        <v>46156</v>
      </c>
      <c r="C63" s="50">
        <v>200</v>
      </c>
      <c r="D63" s="9" t="s">
        <v>1271</v>
      </c>
      <c r="E63" s="78" t="str">
        <f>'5月口碑加热'!D42</f>
        <v>是小陈同学呀（实习版）</v>
      </c>
      <c r="F63" s="61" t="s">
        <v>1164</v>
      </c>
      <c r="G63" s="61" t="str">
        <f>'5月口碑加热'!F42</f>
        <v>6a0469a50000000008030b80</v>
      </c>
      <c r="H63" s="59">
        <f>'5月口碑加热'!I42</f>
        <v>67</v>
      </c>
      <c r="I63" s="9">
        <f>H63+SUM(K63:M63)</f>
        <v>304</v>
      </c>
      <c r="J63" s="79">
        <v>200</v>
      </c>
      <c r="K63" s="9">
        <v>234</v>
      </c>
      <c r="L63" s="9">
        <v>0</v>
      </c>
      <c r="M63" s="9">
        <v>3</v>
      </c>
      <c r="N63" s="9">
        <f t="shared" si="1"/>
        <v>237</v>
      </c>
      <c r="O63" s="9"/>
      <c r="P63" s="9"/>
    </row>
    <row r="64" spans="1:16" ht="241" customHeight="1">
      <c r="A64" s="9">
        <f>'5月口碑加热'!A43</f>
        <v>46155</v>
      </c>
      <c r="B64" s="32">
        <v>46156</v>
      </c>
      <c r="C64" s="50">
        <v>200</v>
      </c>
      <c r="D64" s="9" t="s">
        <v>1271</v>
      </c>
      <c r="E64" s="59" t="str">
        <f>'5月口碑加热'!D43</f>
        <v>早八灵魂出走中</v>
      </c>
      <c r="F64" s="61" t="s">
        <v>1167</v>
      </c>
      <c r="G64" s="61" t="str">
        <f>'5月口碑加热'!F43</f>
        <v>6a045c91000000003700d056</v>
      </c>
      <c r="H64" s="59">
        <f>'5月口碑加热'!I43</f>
        <v>2</v>
      </c>
      <c r="I64" s="9">
        <v>253</v>
      </c>
      <c r="J64" s="79">
        <v>200</v>
      </c>
      <c r="K64" s="9">
        <v>248</v>
      </c>
      <c r="L64" s="9">
        <v>1</v>
      </c>
      <c r="M64" s="9">
        <v>1</v>
      </c>
      <c r="N64" s="9">
        <f t="shared" si="1"/>
        <v>250</v>
      </c>
      <c r="O64" s="9"/>
      <c r="P64" s="9"/>
    </row>
    <row r="65" spans="1:16" ht="241" customHeight="1">
      <c r="A65" s="9">
        <f>'5月口碑加热'!A44</f>
        <v>46155</v>
      </c>
      <c r="B65" s="32">
        <v>46156</v>
      </c>
      <c r="C65" s="50">
        <v>200</v>
      </c>
      <c r="D65" s="9" t="s">
        <v>1271</v>
      </c>
      <c r="E65" s="78" t="str">
        <f>'5月口碑加热'!D44</f>
        <v>睡觉专业户</v>
      </c>
      <c r="F65" s="61" t="s">
        <v>1171</v>
      </c>
      <c r="G65" s="61" t="str">
        <f>'5月口碑加热'!F44</f>
        <v>6a04598d0000000035023cee</v>
      </c>
      <c r="H65" s="59">
        <f>'5月口碑加热'!I44</f>
        <v>17</v>
      </c>
      <c r="I65" s="9">
        <f>H65+SUM(K65:M65)</f>
        <v>237</v>
      </c>
      <c r="J65" s="79">
        <v>200</v>
      </c>
      <c r="K65" s="9">
        <v>209</v>
      </c>
      <c r="L65" s="9">
        <v>2</v>
      </c>
      <c r="M65" s="9">
        <v>9</v>
      </c>
      <c r="N65" s="9">
        <f t="shared" si="1"/>
        <v>220</v>
      </c>
      <c r="O65" s="9"/>
      <c r="P65" s="9"/>
    </row>
    <row r="66" spans="1:16" ht="241" customHeight="1">
      <c r="A66" s="9">
        <f>'5月口碑加热'!A45</f>
        <v>46156</v>
      </c>
      <c r="B66" s="32">
        <v>46156</v>
      </c>
      <c r="C66" s="50">
        <v>200</v>
      </c>
      <c r="D66" s="9" t="s">
        <v>1271</v>
      </c>
      <c r="E66" s="59" t="str">
        <f>'5月口碑加热'!D45</f>
        <v>爱吃凉拌杂蔬</v>
      </c>
      <c r="F66" s="61" t="s">
        <v>1174</v>
      </c>
      <c r="G66" s="61" t="str">
        <f>'5月口碑加热'!F45</f>
        <v>6a0439ad0000000036033ee4</v>
      </c>
      <c r="H66" s="59">
        <f>'5月口碑加热'!I45</f>
        <v>32</v>
      </c>
      <c r="I66" s="9">
        <v>371</v>
      </c>
      <c r="J66" s="79">
        <v>200</v>
      </c>
      <c r="K66" s="9">
        <v>326</v>
      </c>
      <c r="L66" s="9">
        <v>2</v>
      </c>
      <c r="M66" s="9">
        <v>3</v>
      </c>
      <c r="N66" s="9">
        <f t="shared" ref="N66:N97" si="2">SUM(K66:M66)</f>
        <v>331</v>
      </c>
      <c r="O66" s="9"/>
      <c r="P66" s="9"/>
    </row>
    <row r="67" spans="1:16" ht="241" customHeight="1">
      <c r="A67" s="9">
        <f>'5月口碑加热'!A46</f>
        <v>46155</v>
      </c>
      <c r="B67" s="32">
        <v>46156</v>
      </c>
      <c r="C67" s="50">
        <v>200</v>
      </c>
      <c r="D67" s="9" t="s">
        <v>1271</v>
      </c>
      <c r="E67" s="59" t="str">
        <f>'5月口碑加热'!D46</f>
        <v>jimmy先生是我的大宝贝呀</v>
      </c>
      <c r="F67" s="61" t="s">
        <v>1178</v>
      </c>
      <c r="G67" s="61" t="str">
        <f>'5月口碑加热'!F46</f>
        <v>6a0437f600000000070122fd</v>
      </c>
      <c r="H67" s="59">
        <f>'5月口碑加热'!I46</f>
        <v>26</v>
      </c>
      <c r="I67" s="9">
        <v>170</v>
      </c>
      <c r="J67" s="79">
        <v>200</v>
      </c>
      <c r="K67" s="9">
        <v>130</v>
      </c>
      <c r="L67" s="9">
        <v>1</v>
      </c>
      <c r="M67" s="9">
        <v>2</v>
      </c>
      <c r="N67" s="9">
        <f t="shared" si="2"/>
        <v>133</v>
      </c>
      <c r="O67" s="9"/>
      <c r="P67" s="9"/>
    </row>
    <row r="68" spans="1:16" ht="241" customHeight="1">
      <c r="A68" s="9">
        <f>'5月口碑加热'!A47</f>
        <v>46155</v>
      </c>
      <c r="B68" s="32">
        <v>46156</v>
      </c>
      <c r="C68" s="50">
        <v>200</v>
      </c>
      <c r="D68" s="9" t="s">
        <v>1271</v>
      </c>
      <c r="E68" s="59" t="str">
        <f>'5月口碑加热'!D47</f>
        <v>mikouo</v>
      </c>
      <c r="F68" s="61" t="s">
        <v>1181</v>
      </c>
      <c r="G68" s="61" t="str">
        <f>'5月口碑加热'!F47</f>
        <v>6a041bbf0000000038037d42</v>
      </c>
      <c r="H68" s="59">
        <f>'5月口碑加热'!I47</f>
        <v>32</v>
      </c>
      <c r="I68" s="9">
        <v>173</v>
      </c>
      <c r="J68" s="79">
        <v>200</v>
      </c>
      <c r="K68" s="9">
        <v>128</v>
      </c>
      <c r="L68" s="9">
        <v>0</v>
      </c>
      <c r="M68" s="9">
        <v>1</v>
      </c>
      <c r="N68" s="9">
        <f t="shared" si="2"/>
        <v>129</v>
      </c>
      <c r="O68" s="9"/>
      <c r="P68" s="9"/>
    </row>
    <row r="69" spans="1:16" ht="241" customHeight="1">
      <c r="A69" s="32">
        <v>46150</v>
      </c>
      <c r="B69" s="32">
        <v>46156</v>
      </c>
      <c r="C69" s="50">
        <v>200</v>
      </c>
      <c r="D69" s="9" t="s">
        <v>1271</v>
      </c>
      <c r="E69" s="9" t="s">
        <v>1079</v>
      </c>
      <c r="F69" s="49" t="s">
        <v>1080</v>
      </c>
      <c r="G69" s="49" t="s">
        <v>1081</v>
      </c>
      <c r="H69" s="59">
        <f>'5月口碑加热'!I48</f>
        <v>16</v>
      </c>
      <c r="I69" s="9">
        <v>5034</v>
      </c>
      <c r="J69" s="79">
        <v>200</v>
      </c>
      <c r="K69" s="9">
        <v>744</v>
      </c>
      <c r="L69" s="9">
        <v>2</v>
      </c>
      <c r="M69" s="9">
        <v>27</v>
      </c>
      <c r="N69" s="9">
        <f t="shared" si="2"/>
        <v>773</v>
      </c>
      <c r="O69" s="9"/>
      <c r="P69" s="9"/>
    </row>
    <row r="70" spans="1:16" ht="241" customHeight="1">
      <c r="A70" s="9">
        <v>46151</v>
      </c>
      <c r="B70" s="32">
        <v>46156</v>
      </c>
      <c r="C70" s="50">
        <v>200</v>
      </c>
      <c r="D70" s="9" t="s">
        <v>1271</v>
      </c>
      <c r="E70" s="59" t="s">
        <v>686</v>
      </c>
      <c r="F70" s="61" t="s">
        <v>1083</v>
      </c>
      <c r="G70" s="61" t="s">
        <v>1084</v>
      </c>
      <c r="H70" s="59"/>
      <c r="I70" s="9">
        <v>1217</v>
      </c>
      <c r="J70" s="79">
        <v>200</v>
      </c>
      <c r="K70" s="9">
        <v>291</v>
      </c>
      <c r="L70" s="9">
        <v>6</v>
      </c>
      <c r="M70" s="9">
        <v>6</v>
      </c>
      <c r="N70" s="9">
        <f t="shared" si="2"/>
        <v>303</v>
      </c>
      <c r="O70" s="9"/>
      <c r="P70" s="9"/>
    </row>
    <row r="71" spans="1:16" ht="241" customHeight="1">
      <c r="A71" s="9">
        <v>46153</v>
      </c>
      <c r="B71" s="32">
        <v>46156</v>
      </c>
      <c r="C71" s="50">
        <v>200</v>
      </c>
      <c r="D71" s="9" t="s">
        <v>1271</v>
      </c>
      <c r="E71" s="59" t="s">
        <v>1094</v>
      </c>
      <c r="F71" s="61" t="s">
        <v>1095</v>
      </c>
      <c r="G71" s="61" t="s">
        <v>1096</v>
      </c>
      <c r="H71" s="59"/>
      <c r="I71" s="9">
        <v>1350</v>
      </c>
      <c r="J71" s="79">
        <v>200</v>
      </c>
      <c r="K71" s="9">
        <v>386</v>
      </c>
      <c r="L71" s="9">
        <v>1</v>
      </c>
      <c r="M71" s="9">
        <v>1</v>
      </c>
      <c r="N71" s="9">
        <f t="shared" si="2"/>
        <v>388</v>
      </c>
      <c r="O71" s="9"/>
      <c r="P71" s="9"/>
    </row>
    <row r="72" spans="1:16" ht="241" customHeight="1">
      <c r="A72" s="9">
        <v>46153</v>
      </c>
      <c r="B72" s="32">
        <v>46156</v>
      </c>
      <c r="C72" s="50">
        <v>200</v>
      </c>
      <c r="D72" s="9" t="s">
        <v>1271</v>
      </c>
      <c r="E72" s="59" t="s">
        <v>762</v>
      </c>
      <c r="F72" s="61" t="s">
        <v>1136</v>
      </c>
      <c r="G72" s="61" t="s">
        <v>1137</v>
      </c>
      <c r="H72" s="59"/>
      <c r="I72" s="9">
        <v>1044</v>
      </c>
      <c r="J72" s="79">
        <v>200</v>
      </c>
      <c r="K72" s="9">
        <v>442</v>
      </c>
      <c r="L72" s="9">
        <v>2</v>
      </c>
      <c r="M72" s="9">
        <v>5</v>
      </c>
      <c r="N72" s="9">
        <f t="shared" si="2"/>
        <v>449</v>
      </c>
      <c r="O72" s="9"/>
      <c r="P72" s="9"/>
    </row>
    <row r="73" spans="1:16" ht="241" customHeight="1">
      <c r="A73" s="9">
        <v>46154</v>
      </c>
      <c r="B73" s="32">
        <v>46156</v>
      </c>
      <c r="C73" s="50">
        <v>200</v>
      </c>
      <c r="D73" s="9" t="s">
        <v>1271</v>
      </c>
      <c r="E73" s="59" t="s">
        <v>1143</v>
      </c>
      <c r="F73" s="61" t="s">
        <v>1144</v>
      </c>
      <c r="G73" s="61" t="s">
        <v>1145</v>
      </c>
      <c r="H73" s="59"/>
      <c r="I73" s="9">
        <v>3299</v>
      </c>
      <c r="J73" s="50">
        <v>290</v>
      </c>
      <c r="K73" s="9">
        <v>548</v>
      </c>
      <c r="L73" s="9">
        <v>6</v>
      </c>
      <c r="M73" s="9">
        <v>10</v>
      </c>
      <c r="N73" s="9">
        <f t="shared" si="2"/>
        <v>564</v>
      </c>
      <c r="O73" s="9"/>
      <c r="P73" s="9"/>
    </row>
    <row r="74" spans="1:16" ht="241.25" customHeight="1">
      <c r="A74" s="32">
        <f>'5月口碑加热'!A48</f>
        <v>46156</v>
      </c>
      <c r="B74" s="32">
        <v>46157</v>
      </c>
      <c r="C74" s="50">
        <v>200</v>
      </c>
      <c r="D74" s="9" t="s">
        <v>1271</v>
      </c>
      <c r="E74" s="9" t="str">
        <f>'5月口碑加热'!D48</f>
        <v>火爆的后槽牙</v>
      </c>
      <c r="F74" s="49" t="s">
        <v>1185</v>
      </c>
      <c r="G74" s="49" t="str">
        <f>'5月口碑加热'!F48</f>
        <v>6a0588ec000000000603655e</v>
      </c>
      <c r="H74" s="59">
        <f>'5月口碑加热'!I48</f>
        <v>16</v>
      </c>
      <c r="I74" s="9">
        <f>H74+SUM(K74:M74)</f>
        <v>108</v>
      </c>
      <c r="J74" s="79">
        <v>200</v>
      </c>
      <c r="K74" s="9">
        <v>92</v>
      </c>
      <c r="L74" s="9">
        <v>0</v>
      </c>
      <c r="M74" s="9">
        <v>0</v>
      </c>
      <c r="N74" s="9">
        <f t="shared" si="2"/>
        <v>92</v>
      </c>
      <c r="O74" s="9"/>
      <c r="P74" s="9"/>
    </row>
    <row r="75" spans="1:16" ht="241.25" customHeight="1">
      <c r="A75" s="32">
        <f>'5月口碑加热'!A49</f>
        <v>46157</v>
      </c>
      <c r="B75" s="32">
        <v>46157</v>
      </c>
      <c r="C75" s="50">
        <v>200</v>
      </c>
      <c r="D75" s="9" t="s">
        <v>1271</v>
      </c>
      <c r="E75" s="9" t="str">
        <f>'5月口碑加热'!D49</f>
        <v>佩奇大口吃乔治</v>
      </c>
      <c r="F75" s="49" t="s">
        <v>1189</v>
      </c>
      <c r="G75" s="49" t="str">
        <f>'5月口碑加热'!F49</f>
        <v>6a05d478000000000702a5fd</v>
      </c>
      <c r="H75" s="59">
        <f>'5月口碑加热'!I49</f>
        <v>17</v>
      </c>
      <c r="I75" s="9">
        <v>37</v>
      </c>
      <c r="J75" s="79">
        <v>200</v>
      </c>
      <c r="K75" s="9">
        <v>33</v>
      </c>
      <c r="L75" s="9">
        <v>0</v>
      </c>
      <c r="M75" s="9">
        <v>0</v>
      </c>
      <c r="N75" s="9">
        <f t="shared" si="2"/>
        <v>33</v>
      </c>
      <c r="O75" s="9"/>
      <c r="P75" s="9"/>
    </row>
    <row r="76" spans="1:16" ht="241.25" customHeight="1">
      <c r="A76" s="32">
        <f>'5月口碑加热'!A50</f>
        <v>46156</v>
      </c>
      <c r="B76" s="32">
        <v>46157</v>
      </c>
      <c r="C76" s="50">
        <v>200</v>
      </c>
      <c r="D76" s="9" t="s">
        <v>1271</v>
      </c>
      <c r="E76" s="9" t="str">
        <f>'5月口碑加热'!D50</f>
        <v>茹你所愿</v>
      </c>
      <c r="F76" s="49" t="s">
        <v>1193</v>
      </c>
      <c r="G76" s="49" t="str">
        <f>'5月口碑加热'!F50</f>
        <v>6a05a83700000000070281e9</v>
      </c>
      <c r="H76" s="59">
        <f>'5月口碑加热'!I50</f>
        <v>18</v>
      </c>
      <c r="I76" s="9">
        <v>26</v>
      </c>
      <c r="J76" s="79">
        <v>200</v>
      </c>
      <c r="K76" s="9">
        <v>18</v>
      </c>
      <c r="L76" s="9">
        <v>0</v>
      </c>
      <c r="M76" s="9">
        <v>2</v>
      </c>
      <c r="N76" s="9">
        <f t="shared" si="2"/>
        <v>20</v>
      </c>
      <c r="O76" s="9"/>
      <c r="P76" s="9"/>
    </row>
    <row r="77" spans="1:16" ht="241.25" customHeight="1">
      <c r="A77" s="32">
        <f>'5月口碑加热'!A51</f>
        <v>46160</v>
      </c>
      <c r="B77" s="32">
        <v>46161</v>
      </c>
      <c r="C77" s="50">
        <v>200</v>
      </c>
      <c r="D77" s="9" t="s">
        <v>1271</v>
      </c>
      <c r="E77" s="9" t="str">
        <f>'5月口碑加热'!D51</f>
        <v>朱汁文</v>
      </c>
      <c r="F77" s="49" t="s">
        <v>1197</v>
      </c>
      <c r="G77" s="49" t="str">
        <f>'5月口碑加热'!F51</f>
        <v>6a0b2c92000000003501eb92</v>
      </c>
      <c r="H77" s="59">
        <f>'5月口碑加热'!I51</f>
        <v>16</v>
      </c>
      <c r="I77" s="9">
        <v>1027</v>
      </c>
      <c r="J77" s="79">
        <v>200</v>
      </c>
      <c r="K77" s="9">
        <v>447</v>
      </c>
      <c r="L77" s="9">
        <v>20</v>
      </c>
      <c r="M77" s="9">
        <v>5</v>
      </c>
      <c r="N77" s="9">
        <f t="shared" si="2"/>
        <v>472</v>
      </c>
      <c r="O77" s="9"/>
      <c r="P77" s="9"/>
    </row>
    <row r="78" spans="1:16" ht="241.25" customHeight="1">
      <c r="A78" s="32">
        <f>'5月口碑加热'!A52</f>
        <v>46164</v>
      </c>
      <c r="B78" s="32">
        <v>46164</v>
      </c>
      <c r="C78" s="50">
        <v>200</v>
      </c>
      <c r="D78" s="9" t="s">
        <v>1271</v>
      </c>
      <c r="E78" s="9" t="str">
        <f>'5月口碑加热'!D52</f>
        <v>Savi</v>
      </c>
      <c r="F78" s="49" t="s">
        <v>1201</v>
      </c>
      <c r="G78" s="49" t="str">
        <f>'5月口碑加热'!F52</f>
        <v>6a0f90e70000000036033d81</v>
      </c>
      <c r="H78" s="59">
        <f>'5月口碑加热'!I52</f>
        <v>2856</v>
      </c>
      <c r="I78" s="9">
        <v>23070</v>
      </c>
      <c r="J78" s="79">
        <v>200</v>
      </c>
      <c r="K78" s="9">
        <v>863</v>
      </c>
      <c r="L78" s="9">
        <v>4</v>
      </c>
      <c r="M78" s="9">
        <v>9</v>
      </c>
      <c r="N78" s="9">
        <f t="shared" si="2"/>
        <v>876</v>
      </c>
      <c r="O78" s="9"/>
      <c r="P78" s="9"/>
    </row>
    <row r="79" spans="1:16" ht="241.25" customHeight="1">
      <c r="A79" s="32">
        <f>'5月口碑加热'!A53</f>
        <v>46164</v>
      </c>
      <c r="B79" s="32">
        <v>46164</v>
      </c>
      <c r="C79" s="50">
        <v>200</v>
      </c>
      <c r="D79" s="9" t="s">
        <v>1271</v>
      </c>
      <c r="E79" s="9" t="str">
        <f>'5月口碑加热'!D53</f>
        <v>娴菜ovo</v>
      </c>
      <c r="F79" s="49" t="s">
        <v>1205</v>
      </c>
      <c r="G79" s="49" t="str">
        <f>'5月口碑加热'!F53</f>
        <v>6a0ede3d0000000035038e85</v>
      </c>
      <c r="H79" s="59">
        <f>'5月口碑加热'!I53</f>
        <v>14700</v>
      </c>
      <c r="I79" s="9">
        <v>33506</v>
      </c>
      <c r="J79" s="79">
        <v>200</v>
      </c>
      <c r="K79" s="9">
        <v>552</v>
      </c>
      <c r="L79" s="9">
        <v>10</v>
      </c>
      <c r="M79" s="9">
        <v>9</v>
      </c>
      <c r="N79" s="9">
        <f t="shared" si="2"/>
        <v>571</v>
      </c>
      <c r="O79" s="9"/>
      <c r="P79" s="9"/>
    </row>
    <row r="80" spans="1:16" ht="241.25" customHeight="1">
      <c r="A80" s="32">
        <f>'5月口碑加热'!A54</f>
        <v>46169</v>
      </c>
      <c r="B80" s="32">
        <v>46167</v>
      </c>
      <c r="C80" s="50">
        <v>500</v>
      </c>
      <c r="D80" s="9" t="s">
        <v>1271</v>
      </c>
      <c r="E80" s="9" t="s">
        <v>1204</v>
      </c>
      <c r="F80" s="49" t="s">
        <v>1205</v>
      </c>
      <c r="G80" s="49" t="s">
        <v>1206</v>
      </c>
      <c r="H80" s="59">
        <v>14700</v>
      </c>
      <c r="I80" s="9">
        <v>33506</v>
      </c>
      <c r="J80" s="79">
        <v>500</v>
      </c>
      <c r="K80" s="9">
        <v>1751</v>
      </c>
      <c r="L80" s="9">
        <v>19</v>
      </c>
      <c r="M80" s="9">
        <v>34</v>
      </c>
      <c r="N80" s="9">
        <f t="shared" si="2"/>
        <v>1804</v>
      </c>
      <c r="O80" s="9"/>
      <c r="P80" s="9"/>
    </row>
    <row r="81" spans="1:16" ht="197.25" customHeight="1">
      <c r="A81" s="32">
        <f>'5月口碑加热'!A55</f>
        <v>46171</v>
      </c>
      <c r="B81" s="32">
        <v>46170</v>
      </c>
      <c r="C81" s="50">
        <v>200</v>
      </c>
      <c r="D81" s="9" t="s">
        <v>1271</v>
      </c>
      <c r="E81" s="9" t="str">
        <f>'5月口碑加热'!D54</f>
        <v>TiMi视频</v>
      </c>
      <c r="F81" s="49" t="s">
        <v>1209</v>
      </c>
      <c r="G81" s="49" t="str">
        <f>'5月口碑加热'!F54</f>
        <v>6a1699680000000035039b6f</v>
      </c>
      <c r="H81" s="59">
        <f>'5月口碑加热'!I54</f>
        <v>8478</v>
      </c>
      <c r="I81" s="9">
        <v>20253</v>
      </c>
      <c r="J81" s="79">
        <v>200</v>
      </c>
      <c r="K81" s="9">
        <v>358</v>
      </c>
      <c r="L81" s="9">
        <v>97</v>
      </c>
      <c r="M81" s="9">
        <v>5</v>
      </c>
      <c r="N81" s="9">
        <f t="shared" si="2"/>
        <v>460</v>
      </c>
      <c r="O81" s="9"/>
      <c r="P81" s="9"/>
    </row>
    <row r="82" spans="1:16" ht="241.25" customHeight="1">
      <c r="A82" s="9">
        <f>'5月口碑加热'!A55</f>
        <v>46171</v>
      </c>
      <c r="B82" s="32">
        <v>46171</v>
      </c>
      <c r="C82" s="50">
        <v>200</v>
      </c>
      <c r="D82" s="9" t="s">
        <v>1271</v>
      </c>
      <c r="E82" s="80" t="str">
        <f>'5月口碑加热'!D55</f>
        <v>小麦当打工记（减肥版）</v>
      </c>
      <c r="F82" s="49" t="s">
        <v>1213</v>
      </c>
      <c r="G82" s="49" t="str">
        <f>'5月口碑加热'!F55</f>
        <v>6a1828080000000006033d4d</v>
      </c>
      <c r="H82" s="59">
        <f>'5月口碑加热'!I55</f>
        <v>159</v>
      </c>
      <c r="I82" s="9">
        <f>H82+SUM(K82:M82)</f>
        <v>594</v>
      </c>
      <c r="J82" s="79">
        <v>200</v>
      </c>
      <c r="K82" s="9">
        <v>402</v>
      </c>
      <c r="L82" s="9">
        <v>3</v>
      </c>
      <c r="M82" s="9">
        <v>30</v>
      </c>
      <c r="N82" s="9">
        <f t="shared" si="2"/>
        <v>435</v>
      </c>
      <c r="O82" s="9"/>
      <c r="P82" s="9"/>
    </row>
    <row r="83" spans="1:16" ht="254.75" customHeight="1">
      <c r="A83" s="9">
        <f>'5月口碑加热'!A56</f>
        <v>46170</v>
      </c>
      <c r="B83" s="32">
        <v>46171</v>
      </c>
      <c r="C83" s="50">
        <v>200</v>
      </c>
      <c r="D83" s="9" t="s">
        <v>1271</v>
      </c>
      <c r="E83" s="9" t="str">
        <f>'5月口碑加热'!D56</f>
        <v>万事顺意🌈</v>
      </c>
      <c r="F83" s="49" t="s">
        <v>1217</v>
      </c>
      <c r="G83" s="49" t="str">
        <f>'5月口碑加热'!F56</f>
        <v>6a18187f00000000060205c0</v>
      </c>
      <c r="H83" s="59">
        <f>'5月口碑加热'!I56</f>
        <v>4</v>
      </c>
      <c r="I83" s="9">
        <v>12</v>
      </c>
      <c r="J83" s="79">
        <v>200</v>
      </c>
      <c r="K83" s="9">
        <v>6</v>
      </c>
      <c r="L83" s="9">
        <v>1</v>
      </c>
      <c r="M83" s="9">
        <v>0</v>
      </c>
      <c r="N83" s="9">
        <f t="shared" si="2"/>
        <v>7</v>
      </c>
      <c r="O83" s="9"/>
      <c r="P83" s="9"/>
    </row>
    <row r="84" spans="1:16" ht="241.25" customHeight="1">
      <c r="A84" s="32">
        <v>46171</v>
      </c>
      <c r="B84" s="32">
        <v>46171</v>
      </c>
      <c r="C84" s="50">
        <v>1000</v>
      </c>
      <c r="D84" s="9" t="s">
        <v>1271</v>
      </c>
      <c r="E84" s="9" t="s">
        <v>1208</v>
      </c>
      <c r="F84" s="49" t="s">
        <v>1209</v>
      </c>
      <c r="G84" s="49" t="s">
        <v>1210</v>
      </c>
      <c r="H84" s="59">
        <v>8938</v>
      </c>
      <c r="I84" s="9">
        <v>20253</v>
      </c>
      <c r="J84" s="79">
        <v>900</v>
      </c>
      <c r="K84" s="9">
        <v>859</v>
      </c>
      <c r="L84" s="9">
        <v>93</v>
      </c>
      <c r="M84" s="9">
        <v>9</v>
      </c>
      <c r="N84" s="9">
        <f t="shared" si="2"/>
        <v>961</v>
      </c>
      <c r="O84" s="9"/>
      <c r="P84" s="9"/>
    </row>
    <row r="85" spans="1:16" ht="241" customHeight="1">
      <c r="A85" s="9">
        <f>'5月口碑加热'!A57</f>
        <v>46172</v>
      </c>
      <c r="B85" s="32">
        <v>46174</v>
      </c>
      <c r="C85" s="50">
        <v>200</v>
      </c>
      <c r="D85" s="9" t="s">
        <v>1271</v>
      </c>
      <c r="E85" s="9" t="str">
        <f>'5月口碑加热'!D57</f>
        <v>听雪客舟中</v>
      </c>
      <c r="F85" s="49" t="str">
        <f>'5月口碑加热'!E57</f>
        <v>https://www.xiaohongshu.com/explore/6a1b03320000000007023416?source=webshare&amp;xhsshare=pc_web&amp;xsec_token=ABVu2Ikww7Yvsqdp5W-WvR7mlO887D0zq7sUVZxpojDsM=&amp;xsec_source=pc_share</v>
      </c>
      <c r="G85" s="49" t="str">
        <f>'5月口碑加热'!F57</f>
        <v>6a1b03320000000007023416</v>
      </c>
      <c r="H85" s="59">
        <f>'5月口碑加热'!I57</f>
        <v>54</v>
      </c>
      <c r="I85" s="9">
        <v>144</v>
      </c>
      <c r="J85" s="79">
        <v>200</v>
      </c>
      <c r="K85" s="9">
        <v>45</v>
      </c>
      <c r="L85" s="9">
        <v>25</v>
      </c>
      <c r="M85" s="9">
        <v>1</v>
      </c>
      <c r="N85" s="9">
        <f t="shared" si="2"/>
        <v>71</v>
      </c>
      <c r="O85" s="9"/>
      <c r="P85" s="9"/>
    </row>
    <row r="86" spans="1:16" ht="241" customHeight="1">
      <c r="A86" s="9">
        <f>'6月口碑加热'!A3</f>
        <v>46174</v>
      </c>
      <c r="B86" s="32">
        <v>46175</v>
      </c>
      <c r="C86" s="50">
        <v>200</v>
      </c>
      <c r="D86" s="9" t="s">
        <v>1271</v>
      </c>
      <c r="E86" s="9" t="str">
        <f>'6月口碑加热'!D3</f>
        <v>金属粒</v>
      </c>
      <c r="F86" s="49" t="str">
        <f>'6月口碑加热'!E3</f>
        <v>https://www.xiaohongshu.com/explore/6a1d60a9000000003503bd43?xsec_token=AB_KFYS2vULnjigWis5sAwdHw6HPJwTOyMKFBoQ8vmLRs=&amp;source=web_explore_feed</v>
      </c>
      <c r="G86" s="49" t="str">
        <f>'6月口碑加热'!F3</f>
        <v>6a1d60a9000000003503bd43</v>
      </c>
      <c r="H86" s="59">
        <f>'6月口碑加热'!I3</f>
        <v>13</v>
      </c>
      <c r="I86" s="9">
        <v>172</v>
      </c>
      <c r="J86" s="79">
        <v>200</v>
      </c>
      <c r="K86" s="9">
        <v>155</v>
      </c>
      <c r="L86" s="9">
        <v>0</v>
      </c>
      <c r="M86" s="9">
        <v>4</v>
      </c>
      <c r="N86" s="9">
        <f t="shared" si="2"/>
        <v>159</v>
      </c>
      <c r="O86" s="9"/>
      <c r="P86" s="9"/>
    </row>
    <row r="87" spans="1:16" ht="241" customHeight="1">
      <c r="A87" s="9">
        <f>'6月口碑加热'!A4</f>
        <v>46174</v>
      </c>
      <c r="B87" s="32">
        <v>46175</v>
      </c>
      <c r="C87" s="50">
        <v>200</v>
      </c>
      <c r="D87" s="9" t="s">
        <v>1271</v>
      </c>
      <c r="E87" s="9" t="str">
        <f>'6月口碑加热'!D4</f>
        <v>贪吃的猫</v>
      </c>
      <c r="F87" s="49" t="str">
        <f>'6月口碑加热'!E4</f>
        <v>https://www.xiaohongshu.com/explore/6a1d4d55000000003503be4c?xsec_token=AB_KFYS2vULnjigWis5sAwdKtgbLSP6R6cGz6fTfsT0LQ=&amp;source=web_explore_feed</v>
      </c>
      <c r="G87" s="49" t="str">
        <f>'6月口碑加热'!F4</f>
        <v>6a1d4d55000000003503be4c</v>
      </c>
      <c r="H87" s="59">
        <f>'6月口碑加热'!I4</f>
        <v>30</v>
      </c>
      <c r="I87" s="9">
        <v>258</v>
      </c>
      <c r="J87" s="79">
        <v>200</v>
      </c>
      <c r="K87" s="9">
        <v>255</v>
      </c>
      <c r="L87" s="9">
        <v>0</v>
      </c>
      <c r="M87" s="9">
        <v>1</v>
      </c>
      <c r="N87" s="9">
        <f t="shared" si="2"/>
        <v>256</v>
      </c>
      <c r="O87" s="9"/>
      <c r="P87" s="9"/>
    </row>
    <row r="88" spans="1:16" ht="241" customHeight="1">
      <c r="A88" s="9">
        <f>'6月口碑加热'!A5</f>
        <v>46174</v>
      </c>
      <c r="B88" s="32">
        <v>46177</v>
      </c>
      <c r="C88" s="50">
        <v>200</v>
      </c>
      <c r="D88" s="9" t="s">
        <v>1271</v>
      </c>
      <c r="E88" s="9" t="str">
        <f>'6月口碑加热'!D5</f>
        <v>大太阳要努力</v>
      </c>
      <c r="F88" s="49" t="str">
        <f>'6月口碑加热'!E5</f>
        <v>https://www.xiaohongshu.com/explore/6a1c42830000000035024247?note_flow_source=wechat&amp;xsec_token=CBy2FGghjeNOtAPK8dW61S2K0iIY4APzag2SzR3BP8HZc=</v>
      </c>
      <c r="G88" s="49" t="str">
        <f>'6月口碑加热'!F5</f>
        <v>6a1c42830000000035024247</v>
      </c>
      <c r="H88" s="59">
        <f>'6月口碑加热'!I5</f>
        <v>68</v>
      </c>
      <c r="I88" s="9">
        <v>190</v>
      </c>
      <c r="J88" s="79">
        <v>200</v>
      </c>
      <c r="K88" s="9">
        <v>30</v>
      </c>
      <c r="L88" s="9">
        <v>7</v>
      </c>
      <c r="M88" s="9">
        <v>0</v>
      </c>
      <c r="N88" s="9">
        <f t="shared" si="2"/>
        <v>37</v>
      </c>
      <c r="O88" s="9"/>
      <c r="P88" s="9"/>
    </row>
    <row r="89" spans="1:16" ht="244" customHeight="1">
      <c r="A89" s="9">
        <f>'6月口碑加热'!A6</f>
        <v>46174</v>
      </c>
      <c r="B89" s="32">
        <v>46177</v>
      </c>
      <c r="C89" s="50">
        <v>200</v>
      </c>
      <c r="D89" s="9" t="s">
        <v>1271</v>
      </c>
      <c r="E89" s="9" t="str">
        <f>'6月口碑加热'!D6</f>
        <v>是魏魏a</v>
      </c>
      <c r="F89" s="49" t="str">
        <f>'6月口碑加热'!E6</f>
        <v>https://www.xiaohongshu.com/explore/6a1bb58a000000003601c0d3?app_platform=ios&amp;app_version=9.32.2&amp;share_from_user_hidden=true&amp;xsec_source=app_share&amp;type=normal&amp;xsec_token=CBZBjDiJTiBznrXYqTCM4u5yo8-UH-yvB5Y0F79fniRd0=&amp;author_share=1&amp;xhsshare=CopyLink&amp;shareRedId=N0hDMURIPUI7Oks5Qk4wNjY0PD1KPjhM&amp;apptime=1780225753&amp;share_id=6e079c94072f485db15c49a71219de3b</v>
      </c>
      <c r="G89" s="49" t="str">
        <f>'6月口碑加热'!F6</f>
        <v>6a1bb58a000000003601c0d3</v>
      </c>
      <c r="H89" s="59">
        <f>'6月口碑加热'!I6</f>
        <v>162</v>
      </c>
      <c r="I89" s="9">
        <v>166</v>
      </c>
      <c r="J89" s="79">
        <v>200</v>
      </c>
      <c r="K89" s="9">
        <v>5</v>
      </c>
      <c r="L89" s="9">
        <v>0</v>
      </c>
      <c r="M89" s="9">
        <v>0</v>
      </c>
      <c r="N89" s="9">
        <f t="shared" si="2"/>
        <v>5</v>
      </c>
      <c r="O89" s="9"/>
      <c r="P89" s="9"/>
    </row>
    <row r="90" spans="1:16" ht="238.75" customHeight="1">
      <c r="A90" s="9">
        <f>'6月口碑加热'!A7</f>
        <v>46174</v>
      </c>
      <c r="B90" s="32">
        <v>46177</v>
      </c>
      <c r="C90" s="50">
        <v>200</v>
      </c>
      <c r="D90" s="9" t="s">
        <v>1271</v>
      </c>
      <c r="E90" s="9" t="str">
        <f>'6月口碑加热'!D7</f>
        <v>小鹿泡芙🦌</v>
      </c>
      <c r="F90" s="49" t="str">
        <f>'6月口碑加热'!E7</f>
        <v>https://www.xiaohongshu.com/explore/6a1c0e4a000000003600117f?app_platform=ios&amp;app_version=9.32.2&amp;share_from_user_hidden=true&amp;xsec_source=app_share&amp;type=normal&amp;xsec_token=CBVaOt65qTlBrjpLv7ic8e6qLwqH3AWsvKmTaN0A6KGsg=&amp;author_share=1&amp;xhsshare=CopyLink&amp;shareRedId=OD47QUk3NUs2NzUyOTgwNjc8OTdJNj1K&amp;apptime=1780224568&amp;share_id=155d8c9ac34c4ccf8390c8d8df8fe1db</v>
      </c>
      <c r="G90" s="49" t="str">
        <f>'6月口碑加热'!F7</f>
        <v>6a1c0e4a000000003600117f</v>
      </c>
      <c r="H90" s="59">
        <f>'6月口碑加热'!I7</f>
        <v>38</v>
      </c>
      <c r="I90" s="9">
        <v>41</v>
      </c>
      <c r="J90" s="79">
        <v>200</v>
      </c>
      <c r="K90" s="9">
        <v>4</v>
      </c>
      <c r="L90" s="9">
        <v>0</v>
      </c>
      <c r="M90" s="9">
        <v>0</v>
      </c>
      <c r="N90" s="9">
        <f t="shared" si="2"/>
        <v>4</v>
      </c>
      <c r="O90" s="9"/>
      <c r="P90" s="9"/>
    </row>
    <row r="91" spans="1:16" ht="249" customHeight="1">
      <c r="A91" s="32">
        <v>46174</v>
      </c>
      <c r="B91" s="32">
        <v>46177</v>
      </c>
      <c r="C91" s="50">
        <v>200</v>
      </c>
      <c r="D91" s="9" t="s">
        <v>1271</v>
      </c>
      <c r="E91" s="9" t="s">
        <v>1229</v>
      </c>
      <c r="F91" s="49" t="s">
        <v>1230</v>
      </c>
      <c r="G91" s="49" t="s">
        <v>1231</v>
      </c>
      <c r="H91" s="59">
        <v>30</v>
      </c>
      <c r="I91" s="9">
        <v>349</v>
      </c>
      <c r="J91" s="79">
        <v>200</v>
      </c>
      <c r="K91" s="9">
        <v>87</v>
      </c>
      <c r="L91" s="9">
        <v>0</v>
      </c>
      <c r="M91" s="9">
        <v>2</v>
      </c>
      <c r="N91" s="9">
        <f t="shared" si="2"/>
        <v>89</v>
      </c>
      <c r="O91" s="9"/>
      <c r="P91" s="9"/>
    </row>
    <row r="92" spans="1:16" ht="241" customHeight="1">
      <c r="A92" s="32">
        <f>'6月口碑加热'!A8</f>
        <v>46177</v>
      </c>
      <c r="B92" s="32">
        <v>46178</v>
      </c>
      <c r="C92" s="50">
        <v>499</v>
      </c>
      <c r="D92" s="9" t="s">
        <v>1271</v>
      </c>
      <c r="E92" s="9" t="str">
        <f>'6月口碑加热'!D8</f>
        <v>Alex_Undefined</v>
      </c>
      <c r="F92" s="49" t="str">
        <f>'6月口碑加热'!E8</f>
        <v>https://www.xiaohongshu.com/explore/6a20c28b0000000035025767?app_platform=ios&amp;app_version=9.33.2&amp;share_from_user_hidden=true&amp;xsec_source=app_share&amp;type=normal&amp;xsec_token=CBavQdohy-cZxpMc7sfNubApugkM2W6BAjP6KpSLa86ac=&amp;author_share=1&amp;xhsshare=CopyLink&amp;shareRedId=ODo4MUY6OEo2NzUyOTgwNjczOTk4PD45&amp;apptime=1780655165&amp;share_id=6fc1a84fb7744cf8a5c344ae4302024b</v>
      </c>
      <c r="G92" s="49" t="str">
        <f>'6月口碑加热'!F8</f>
        <v>6a20c28b0000000035025767</v>
      </c>
      <c r="H92" s="59">
        <f>'6月口碑加热'!I8</f>
        <v>18000</v>
      </c>
      <c r="I92" s="9">
        <v>19662</v>
      </c>
      <c r="J92" s="50">
        <v>499</v>
      </c>
      <c r="K92" s="9">
        <v>1489</v>
      </c>
      <c r="L92" s="9">
        <v>38</v>
      </c>
      <c r="M92" s="9">
        <v>6</v>
      </c>
      <c r="N92" s="9">
        <f t="shared" si="2"/>
        <v>1533</v>
      </c>
      <c r="O92" s="9"/>
      <c r="P92" s="9"/>
    </row>
    <row r="93" spans="1:16" ht="241" customHeight="1">
      <c r="A93" s="32">
        <v>46177</v>
      </c>
      <c r="B93" s="32">
        <v>46181</v>
      </c>
      <c r="C93" s="50">
        <v>1000</v>
      </c>
      <c r="D93" s="9" t="s">
        <v>1271</v>
      </c>
      <c r="E93" s="9" t="s">
        <v>1229</v>
      </c>
      <c r="F93" s="49" t="s">
        <v>1230</v>
      </c>
      <c r="G93" s="49" t="s">
        <v>1231</v>
      </c>
      <c r="H93" s="59">
        <v>20703</v>
      </c>
      <c r="I93" s="9">
        <v>23788</v>
      </c>
      <c r="J93" s="79">
        <v>1000</v>
      </c>
      <c r="K93" s="9">
        <v>2824</v>
      </c>
      <c r="L93" s="9">
        <v>66</v>
      </c>
      <c r="M93" s="9">
        <v>12</v>
      </c>
      <c r="N93" s="9">
        <f t="shared" si="2"/>
        <v>2902</v>
      </c>
      <c r="O93" s="9"/>
      <c r="P93" s="9"/>
    </row>
    <row r="94" spans="1:16" ht="241" customHeight="1">
      <c r="A94" s="32">
        <f>'6月口碑加热'!A9</f>
        <v>46178</v>
      </c>
      <c r="B94" s="32">
        <v>46181</v>
      </c>
      <c r="C94" s="50">
        <v>200</v>
      </c>
      <c r="D94" s="9" t="s">
        <v>1271</v>
      </c>
      <c r="E94" s="9" t="str">
        <f>'6月口碑加热'!D9</f>
        <v>雨散-不拘一格</v>
      </c>
      <c r="F94" s="49" t="str">
        <f>'6月口碑加热'!E9</f>
        <v>https://www.xiaohongshu.com/explore/6a22ddc9000000001702a5c5?xsec_token=ABpke63dIVqT2RLvXt_VGhuLaDBKqsCr8sTuLPwFApwLs=&amp;source=web_explore_feed</v>
      </c>
      <c r="G94" s="49" t="str">
        <f>'6月口碑加热'!F9</f>
        <v>6a22ddc9000000001702a5c5</v>
      </c>
      <c r="H94" s="59">
        <f>'6月口碑加热'!I9</f>
        <v>408</v>
      </c>
      <c r="I94" s="9">
        <v>711</v>
      </c>
      <c r="J94" s="79">
        <v>200</v>
      </c>
      <c r="K94" s="9">
        <v>233</v>
      </c>
      <c r="L94" s="9">
        <v>62</v>
      </c>
      <c r="M94" s="9">
        <v>0</v>
      </c>
      <c r="N94" s="9">
        <f t="shared" si="2"/>
        <v>295</v>
      </c>
      <c r="O94" s="9"/>
      <c r="P94" s="9"/>
    </row>
    <row r="95" spans="1:16" ht="241.25" customHeight="1">
      <c r="A95" s="32">
        <f>'6月口碑加热'!A10</f>
        <v>46179</v>
      </c>
      <c r="B95" s="32">
        <v>46183</v>
      </c>
      <c r="C95" s="50">
        <v>200</v>
      </c>
      <c r="D95" s="9" t="s">
        <v>1271</v>
      </c>
      <c r="E95" s="9" t="str">
        <f>'6月口碑加热'!D10</f>
        <v>杨小坨</v>
      </c>
      <c r="F95" s="49" t="str">
        <f>'6月口碑加热'!E10</f>
        <v>https://www.xiaohongshu.com/explore/6a22e03c0000000021015ba9?xsec_token=ABj68FdOzHVJPtaigypuKt-TttIJBnHFAi-6E1zdoPUwI=&amp;source=web_explore_feed</v>
      </c>
      <c r="G95" s="49" t="str">
        <f>'6月口碑加热'!F10</f>
        <v>6a22e03c0000000021015ba9</v>
      </c>
      <c r="H95" s="59">
        <f>'6月口碑加热'!I10</f>
        <v>65</v>
      </c>
      <c r="I95" s="9">
        <v>200</v>
      </c>
      <c r="J95" s="79">
        <v>200</v>
      </c>
      <c r="K95" s="9">
        <v>83</v>
      </c>
      <c r="L95" s="9">
        <v>27</v>
      </c>
      <c r="M95" s="9">
        <v>4</v>
      </c>
      <c r="N95" s="9">
        <f t="shared" si="2"/>
        <v>114</v>
      </c>
      <c r="O95" s="9"/>
      <c r="P95" s="9"/>
    </row>
    <row r="96" spans="1:16" ht="241.25" customHeight="1">
      <c r="A96" s="32">
        <v>46177</v>
      </c>
      <c r="B96" s="32">
        <v>46183</v>
      </c>
      <c r="C96" s="50">
        <v>500</v>
      </c>
      <c r="D96" s="9" t="s">
        <v>1271</v>
      </c>
      <c r="E96" s="9" t="s">
        <v>1245</v>
      </c>
      <c r="F96" s="49" t="s">
        <v>1246</v>
      </c>
      <c r="G96" s="49" t="s">
        <v>1247</v>
      </c>
      <c r="H96" s="9">
        <v>19662</v>
      </c>
      <c r="I96" s="9">
        <v>24829</v>
      </c>
      <c r="J96" s="79">
        <v>500</v>
      </c>
      <c r="K96" s="9">
        <v>1451</v>
      </c>
      <c r="L96" s="9">
        <v>35</v>
      </c>
      <c r="M96" s="9">
        <v>8</v>
      </c>
      <c r="N96" s="9">
        <f t="shared" si="2"/>
        <v>1494</v>
      </c>
      <c r="O96" s="9"/>
      <c r="P96" s="9"/>
    </row>
    <row r="97" spans="1:16" ht="241.25" customHeight="1">
      <c r="A97" s="32">
        <v>46178</v>
      </c>
      <c r="B97" s="32">
        <v>46183</v>
      </c>
      <c r="C97" s="50">
        <v>500</v>
      </c>
      <c r="D97" s="9" t="s">
        <v>1271</v>
      </c>
      <c r="E97" s="9" t="s">
        <v>1249</v>
      </c>
      <c r="F97" s="49" t="s">
        <v>1250</v>
      </c>
      <c r="G97" s="49" t="s">
        <v>1251</v>
      </c>
      <c r="H97" s="9">
        <v>711</v>
      </c>
      <c r="I97" s="9">
        <v>2170</v>
      </c>
      <c r="J97" s="79">
        <v>500</v>
      </c>
      <c r="K97" s="9">
        <v>1159</v>
      </c>
      <c r="L97" s="9">
        <v>214</v>
      </c>
      <c r="M97" s="9">
        <v>7</v>
      </c>
      <c r="N97" s="9">
        <f t="shared" si="2"/>
        <v>1380</v>
      </c>
      <c r="O97" s="9"/>
      <c r="P97" s="9"/>
    </row>
    <row r="98" spans="1:16" ht="29" customHeight="1">
      <c r="A98" s="32">
        <f>'6月口碑加热'!A11</f>
        <v>46187</v>
      </c>
      <c r="B98" s="32">
        <v>46189</v>
      </c>
      <c r="C98" s="50">
        <v>200</v>
      </c>
      <c r="D98" s="9" t="s">
        <v>1271</v>
      </c>
      <c r="E98" s="9" t="str">
        <f>'6月口碑加热'!D11</f>
        <v>小如梦</v>
      </c>
      <c r="F98" s="49" t="str">
        <f>'6月口碑加热'!E11</f>
        <v>https://www.xiaohongshu.com/explore/6a2b6fb8000000002101ae37?xsec_token=ABvHq-DDj2nKeD7f6dy17-3hayBjeUtb5TIfsekgbQuNY=&amp;xsec_source=pc_search&amp;source=web_explore_feed</v>
      </c>
      <c r="G98" s="49" t="str">
        <f>'6月口碑加热'!F11</f>
        <v>6a2b6fb8000000002101ae37</v>
      </c>
      <c r="H98" s="59">
        <f>'6月口碑加热'!I11</f>
        <v>444</v>
      </c>
      <c r="I98" s="9"/>
      <c r="J98" s="50"/>
      <c r="K98" s="9"/>
      <c r="L98" s="9"/>
      <c r="M98" s="9"/>
      <c r="N98" s="9">
        <f t="shared" ref="N98:N129" si="3">SUM(K98:M98)</f>
        <v>0</v>
      </c>
      <c r="O98" s="9"/>
      <c r="P98" s="9"/>
    </row>
    <row r="99" spans="1:16" ht="29" customHeight="1">
      <c r="A99" s="32">
        <f>'6月口碑加热'!A12</f>
        <v>0</v>
      </c>
      <c r="B99" s="32"/>
      <c r="C99" s="50"/>
      <c r="D99" s="9" t="s">
        <v>1271</v>
      </c>
      <c r="E99" s="9">
        <f>'6月口碑加热'!D12</f>
        <v>0</v>
      </c>
      <c r="F99" s="49">
        <f>'6月口碑加热'!E12</f>
        <v>0</v>
      </c>
      <c r="G99" s="49">
        <f>'6月口碑加热'!F12</f>
        <v>0</v>
      </c>
      <c r="H99" s="59">
        <f>'6月口碑加热'!I12</f>
        <v>0</v>
      </c>
      <c r="I99" s="9"/>
      <c r="J99" s="50"/>
      <c r="K99" s="9"/>
      <c r="L99" s="9"/>
      <c r="M99" s="9"/>
      <c r="N99" s="9">
        <f t="shared" si="3"/>
        <v>0</v>
      </c>
      <c r="O99" s="9"/>
      <c r="P99" s="9"/>
    </row>
    <row r="100" spans="1:16" ht="29" customHeight="1">
      <c r="A100" s="32"/>
      <c r="B100" s="32"/>
      <c r="C100" s="50"/>
      <c r="D100" s="9"/>
      <c r="E100" s="9"/>
      <c r="F100" s="49"/>
      <c r="G100" s="49"/>
      <c r="H100" s="59"/>
      <c r="I100" s="9"/>
      <c r="J100" s="50"/>
      <c r="K100" s="9"/>
      <c r="L100" s="9"/>
      <c r="M100" s="9"/>
      <c r="N100" s="9"/>
      <c r="O100" s="9"/>
      <c r="P100" s="9"/>
    </row>
    <row r="101" spans="1:16" ht="29" customHeight="1">
      <c r="A101" s="32"/>
      <c r="B101" s="32"/>
      <c r="C101" s="50"/>
      <c r="D101" s="9"/>
      <c r="E101" s="9"/>
      <c r="F101" s="49"/>
      <c r="G101" s="49"/>
      <c r="H101" s="59"/>
      <c r="I101" s="9"/>
      <c r="J101" s="50"/>
      <c r="K101" s="9"/>
      <c r="L101" s="9"/>
      <c r="M101" s="9"/>
      <c r="N101" s="9"/>
      <c r="O101" s="9"/>
      <c r="P101" s="9"/>
    </row>
    <row r="102" spans="1:16" ht="29" customHeight="1">
      <c r="A102" s="32"/>
      <c r="B102" s="32"/>
      <c r="C102" s="50"/>
      <c r="D102" s="9"/>
      <c r="E102" s="9"/>
      <c r="F102" s="49"/>
      <c r="G102" s="49"/>
      <c r="H102" s="59"/>
      <c r="I102" s="9"/>
      <c r="J102" s="50"/>
      <c r="K102" s="9"/>
      <c r="L102" s="9"/>
      <c r="M102" s="9"/>
      <c r="N102" s="9"/>
      <c r="O102" s="9"/>
      <c r="P102" s="9"/>
    </row>
    <row r="103" spans="1:16" ht="29" customHeight="1">
      <c r="A103" s="32"/>
      <c r="B103" s="32"/>
      <c r="C103" s="50"/>
      <c r="D103" s="9"/>
      <c r="E103" s="9"/>
      <c r="F103" s="49"/>
      <c r="G103" s="49"/>
      <c r="H103" s="59"/>
      <c r="I103" s="9"/>
      <c r="J103" s="50"/>
      <c r="K103" s="9"/>
      <c r="L103" s="9"/>
      <c r="M103" s="9"/>
      <c r="N103" s="9"/>
      <c r="O103" s="9"/>
      <c r="P103" s="9"/>
    </row>
    <row r="104" spans="1:16" ht="29" customHeight="1">
      <c r="A104" s="32"/>
      <c r="B104" s="32"/>
      <c r="C104" s="50"/>
      <c r="D104" s="9"/>
      <c r="E104" s="9"/>
      <c r="F104" s="49"/>
      <c r="G104" s="49"/>
      <c r="H104" s="59"/>
      <c r="I104" s="9"/>
      <c r="J104" s="50"/>
      <c r="K104" s="9"/>
      <c r="L104" s="9"/>
      <c r="M104" s="9"/>
      <c r="N104" s="9"/>
      <c r="O104" s="9"/>
      <c r="P104" s="9"/>
    </row>
    <row r="105" spans="1:16" ht="29" customHeight="1">
      <c r="A105" s="32"/>
      <c r="B105" s="32"/>
      <c r="C105" s="50"/>
      <c r="D105" s="9"/>
      <c r="E105" s="9"/>
      <c r="F105" s="49"/>
      <c r="G105" s="49"/>
      <c r="H105" s="59"/>
      <c r="I105" s="9"/>
      <c r="J105" s="50"/>
      <c r="K105" s="9"/>
      <c r="L105" s="9"/>
      <c r="M105" s="9"/>
      <c r="N105" s="9"/>
      <c r="O105" s="9"/>
      <c r="P105" s="9"/>
    </row>
    <row r="106" spans="1:16" ht="29" customHeight="1">
      <c r="A106" s="32"/>
      <c r="B106" s="32"/>
      <c r="C106" s="50"/>
      <c r="D106" s="9"/>
      <c r="E106" s="9"/>
      <c r="F106" s="49"/>
      <c r="G106" s="49"/>
      <c r="H106" s="59"/>
      <c r="I106" s="9"/>
      <c r="J106" s="50"/>
      <c r="K106" s="9"/>
      <c r="L106" s="9"/>
      <c r="M106" s="9"/>
      <c r="N106" s="9"/>
      <c r="O106" s="9"/>
      <c r="P106" s="9"/>
    </row>
    <row r="107" spans="1:16" ht="29" customHeight="1">
      <c r="A107" s="32"/>
      <c r="B107" s="32"/>
      <c r="C107" s="50"/>
      <c r="D107" s="9"/>
      <c r="E107" s="9"/>
      <c r="F107" s="49"/>
      <c r="G107" s="49"/>
      <c r="H107" s="59"/>
      <c r="I107" s="9"/>
      <c r="J107" s="50"/>
      <c r="K107" s="9"/>
      <c r="L107" s="9"/>
      <c r="M107" s="9"/>
      <c r="N107" s="9"/>
      <c r="O107" s="9"/>
      <c r="P107" s="9"/>
    </row>
    <row r="108" spans="1:16" ht="29" customHeight="1">
      <c r="A108" s="32"/>
      <c r="B108" s="32"/>
      <c r="C108" s="50"/>
      <c r="D108" s="9"/>
      <c r="E108" s="9"/>
      <c r="F108" s="49"/>
      <c r="G108" s="49"/>
      <c r="H108" s="59"/>
      <c r="I108" s="9"/>
      <c r="J108" s="50"/>
      <c r="K108" s="9"/>
      <c r="L108" s="9"/>
      <c r="M108" s="9"/>
      <c r="N108" s="9"/>
      <c r="O108" s="9"/>
      <c r="P108" s="9"/>
    </row>
    <row r="109" spans="1:16" ht="29" customHeight="1">
      <c r="A109" s="32"/>
      <c r="B109" s="32"/>
      <c r="C109" s="50"/>
      <c r="D109" s="9"/>
      <c r="E109" s="9"/>
      <c r="F109" s="49"/>
      <c r="G109" s="49"/>
      <c r="H109" s="59"/>
      <c r="I109" s="9"/>
      <c r="J109" s="50"/>
      <c r="K109" s="9"/>
      <c r="L109" s="9"/>
      <c r="M109" s="9"/>
      <c r="N109" s="9"/>
      <c r="O109" s="9"/>
      <c r="P109" s="9"/>
    </row>
    <row r="110" spans="1:16" ht="29" customHeight="1">
      <c r="A110" s="32"/>
      <c r="B110" s="32"/>
      <c r="C110" s="50"/>
      <c r="D110" s="9"/>
      <c r="E110" s="9"/>
      <c r="F110" s="49"/>
      <c r="G110" s="49"/>
      <c r="H110" s="59"/>
      <c r="I110" s="9"/>
      <c r="J110" s="50"/>
      <c r="K110" s="9"/>
      <c r="L110" s="9"/>
      <c r="M110" s="9"/>
      <c r="N110" s="9"/>
      <c r="O110" s="9"/>
      <c r="P110" s="9"/>
    </row>
    <row r="111" spans="1:16" ht="29" customHeight="1">
      <c r="A111" s="32"/>
      <c r="B111" s="32"/>
      <c r="C111" s="50"/>
      <c r="D111" s="9"/>
      <c r="E111" s="9"/>
      <c r="F111" s="49"/>
      <c r="G111" s="49"/>
      <c r="H111" s="59"/>
      <c r="I111" s="9"/>
      <c r="J111" s="50"/>
      <c r="K111" s="9"/>
      <c r="L111" s="9"/>
      <c r="M111" s="9"/>
      <c r="N111" s="9"/>
      <c r="O111" s="9"/>
      <c r="P111" s="9"/>
    </row>
    <row r="112" spans="1:16" ht="29" customHeight="1">
      <c r="A112" s="32"/>
      <c r="B112" s="32"/>
      <c r="C112" s="50"/>
      <c r="D112" s="9"/>
      <c r="E112" s="9"/>
      <c r="F112" s="49"/>
      <c r="G112" s="49"/>
      <c r="H112" s="59"/>
      <c r="I112" s="9"/>
      <c r="J112" s="50"/>
      <c r="K112" s="9"/>
      <c r="L112" s="9"/>
      <c r="M112" s="9"/>
      <c r="N112" s="9"/>
      <c r="O112" s="9"/>
      <c r="P112" s="9"/>
    </row>
    <row r="113" spans="1:16" ht="29" customHeight="1">
      <c r="A113" s="32"/>
      <c r="B113" s="32"/>
      <c r="C113" s="50"/>
      <c r="D113" s="9"/>
      <c r="E113" s="9"/>
      <c r="F113" s="49"/>
      <c r="G113" s="49"/>
      <c r="H113" s="59"/>
      <c r="I113" s="9"/>
      <c r="J113" s="50"/>
      <c r="K113" s="9"/>
      <c r="L113" s="9"/>
      <c r="M113" s="9"/>
      <c r="N113" s="9"/>
      <c r="O113" s="9"/>
      <c r="P113" s="9"/>
    </row>
    <row r="114" spans="1:16" ht="29" customHeight="1">
      <c r="A114" s="32"/>
      <c r="B114" s="32"/>
      <c r="C114" s="50"/>
      <c r="D114" s="9"/>
      <c r="E114" s="9"/>
      <c r="F114" s="49"/>
      <c r="G114" s="49"/>
      <c r="H114" s="59"/>
      <c r="I114" s="9"/>
      <c r="J114" s="50"/>
      <c r="K114" s="9"/>
      <c r="L114" s="9"/>
      <c r="M114" s="9"/>
      <c r="N114" s="9"/>
      <c r="O114" s="9"/>
      <c r="P114" s="9"/>
    </row>
    <row r="115" spans="1:16" ht="29" customHeight="1">
      <c r="A115" s="32"/>
      <c r="B115" s="32"/>
      <c r="C115" s="50"/>
      <c r="D115" s="9"/>
      <c r="E115" s="9"/>
      <c r="F115" s="49"/>
      <c r="G115" s="49"/>
      <c r="H115" s="59"/>
      <c r="I115" s="9"/>
      <c r="J115" s="50"/>
      <c r="K115" s="9"/>
      <c r="L115" s="9"/>
      <c r="M115" s="9"/>
      <c r="N115" s="9"/>
      <c r="O115" s="9"/>
      <c r="P115" s="9"/>
    </row>
    <row r="116" spans="1:16" ht="29" customHeight="1">
      <c r="A116" s="32"/>
      <c r="B116" s="32"/>
      <c r="C116" s="50"/>
      <c r="D116" s="9"/>
      <c r="E116" s="9"/>
      <c r="F116" s="49"/>
      <c r="G116" s="49"/>
      <c r="H116" s="59"/>
      <c r="I116" s="9"/>
      <c r="J116" s="50"/>
      <c r="K116" s="9"/>
      <c r="L116" s="9"/>
      <c r="M116" s="9"/>
      <c r="N116" s="9"/>
      <c r="O116" s="9"/>
      <c r="P116" s="9"/>
    </row>
    <row r="117" spans="1:16" ht="29" customHeight="1">
      <c r="A117" s="32"/>
      <c r="B117" s="32"/>
      <c r="C117" s="50"/>
      <c r="D117" s="9"/>
      <c r="E117" s="9"/>
      <c r="F117" s="49"/>
      <c r="G117" s="49"/>
      <c r="H117" s="59"/>
      <c r="I117" s="9"/>
      <c r="J117" s="50"/>
      <c r="K117" s="9"/>
      <c r="L117" s="9"/>
      <c r="M117" s="9"/>
      <c r="N117" s="9"/>
      <c r="O117" s="9"/>
      <c r="P117" s="9"/>
    </row>
    <row r="118" spans="1:16" ht="29" customHeight="1">
      <c r="A118" s="32"/>
      <c r="B118" s="32"/>
      <c r="C118" s="50"/>
      <c r="D118" s="9"/>
      <c r="E118" s="9"/>
      <c r="F118" s="49"/>
      <c r="G118" s="49"/>
      <c r="H118" s="59"/>
      <c r="I118" s="9"/>
      <c r="J118" s="50"/>
      <c r="K118" s="9"/>
      <c r="L118" s="9"/>
      <c r="M118" s="9"/>
      <c r="N118" s="9"/>
      <c r="O118" s="9"/>
      <c r="P118" s="9"/>
    </row>
    <row r="119" spans="1:16" ht="29" customHeight="1">
      <c r="A119" s="32"/>
      <c r="B119" s="32"/>
      <c r="C119" s="50"/>
      <c r="D119" s="9"/>
      <c r="E119" s="9"/>
      <c r="F119" s="49"/>
      <c r="G119" s="49"/>
      <c r="H119" s="59"/>
      <c r="I119" s="9"/>
      <c r="J119" s="50"/>
      <c r="K119" s="9"/>
      <c r="L119" s="9"/>
      <c r="M119" s="9"/>
      <c r="N119" s="9"/>
      <c r="O119" s="9"/>
      <c r="P119" s="9"/>
    </row>
    <row r="120" spans="1:16" ht="29" customHeight="1">
      <c r="A120" s="32"/>
      <c r="B120" s="32"/>
      <c r="C120" s="50"/>
      <c r="D120" s="9"/>
      <c r="E120" s="9"/>
      <c r="F120" s="49"/>
      <c r="G120" s="49"/>
      <c r="H120" s="59"/>
      <c r="I120" s="9"/>
      <c r="J120" s="50"/>
      <c r="K120" s="9"/>
      <c r="L120" s="9"/>
      <c r="M120" s="9"/>
      <c r="N120" s="9"/>
      <c r="O120" s="9"/>
      <c r="P120" s="9"/>
    </row>
    <row r="121" spans="1:16" ht="29" customHeight="1">
      <c r="A121" s="32"/>
      <c r="B121" s="32"/>
      <c r="C121" s="50"/>
      <c r="D121" s="9"/>
      <c r="E121" s="9"/>
      <c r="F121" s="49"/>
      <c r="G121" s="49"/>
      <c r="H121" s="59"/>
      <c r="I121" s="9"/>
      <c r="J121" s="50"/>
      <c r="K121" s="9"/>
      <c r="L121" s="9"/>
      <c r="M121" s="9"/>
      <c r="N121" s="9"/>
      <c r="O121" s="9"/>
      <c r="P121" s="9"/>
    </row>
    <row r="122" spans="1:16" ht="29" customHeight="1">
      <c r="A122" s="32"/>
      <c r="B122" s="32"/>
      <c r="C122" s="50"/>
      <c r="D122" s="9"/>
      <c r="E122" s="9"/>
      <c r="F122" s="49"/>
      <c r="G122" s="49"/>
      <c r="H122" s="59"/>
      <c r="I122" s="9"/>
      <c r="J122" s="50"/>
      <c r="K122" s="9"/>
      <c r="L122" s="9"/>
      <c r="M122" s="9"/>
      <c r="N122" s="9"/>
      <c r="O122" s="9"/>
      <c r="P122" s="9"/>
    </row>
    <row r="123" spans="1:16" ht="29" customHeight="1">
      <c r="A123" s="32"/>
      <c r="B123" s="32"/>
      <c r="C123" s="50"/>
      <c r="D123" s="9"/>
      <c r="E123" s="9"/>
      <c r="F123" s="49"/>
      <c r="G123" s="49"/>
      <c r="H123" s="59"/>
      <c r="I123" s="9"/>
      <c r="J123" s="50"/>
      <c r="K123" s="9"/>
      <c r="L123" s="9"/>
      <c r="M123" s="9"/>
      <c r="N123" s="9"/>
      <c r="O123" s="9"/>
      <c r="P123" s="9"/>
    </row>
    <row r="124" spans="1:16" ht="29" customHeight="1">
      <c r="A124" s="32"/>
      <c r="B124" s="32"/>
      <c r="C124" s="50"/>
      <c r="D124" s="9"/>
      <c r="E124" s="9"/>
      <c r="F124" s="49"/>
      <c r="G124" s="49"/>
      <c r="H124" s="59"/>
      <c r="I124" s="9"/>
      <c r="J124" s="50"/>
      <c r="K124" s="9"/>
      <c r="L124" s="9"/>
      <c r="M124" s="9"/>
      <c r="N124" s="9"/>
      <c r="O124" s="9"/>
      <c r="P124" s="9"/>
    </row>
    <row r="125" spans="1:16" ht="29" customHeight="1">
      <c r="A125" s="32"/>
      <c r="B125" s="32"/>
      <c r="C125" s="50"/>
      <c r="D125" s="9"/>
      <c r="E125" s="9"/>
      <c r="F125" s="49"/>
      <c r="G125" s="49"/>
      <c r="H125" s="59"/>
      <c r="I125" s="9"/>
      <c r="J125" s="50"/>
      <c r="K125" s="9"/>
      <c r="L125" s="9"/>
      <c r="M125" s="9"/>
      <c r="N125" s="9"/>
      <c r="O125" s="9"/>
      <c r="P125" s="9"/>
    </row>
    <row r="126" spans="1:16" ht="29" customHeight="1">
      <c r="A126" s="32"/>
      <c r="B126" s="32"/>
      <c r="C126" s="50"/>
      <c r="D126" s="9"/>
      <c r="E126" s="9"/>
      <c r="F126" s="49"/>
      <c r="G126" s="49"/>
      <c r="H126" s="59"/>
      <c r="I126" s="9"/>
      <c r="J126" s="50"/>
      <c r="K126" s="9"/>
      <c r="L126" s="9"/>
      <c r="M126" s="9"/>
      <c r="N126" s="9"/>
      <c r="O126" s="9"/>
      <c r="P126" s="9"/>
    </row>
    <row r="127" spans="1:16" ht="29" customHeight="1">
      <c r="A127" s="32"/>
      <c r="B127" s="32"/>
      <c r="C127" s="50"/>
      <c r="D127" s="9"/>
      <c r="E127" s="9"/>
      <c r="F127" s="49"/>
      <c r="G127" s="49"/>
      <c r="H127" s="59"/>
      <c r="I127" s="9"/>
      <c r="J127" s="50"/>
      <c r="K127" s="9"/>
      <c r="L127" s="9"/>
      <c r="M127" s="9"/>
      <c r="N127" s="9"/>
      <c r="O127" s="9"/>
      <c r="P127" s="9"/>
    </row>
    <row r="128" spans="1:16" ht="29" customHeight="1">
      <c r="A128" s="32"/>
      <c r="B128" s="32"/>
      <c r="C128" s="50"/>
      <c r="D128" s="9"/>
      <c r="E128" s="9"/>
      <c r="F128" s="49"/>
      <c r="G128" s="49"/>
      <c r="H128" s="59"/>
      <c r="I128" s="9"/>
      <c r="J128" s="50"/>
      <c r="K128" s="9"/>
      <c r="L128" s="9"/>
      <c r="M128" s="9"/>
      <c r="N128" s="9"/>
      <c r="O128" s="9"/>
      <c r="P128" s="9"/>
    </row>
    <row r="129" spans="1:16" ht="29" customHeight="1">
      <c r="A129" s="32"/>
      <c r="B129" s="32"/>
      <c r="C129" s="50"/>
      <c r="D129" s="9"/>
      <c r="E129" s="9"/>
      <c r="F129" s="49"/>
      <c r="G129" s="49"/>
      <c r="H129" s="59"/>
      <c r="I129" s="9"/>
      <c r="J129" s="50"/>
      <c r="K129" s="9"/>
      <c r="L129" s="9"/>
      <c r="M129" s="9"/>
      <c r="N129" s="9"/>
      <c r="O129" s="9"/>
      <c r="P129" s="9"/>
    </row>
    <row r="130" spans="1:16" ht="29" customHeight="1">
      <c r="A130" s="32"/>
      <c r="B130" s="32"/>
      <c r="C130" s="50"/>
      <c r="D130" s="9"/>
      <c r="E130" s="9"/>
      <c r="F130" s="49"/>
      <c r="G130" s="49"/>
      <c r="H130" s="59"/>
      <c r="I130" s="9"/>
      <c r="J130" s="50"/>
      <c r="K130" s="9"/>
      <c r="L130" s="9"/>
      <c r="M130" s="9"/>
      <c r="N130" s="9"/>
      <c r="O130" s="9"/>
      <c r="P130" s="9"/>
    </row>
    <row r="131" spans="1:16" ht="29" customHeight="1">
      <c r="A131" s="32"/>
      <c r="B131" s="32"/>
      <c r="C131" s="50"/>
      <c r="D131" s="9"/>
      <c r="E131" s="9"/>
      <c r="F131" s="49"/>
      <c r="G131" s="49"/>
      <c r="H131" s="59"/>
      <c r="I131" s="9"/>
      <c r="J131" s="50"/>
      <c r="K131" s="9"/>
      <c r="L131" s="9"/>
      <c r="M131" s="9"/>
      <c r="N131" s="9"/>
      <c r="O131" s="9"/>
      <c r="P131" s="9"/>
    </row>
    <row r="132" spans="1:16" ht="29" customHeight="1">
      <c r="A132" s="32"/>
      <c r="B132" s="32"/>
      <c r="C132" s="50"/>
      <c r="D132" s="9"/>
      <c r="E132" s="9"/>
      <c r="F132" s="49"/>
      <c r="G132" s="49"/>
      <c r="H132" s="59"/>
      <c r="I132" s="9"/>
      <c r="J132" s="50"/>
      <c r="K132" s="9"/>
      <c r="L132" s="9"/>
      <c r="M132" s="9"/>
      <c r="N132" s="9"/>
      <c r="O132" s="9"/>
      <c r="P132" s="9"/>
    </row>
    <row r="133" spans="1:16" ht="29" customHeight="1">
      <c r="A133" s="32"/>
      <c r="B133" s="32"/>
      <c r="C133" s="50"/>
      <c r="D133" s="9"/>
      <c r="E133" s="9"/>
      <c r="F133" s="49"/>
      <c r="G133" s="49"/>
      <c r="H133" s="59"/>
      <c r="I133" s="9"/>
      <c r="J133" s="50"/>
      <c r="K133" s="9"/>
      <c r="L133" s="9"/>
      <c r="M133" s="9"/>
      <c r="N133" s="9"/>
      <c r="O133" s="9"/>
      <c r="P133" s="9"/>
    </row>
    <row r="134" spans="1:16" ht="29" customHeight="1">
      <c r="A134" s="32"/>
      <c r="B134" s="32"/>
      <c r="C134" s="50"/>
      <c r="D134" s="9"/>
      <c r="E134" s="9"/>
      <c r="F134" s="49"/>
      <c r="G134" s="49"/>
      <c r="H134" s="59"/>
      <c r="I134" s="9"/>
      <c r="J134" s="50"/>
      <c r="K134" s="9"/>
      <c r="L134" s="9"/>
      <c r="M134" s="9"/>
      <c r="N134" s="9"/>
      <c r="O134" s="9"/>
      <c r="P134" s="9"/>
    </row>
    <row r="135" spans="1:16" ht="29" customHeight="1">
      <c r="A135" s="32"/>
      <c r="B135" s="32"/>
      <c r="C135" s="50"/>
      <c r="D135" s="9"/>
      <c r="E135" s="9"/>
      <c r="F135" s="49"/>
      <c r="G135" s="49"/>
      <c r="H135" s="59"/>
      <c r="I135" s="9"/>
      <c r="J135" s="50"/>
      <c r="K135" s="9"/>
      <c r="L135" s="9"/>
      <c r="M135" s="9"/>
      <c r="N135" s="9"/>
      <c r="O135" s="9"/>
      <c r="P135" s="9"/>
    </row>
    <row r="136" spans="1:16" ht="29" customHeight="1">
      <c r="A136" s="32"/>
      <c r="B136" s="32"/>
      <c r="C136" s="50"/>
      <c r="D136" s="9"/>
      <c r="E136" s="9"/>
      <c r="F136" s="49"/>
      <c r="G136" s="49"/>
      <c r="H136" s="59"/>
      <c r="I136" s="9"/>
      <c r="J136" s="50"/>
      <c r="K136" s="9"/>
      <c r="L136" s="9"/>
      <c r="M136" s="9"/>
      <c r="N136" s="9"/>
      <c r="O136" s="9"/>
      <c r="P136" s="9"/>
    </row>
    <row r="137" spans="1:16" ht="29" customHeight="1">
      <c r="A137" s="32"/>
      <c r="B137" s="32"/>
      <c r="C137" s="50"/>
      <c r="D137" s="9"/>
      <c r="E137" s="9"/>
      <c r="F137" s="49"/>
      <c r="G137" s="49"/>
      <c r="H137" s="59"/>
      <c r="I137" s="9"/>
      <c r="J137" s="50"/>
      <c r="K137" s="9"/>
      <c r="L137" s="9"/>
      <c r="M137" s="9"/>
      <c r="N137" s="9"/>
      <c r="O137" s="9"/>
      <c r="P137" s="9"/>
    </row>
    <row r="138" spans="1:16" ht="29" customHeight="1">
      <c r="A138" s="32"/>
      <c r="B138" s="32"/>
      <c r="C138" s="50"/>
      <c r="D138" s="9"/>
      <c r="E138" s="9"/>
      <c r="F138" s="49"/>
      <c r="G138" s="49"/>
      <c r="H138" s="59"/>
      <c r="I138" s="9"/>
      <c r="J138" s="50"/>
      <c r="K138" s="9"/>
      <c r="L138" s="9"/>
      <c r="M138" s="9"/>
      <c r="N138" s="9"/>
      <c r="O138" s="9"/>
      <c r="P138" s="9"/>
    </row>
    <row r="139" spans="1:16" ht="29" customHeight="1">
      <c r="A139" s="32"/>
      <c r="B139" s="32"/>
      <c r="C139" s="50"/>
      <c r="D139" s="9"/>
      <c r="E139" s="9"/>
      <c r="F139" s="49"/>
      <c r="G139" s="49"/>
      <c r="H139" s="59"/>
      <c r="I139" s="9"/>
      <c r="J139" s="50"/>
      <c r="K139" s="9"/>
      <c r="L139" s="9"/>
      <c r="M139" s="9"/>
      <c r="N139" s="9"/>
      <c r="O139" s="9"/>
      <c r="P139" s="9"/>
    </row>
    <row r="140" spans="1:16" ht="29" customHeight="1">
      <c r="A140" s="32"/>
      <c r="B140" s="32"/>
      <c r="C140" s="50"/>
      <c r="D140" s="9"/>
      <c r="E140" s="9"/>
      <c r="F140" s="49"/>
      <c r="G140" s="49"/>
      <c r="H140" s="59"/>
      <c r="I140" s="9"/>
      <c r="J140" s="50"/>
      <c r="K140" s="9"/>
      <c r="L140" s="9"/>
      <c r="M140" s="9"/>
      <c r="N140" s="9"/>
      <c r="O140" s="9"/>
      <c r="P140" s="9"/>
    </row>
    <row r="141" spans="1:16" ht="29" customHeight="1">
      <c r="A141" s="32"/>
      <c r="B141" s="32"/>
      <c r="C141" s="50"/>
      <c r="D141" s="9"/>
      <c r="E141" s="9"/>
      <c r="F141" s="49"/>
      <c r="G141" s="49"/>
      <c r="H141" s="59"/>
      <c r="I141" s="9"/>
      <c r="J141" s="50"/>
      <c r="K141" s="9"/>
      <c r="L141" s="9"/>
      <c r="M141" s="9"/>
      <c r="N141" s="9"/>
      <c r="O141" s="9"/>
      <c r="P141" s="9"/>
    </row>
    <row r="142" spans="1:16" ht="29" customHeight="1">
      <c r="A142" s="32"/>
      <c r="B142" s="32"/>
      <c r="C142" s="50"/>
      <c r="D142" s="9"/>
      <c r="E142" s="9"/>
      <c r="F142" s="49"/>
      <c r="G142" s="49"/>
      <c r="H142" s="59"/>
      <c r="I142" s="9"/>
      <c r="J142" s="50"/>
      <c r="K142" s="9"/>
      <c r="L142" s="9"/>
      <c r="M142" s="9"/>
      <c r="N142" s="9"/>
      <c r="O142" s="9"/>
      <c r="P142" s="9"/>
    </row>
    <row r="143" spans="1:16" ht="29" customHeight="1">
      <c r="A143" s="32"/>
      <c r="B143" s="32"/>
      <c r="C143" s="50"/>
      <c r="D143" s="9"/>
      <c r="E143" s="9"/>
      <c r="F143" s="49"/>
      <c r="G143" s="49"/>
      <c r="H143" s="59"/>
      <c r="I143" s="9"/>
      <c r="J143" s="50"/>
      <c r="K143" s="9"/>
      <c r="L143" s="9"/>
      <c r="M143" s="9"/>
      <c r="N143" s="9"/>
      <c r="O143" s="9"/>
      <c r="P143" s="9"/>
    </row>
    <row r="144" spans="1:16" ht="29" customHeight="1">
      <c r="A144" s="32"/>
      <c r="B144" s="32"/>
      <c r="C144" s="50"/>
      <c r="D144" s="9"/>
      <c r="E144" s="9"/>
      <c r="F144" s="49"/>
      <c r="G144" s="49"/>
      <c r="H144" s="59"/>
      <c r="I144" s="9"/>
      <c r="J144" s="50"/>
      <c r="K144" s="9"/>
      <c r="L144" s="9"/>
      <c r="M144" s="9"/>
      <c r="N144" s="9"/>
      <c r="O144" s="9"/>
      <c r="P144" s="9"/>
    </row>
  </sheetData>
  <phoneticPr fontId="11" type="noConversion"/>
  <dataValidations count="1">
    <dataValidation type="list" allowBlank="1" showErrorMessage="1" sqref="D2:D144" xr:uid="{00000000-0002-0000-0400-000000000000}">
      <formula1>"✅,❌"</formula1>
    </dataValidation>
  </dataValidations>
  <hyperlinks>
    <hyperlink ref="F2" r:id="rId1" xr:uid="{00000000-0004-0000-0400-000000000000}"/>
    <hyperlink ref="F3" r:id="rId2" display="https://www.xiaohongshu.com/explore/69f05157000000003700c60a?app_platform=ios&amp;app_version=9.28&amp;share_from_user_hidden=true&amp;xsec_source=app_share&amp;type=normal&amp;xsec_token=CBqoLGDKtx1pp2rAm9-jYEuZCP5mGekjpkHk6ro61eqgg=&amp;author_share=1&amp;xhsshare=CopyLink&amp;shareRedId=N0dDN0hINkI6TEZFSkoyPz41SjlJSEg9&amp;apptime=1777360718&amp;share_id=e0df64a71ec64a6f853070d5c652244b" xr:uid="{00000000-0004-0000-0400-000001000000}"/>
    <hyperlink ref="F4" r:id="rId3" xr:uid="{00000000-0004-0000-0400-000002000000}"/>
    <hyperlink ref="F5" r:id="rId4" xr:uid="{00000000-0004-0000-0400-000003000000}"/>
    <hyperlink ref="F6" r:id="rId5" xr:uid="{00000000-0004-0000-0400-000004000000}"/>
    <hyperlink ref="F7" r:id="rId6" xr:uid="{00000000-0004-0000-0400-000005000000}"/>
    <hyperlink ref="F8" r:id="rId7" display="https://www.xiaohongshu.com/explore/69f1c29d0000000023005a50?app_platform=ios&amp;app_version=9.28&amp;share_from_user_hidden=true&amp;xsec_source=app_share&amp;type=normal&amp;xsec_token=CBg2gaKUnCxg2ud8iQCl-jr45B4wRjJaReZTBWhc6ZI6I=&amp;author_share=1&amp;xhsshare=WeixinSession&amp;shareRedId=ODY6NTk5Nzs2NzUyOTgwNjY0OTc8OTxC&amp;apptime=1777472867&amp;share_id=df9fcb8ddf8e446c9a5118d8d3317c00&amp;code=2G20cXCQnO" xr:uid="{00000000-0004-0000-0400-000006000000}"/>
    <hyperlink ref="F9" r:id="rId8" xr:uid="{00000000-0004-0000-0400-000007000000}"/>
    <hyperlink ref="F10" r:id="rId9" xr:uid="{00000000-0004-0000-0400-000008000000}"/>
    <hyperlink ref="F11" r:id="rId10" xr:uid="{00000000-0004-0000-0400-000009000000}"/>
    <hyperlink ref="F12" r:id="rId11" xr:uid="{00000000-0004-0000-0400-00000A000000}"/>
    <hyperlink ref="F13" r:id="rId12" xr:uid="{00000000-0004-0000-0400-00000B000000}"/>
    <hyperlink ref="F14" r:id="rId13" xr:uid="{00000000-0004-0000-0400-00000C000000}"/>
    <hyperlink ref="F15" r:id="rId14" xr:uid="{00000000-0004-0000-0400-00000D000000}"/>
    <hyperlink ref="F16" r:id="rId15" display="https://www.xiaohongshu.com/explore/69f2f64d000000002202410c?app_platform=ios&amp;app_version=9.23&amp;share_from_user_hidden=true&amp;xsec_source=app_share&amp;type=normal&amp;xsec_token=CBBV9_vzbj_FXbJ_j67LntrsyjW4OxBrPaT5RMvpK-lIw=&amp;author_share=1&amp;xhsshare=CopyLink&amp;shareRedId=ODY0NzU8Rzo2NzUyOTgwNjY0OThIN0lA&amp;apptime=1778036727&amp;share_id=c7a1f6846c00444d8a5fcdbf6f3744df" xr:uid="{00000000-0004-0000-0400-00000E000000}"/>
    <hyperlink ref="F17" r:id="rId16" xr:uid="{00000000-0004-0000-0400-00000F000000}"/>
    <hyperlink ref="F18" r:id="rId17" xr:uid="{00000000-0004-0000-0400-000010000000}"/>
    <hyperlink ref="F19" r:id="rId18" xr:uid="{00000000-0004-0000-0400-000011000000}"/>
    <hyperlink ref="F20" r:id="rId19" xr:uid="{00000000-0004-0000-0400-000012000000}"/>
    <hyperlink ref="F21" r:id="rId20" xr:uid="{00000000-0004-0000-0400-000013000000}"/>
    <hyperlink ref="F22" r:id="rId21" xr:uid="{00000000-0004-0000-0400-000014000000}"/>
    <hyperlink ref="F23" r:id="rId22" xr:uid="{00000000-0004-0000-0400-000015000000}"/>
    <hyperlink ref="F24" r:id="rId23" xr:uid="{00000000-0004-0000-0400-000016000000}"/>
    <hyperlink ref="F25" r:id="rId24" xr:uid="{00000000-0004-0000-0400-000017000000}"/>
    <hyperlink ref="F26" r:id="rId25" xr:uid="{00000000-0004-0000-0400-000018000000}"/>
    <hyperlink ref="F27" r:id="rId26" xr:uid="{00000000-0004-0000-0400-000019000000}"/>
    <hyperlink ref="F28" r:id="rId27" xr:uid="{00000000-0004-0000-0400-00001A000000}"/>
    <hyperlink ref="F29" r:id="rId28" display="https://www.xiaohongshu.com/explore/69fc65f90000000022028b6c?app_platform=ios&amp;app_version=9.28.1&amp;share_from_user_hidden=true&amp;xsec_source=app_share&amp;type=normal&amp;xsec_token=CBAxrSWo8Hhf4veuCxUrwqpC0T6aWsI46v29AvU_0nATA=&amp;author_share=1&amp;xhsshare=CopyLink&amp;shareRedId=N0dDN0hINkI6TEZFSkoyPz41SjlJSEg9&amp;apptime=1778211149&amp;share_id=649545e6b4c74bc3b79f908fac0a7947" xr:uid="{00000000-0004-0000-0400-00001B000000}"/>
    <hyperlink ref="F30" r:id="rId29" display="https://www.xiaohongshu.com/explore/69f8702a000000001b021637?app_platform=ios&amp;app_version=9.28.1&amp;share_from_user_hidden=true&amp;xsec_source=app_share&amp;type=normal&amp;xsec_token=CB2UKSax5DF2QA_I7rhNuoqUlhNkevLLDd7iEEZWVmZ7U=&amp;author_share=1&amp;xhsshare=CopyLink&amp;shareRedId=N0dDN0hINkI6TEZFSkoyPz41SjlJSEg9&amp;apptime=1778211176&amp;share_id=af6a6d5c0f8b459abce45f5a54064a24" xr:uid="{00000000-0004-0000-0400-00001C000000}"/>
    <hyperlink ref="F31" r:id="rId30" display="https://www.xiaohongshu.com/explore/69fab3fd000000003501edf9?app_platform=ios&amp;app_version=9.28.1&amp;share_from_user_hidden=true&amp;xsec_source=app_share&amp;type=normal&amp;xsec_token=CBPZ69__HQk7Q8Y-E8hjtw2iJs_hWjBOFCxxjj36RENAc=&amp;author_share=1&amp;xhsshare=CopyLink&amp;shareRedId=N0dDN0hINkI6TEZFSkoyPz41SjlJSEg9&amp;apptime=1778211219&amp;share_id=0fd8efd77d084114a3cdd4ddb5970ffc" xr:uid="{00000000-0004-0000-0400-00001D000000}"/>
    <hyperlink ref="F32" r:id="rId31" xr:uid="{00000000-0004-0000-0400-00001E000000}"/>
    <hyperlink ref="F33" r:id="rId32" xr:uid="{00000000-0004-0000-0400-00001F000000}"/>
    <hyperlink ref="F34" r:id="rId33" xr:uid="{00000000-0004-0000-0400-000020000000}"/>
    <hyperlink ref="F35" r:id="rId34" xr:uid="{00000000-0004-0000-0400-000021000000}"/>
    <hyperlink ref="F36" r:id="rId35" xr:uid="{00000000-0004-0000-0400-000022000000}"/>
    <hyperlink ref="F37" r:id="rId36" xr:uid="{00000000-0004-0000-0400-000023000000}"/>
    <hyperlink ref="F38" r:id="rId37" xr:uid="{00000000-0004-0000-0400-000024000000}"/>
    <hyperlink ref="F39" r:id="rId38" xr:uid="{00000000-0004-0000-0400-000025000000}"/>
    <hyperlink ref="F40" r:id="rId39" display="https://www.xiaohongshu.com/explore/6a015c4b00000000060375d5?app_platform=ios&amp;app_version=9.29&amp;share_from_user_hidden=true&amp;xsec_source=app_share&amp;type=video&amp;xsec_token=CB0EIrGEJAR4IkKD6WrpqGlpqf93X6j_93NaDh5PA3tzg=&amp;author_share=1&amp;xhsshare=CopyLink&amp;shareRedId=N0dDN0hINkI6TEZFSkoyPz41SjlJSEg9&amp;apptime=1778482875&amp;share_id=f1045e5ebc884cc3a25f3f6dbe720b37" xr:uid="{00000000-0004-0000-0400-000026000000}"/>
    <hyperlink ref="F41" r:id="rId40" xr:uid="{00000000-0004-0000-0400-000027000000}"/>
    <hyperlink ref="F42" r:id="rId41" xr:uid="{00000000-0004-0000-0400-000028000000}"/>
    <hyperlink ref="F43" r:id="rId42" xr:uid="{00000000-0004-0000-0400-000029000000}"/>
    <hyperlink ref="F44" r:id="rId43" xr:uid="{00000000-0004-0000-0400-00002A000000}"/>
    <hyperlink ref="F45" r:id="rId44" xr:uid="{00000000-0004-0000-0400-00002B000000}"/>
    <hyperlink ref="F46" r:id="rId45" xr:uid="{00000000-0004-0000-0400-00002C000000}"/>
    <hyperlink ref="F47" r:id="rId46" xr:uid="{00000000-0004-0000-0400-00002D000000}"/>
    <hyperlink ref="F48" r:id="rId47" xr:uid="{00000000-0004-0000-0400-00002E000000}"/>
    <hyperlink ref="F49" r:id="rId48" xr:uid="{00000000-0004-0000-0400-00002F000000}"/>
    <hyperlink ref="F50" r:id="rId49" xr:uid="{00000000-0004-0000-0400-000030000000}"/>
    <hyperlink ref="F51" r:id="rId50" xr:uid="{00000000-0004-0000-0400-000031000000}"/>
    <hyperlink ref="F52" r:id="rId51" xr:uid="{00000000-0004-0000-0400-000032000000}"/>
    <hyperlink ref="F53" r:id="rId52" xr:uid="{00000000-0004-0000-0400-000033000000}"/>
    <hyperlink ref="F54" r:id="rId53" xr:uid="{00000000-0004-0000-0400-000034000000}"/>
    <hyperlink ref="F55" r:id="rId54" xr:uid="{00000000-0004-0000-0400-000035000000}"/>
    <hyperlink ref="F56" r:id="rId55" xr:uid="{00000000-0004-0000-0400-000036000000}"/>
    <hyperlink ref="F58" r:id="rId56" xr:uid="{00000000-0004-0000-0400-000037000000}"/>
    <hyperlink ref="F59" r:id="rId57" xr:uid="{00000000-0004-0000-0400-000038000000}"/>
    <hyperlink ref="F60" r:id="rId58" xr:uid="{00000000-0004-0000-0400-000039000000}"/>
    <hyperlink ref="F61" r:id="rId59" xr:uid="{00000000-0004-0000-0400-00003A000000}"/>
    <hyperlink ref="F62" r:id="rId60" xr:uid="{00000000-0004-0000-0400-00003B000000}"/>
    <hyperlink ref="F63" r:id="rId61" xr:uid="{00000000-0004-0000-0400-00003C000000}"/>
    <hyperlink ref="F64" r:id="rId62" xr:uid="{00000000-0004-0000-0400-00003D000000}"/>
    <hyperlink ref="F65" r:id="rId63" xr:uid="{00000000-0004-0000-0400-00003E000000}"/>
    <hyperlink ref="F66" r:id="rId64" xr:uid="{00000000-0004-0000-0400-00003F000000}"/>
    <hyperlink ref="F67" r:id="rId65" xr:uid="{00000000-0004-0000-0400-000040000000}"/>
    <hyperlink ref="F68" r:id="rId66" xr:uid="{00000000-0004-0000-0400-000041000000}"/>
    <hyperlink ref="F69" r:id="rId67" xr:uid="{00000000-0004-0000-0400-000042000000}"/>
    <hyperlink ref="F70" r:id="rId68" xr:uid="{00000000-0004-0000-0400-000043000000}"/>
    <hyperlink ref="F72" r:id="rId69" xr:uid="{00000000-0004-0000-0400-000044000000}"/>
    <hyperlink ref="F73" r:id="rId70" xr:uid="{00000000-0004-0000-0400-000045000000}"/>
    <hyperlink ref="F74" r:id="rId71" xr:uid="{00000000-0004-0000-0400-000046000000}"/>
    <hyperlink ref="F75" r:id="rId72" xr:uid="{00000000-0004-0000-0400-000047000000}"/>
    <hyperlink ref="F76" r:id="rId73" xr:uid="{00000000-0004-0000-0400-000048000000}"/>
    <hyperlink ref="F77" r:id="rId74" xr:uid="{00000000-0004-0000-0400-000049000000}"/>
    <hyperlink ref="F78" r:id="rId75" xr:uid="{00000000-0004-0000-0400-00004A000000}"/>
    <hyperlink ref="F79" r:id="rId76" xr:uid="{00000000-0004-0000-0400-00004B000000}"/>
    <hyperlink ref="F80" r:id="rId77" xr:uid="{00000000-0004-0000-0400-00004C000000}"/>
    <hyperlink ref="F81" r:id="rId78" xr:uid="{00000000-0004-0000-0400-00004D000000}"/>
    <hyperlink ref="F82" r:id="rId79" xr:uid="{00000000-0004-0000-0400-00004E000000}"/>
    <hyperlink ref="F83" r:id="rId80" xr:uid="{00000000-0004-0000-0400-00004F000000}"/>
    <hyperlink ref="F84" r:id="rId81" xr:uid="{00000000-0004-0000-0400-00005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3月口碑加热</vt:lpstr>
      <vt:lpstr>四月口碑加热</vt:lpstr>
      <vt:lpstr>5月口碑加热</vt:lpstr>
      <vt:lpstr>6月口碑加热</vt:lpstr>
      <vt:lpstr>（数据废表）薯条投放明细表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Yichuan Jing</cp:lastModifiedBy>
  <dcterms:created xsi:type="dcterms:W3CDTF">2026-06-17T04:05:27Z</dcterms:created>
  <dcterms:modified xsi:type="dcterms:W3CDTF">2026-06-17T06:39:11Z</dcterms:modified>
</cp:coreProperties>
</file>